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JOEL SOSA\Dropbox\J2 PUBLICIDAD\FINANZAS J2 PUBLICIDAD\"/>
    </mc:Choice>
  </mc:AlternateContent>
  <xr:revisionPtr revIDLastSave="0" documentId="13_ncr:1_{A584EEA5-939D-48DE-B961-ECAFE0AD8034}" xr6:coauthVersionLast="47" xr6:coauthVersionMax="47" xr10:uidLastSave="{00000000-0000-0000-0000-000000000000}"/>
  <bookViews>
    <workbookView xWindow="-120" yWindow="-120" windowWidth="29040" windowHeight="15720" activeTab="1" xr2:uid="{C56776D8-17E3-458E-9B94-46C232FA3F19}"/>
  </bookViews>
  <sheets>
    <sheet name="CLIENTES" sheetId="2" r:id="rId1"/>
    <sheet name="DOCUMENTOS" sheetId="3" r:id="rId2"/>
    <sheet name="ABONOS" sheetId="5" r:id="rId3"/>
    <sheet name="CALCULOS" sheetId="4" state="hidden" r:id="rId4"/>
  </sheets>
  <definedNames>
    <definedName name="_xlnm.Print_Area" localSheetId="1">DOCUMENTOS!$B$11:$K$87</definedName>
    <definedName name="Lista_Documentos">DOCUMENTOS!$B$12:$B$1108</definedName>
    <definedName name="Lista_Proveedores">CLIENTES!$B$12:$B$403</definedName>
    <definedName name="SegmentaciónDeDatos_ESTADO_DE_PAGO">#N/A</definedName>
    <definedName name="SegmentaciónDeDatos_INICIAL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43" i="5" l="1"/>
  <c r="E1043" i="5"/>
  <c r="F1043" i="5"/>
  <c r="G1043" i="5"/>
  <c r="H1043" i="5"/>
  <c r="I1043" i="5"/>
  <c r="D1042" i="5"/>
  <c r="E1042" i="5"/>
  <c r="G1042" i="5"/>
  <c r="H1042" i="5"/>
  <c r="I1042" i="5"/>
  <c r="D1041" i="5"/>
  <c r="E1041" i="5"/>
  <c r="G1041" i="5"/>
  <c r="H1041" i="5"/>
  <c r="I1041" i="5"/>
  <c r="D1040" i="5"/>
  <c r="E1040" i="5"/>
  <c r="G1040" i="5"/>
  <c r="H1040" i="5"/>
  <c r="I1040" i="5"/>
  <c r="D1039" i="5"/>
  <c r="E1039" i="5"/>
  <c r="G1039" i="5"/>
  <c r="H1039" i="5"/>
  <c r="I1039" i="5"/>
  <c r="D1038" i="5"/>
  <c r="E1038" i="5"/>
  <c r="G1038" i="5"/>
  <c r="H1038" i="5"/>
  <c r="I1038" i="5"/>
  <c r="D1037" i="5"/>
  <c r="E1037" i="5"/>
  <c r="G1037" i="5"/>
  <c r="H1037" i="5"/>
  <c r="I1037" i="5"/>
  <c r="D1036" i="5"/>
  <c r="E1036" i="5"/>
  <c r="G1036" i="5"/>
  <c r="H1036" i="5"/>
  <c r="I1036" i="5"/>
  <c r="D1035" i="5"/>
  <c r="E1035" i="5"/>
  <c r="G1035" i="5"/>
  <c r="H1035" i="5"/>
  <c r="I1035" i="5"/>
  <c r="F388" i="2" l="1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F1042" i="5" s="1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I1067" i="3"/>
  <c r="J1067" i="3" s="1"/>
  <c r="I1068" i="3"/>
  <c r="J1068" i="3" s="1"/>
  <c r="I1069" i="3"/>
  <c r="J1069" i="3" s="1"/>
  <c r="I1070" i="3"/>
  <c r="J1070" i="3" s="1"/>
  <c r="I1071" i="3"/>
  <c r="J1071" i="3" s="1"/>
  <c r="I1072" i="3"/>
  <c r="J1072" i="3" s="1"/>
  <c r="I1073" i="3"/>
  <c r="J1073" i="3" s="1"/>
  <c r="I1074" i="3"/>
  <c r="J1074" i="3" s="1"/>
  <c r="I1075" i="3"/>
  <c r="J1075" i="3" s="1"/>
  <c r="I1076" i="3"/>
  <c r="J1076" i="3" s="1"/>
  <c r="I1077" i="3"/>
  <c r="J1077" i="3" s="1"/>
  <c r="I1078" i="3"/>
  <c r="J1078" i="3" s="1"/>
  <c r="I1079" i="3"/>
  <c r="J1079" i="3" s="1"/>
  <c r="I1080" i="3"/>
  <c r="J1080" i="3" s="1"/>
  <c r="I1081" i="3"/>
  <c r="J1081" i="3" s="1"/>
  <c r="I1082" i="3"/>
  <c r="J1082" i="3" s="1"/>
  <c r="I1083" i="3"/>
  <c r="J1083" i="3" s="1"/>
  <c r="I1084" i="3"/>
  <c r="J1084" i="3" s="1"/>
  <c r="I1085" i="3"/>
  <c r="J1085" i="3" s="1"/>
  <c r="I1086" i="3"/>
  <c r="J1086" i="3" s="1"/>
  <c r="I1087" i="3"/>
  <c r="J1087" i="3" s="1"/>
  <c r="I1088" i="3"/>
  <c r="J1088" i="3" s="1"/>
  <c r="I1089" i="3"/>
  <c r="J1089" i="3" s="1"/>
  <c r="I1090" i="3"/>
  <c r="J1090" i="3" s="1"/>
  <c r="I1091" i="3"/>
  <c r="J1091" i="3" s="1"/>
  <c r="I1092" i="3"/>
  <c r="J1092" i="3" s="1"/>
  <c r="I1093" i="3"/>
  <c r="J1093" i="3" s="1"/>
  <c r="I1094" i="3"/>
  <c r="J1094" i="3" s="1"/>
  <c r="I1095" i="3"/>
  <c r="J1095" i="3" s="1"/>
  <c r="I1096" i="3"/>
  <c r="J1096" i="3" s="1"/>
  <c r="I1097" i="3"/>
  <c r="J1097" i="3" s="1"/>
  <c r="I1098" i="3"/>
  <c r="J1098" i="3" s="1"/>
  <c r="I1099" i="3"/>
  <c r="J1099" i="3" s="1"/>
  <c r="I1100" i="3"/>
  <c r="J1100" i="3" s="1"/>
  <c r="I1101" i="3"/>
  <c r="J1101" i="3" s="1"/>
  <c r="I1102" i="3"/>
  <c r="J1102" i="3" s="1"/>
  <c r="I1103" i="3"/>
  <c r="J1103" i="3" s="1"/>
  <c r="I1104" i="3"/>
  <c r="J1104" i="3" s="1"/>
  <c r="I1105" i="3"/>
  <c r="I1106" i="3"/>
  <c r="J1106" i="3" s="1"/>
  <c r="I1107" i="3"/>
  <c r="J1107" i="3" s="1"/>
  <c r="I1108" i="3"/>
  <c r="J1108" i="3" s="1"/>
  <c r="M1067" i="3"/>
  <c r="N1067" i="3" s="1"/>
  <c r="M1068" i="3"/>
  <c r="N1068" i="3" s="1"/>
  <c r="M1069" i="3"/>
  <c r="N1069" i="3" s="1"/>
  <c r="M1070" i="3"/>
  <c r="N1070" i="3" s="1"/>
  <c r="K1070" i="3" s="1"/>
  <c r="M1071" i="3"/>
  <c r="N1071" i="3" s="1"/>
  <c r="K1071" i="3" s="1"/>
  <c r="M1072" i="3"/>
  <c r="N1072" i="3" s="1"/>
  <c r="K1072" i="3" s="1"/>
  <c r="M1073" i="3"/>
  <c r="N1073" i="3" s="1"/>
  <c r="K1073" i="3" s="1"/>
  <c r="M1074" i="3"/>
  <c r="N1074" i="3" s="1"/>
  <c r="K1074" i="3" s="1"/>
  <c r="M1075" i="3"/>
  <c r="N1075" i="3" s="1"/>
  <c r="M1076" i="3"/>
  <c r="N1076" i="3" s="1"/>
  <c r="M1077" i="3"/>
  <c r="N1077" i="3" s="1"/>
  <c r="M1078" i="3"/>
  <c r="N1078" i="3" s="1"/>
  <c r="M1079" i="3"/>
  <c r="N1079" i="3" s="1"/>
  <c r="M1080" i="3"/>
  <c r="N1080" i="3" s="1"/>
  <c r="M1081" i="3"/>
  <c r="N1081" i="3" s="1"/>
  <c r="M1082" i="3"/>
  <c r="N1082" i="3" s="1"/>
  <c r="K1082" i="3" s="1"/>
  <c r="M1083" i="3"/>
  <c r="N1083" i="3" s="1"/>
  <c r="K1083" i="3" s="1"/>
  <c r="M1084" i="3"/>
  <c r="N1084" i="3" s="1"/>
  <c r="K1084" i="3" s="1"/>
  <c r="M1085" i="3"/>
  <c r="N1085" i="3" s="1"/>
  <c r="K1085" i="3" s="1"/>
  <c r="M1086" i="3"/>
  <c r="N1086" i="3" s="1"/>
  <c r="K1086" i="3" s="1"/>
  <c r="M1087" i="3"/>
  <c r="N1087" i="3" s="1"/>
  <c r="M1088" i="3"/>
  <c r="N1088" i="3" s="1"/>
  <c r="M1089" i="3"/>
  <c r="N1089" i="3" s="1"/>
  <c r="M1090" i="3"/>
  <c r="N1090" i="3" s="1"/>
  <c r="M1091" i="3"/>
  <c r="N1091" i="3" s="1"/>
  <c r="M1092" i="3"/>
  <c r="N1092" i="3" s="1"/>
  <c r="M1093" i="3"/>
  <c r="N1093" i="3" s="1"/>
  <c r="M1094" i="3"/>
  <c r="N1094" i="3" s="1"/>
  <c r="K1094" i="3" s="1"/>
  <c r="M1095" i="3"/>
  <c r="N1095" i="3" s="1"/>
  <c r="K1095" i="3" s="1"/>
  <c r="M1096" i="3"/>
  <c r="N1096" i="3" s="1"/>
  <c r="K1096" i="3" s="1"/>
  <c r="M1097" i="3"/>
  <c r="N1097" i="3" s="1"/>
  <c r="K1097" i="3" s="1"/>
  <c r="M1098" i="3"/>
  <c r="N1098" i="3" s="1"/>
  <c r="K1098" i="3" s="1"/>
  <c r="M1099" i="3"/>
  <c r="N1099" i="3" s="1"/>
  <c r="M1100" i="3"/>
  <c r="N1100" i="3" s="1"/>
  <c r="M1101" i="3"/>
  <c r="N1101" i="3" s="1"/>
  <c r="M1102" i="3"/>
  <c r="N1102" i="3" s="1"/>
  <c r="M1103" i="3"/>
  <c r="N1103" i="3" s="1"/>
  <c r="M1104" i="3"/>
  <c r="N1104" i="3" s="1"/>
  <c r="M1105" i="3"/>
  <c r="N1105" i="3" s="1"/>
  <c r="M1106" i="3"/>
  <c r="N1106" i="3" s="1"/>
  <c r="K1106" i="3" s="1"/>
  <c r="M1107" i="3"/>
  <c r="N1107" i="3" s="1"/>
  <c r="K1107" i="3" s="1"/>
  <c r="M1108" i="3"/>
  <c r="N1108" i="3" s="1"/>
  <c r="K1108" i="3" s="1"/>
  <c r="E1066" i="3"/>
  <c r="I1066" i="3"/>
  <c r="J1066" i="3" s="1"/>
  <c r="M1066" i="3"/>
  <c r="N1066" i="3" s="1"/>
  <c r="F384" i="2"/>
  <c r="F385" i="2"/>
  <c r="F386" i="2"/>
  <c r="F387" i="2"/>
  <c r="F383" i="2"/>
  <c r="E1054" i="3"/>
  <c r="E1055" i="3"/>
  <c r="E1056" i="3"/>
  <c r="E1057" i="3"/>
  <c r="E1058" i="3"/>
  <c r="E1059" i="3"/>
  <c r="E1060" i="3"/>
  <c r="E1061" i="3"/>
  <c r="E1062" i="3"/>
  <c r="F1041" i="5" s="1"/>
  <c r="E1063" i="3"/>
  <c r="E1064" i="3"/>
  <c r="E1065" i="3"/>
  <c r="I1054" i="3"/>
  <c r="J1054" i="3" s="1"/>
  <c r="I1055" i="3"/>
  <c r="J1055" i="3" s="1"/>
  <c r="I1056" i="3"/>
  <c r="J1056" i="3" s="1"/>
  <c r="I1057" i="3"/>
  <c r="J1057" i="3" s="1"/>
  <c r="I1058" i="3"/>
  <c r="J1058" i="3" s="1"/>
  <c r="I1059" i="3"/>
  <c r="J1059" i="3" s="1"/>
  <c r="I1060" i="3"/>
  <c r="J1060" i="3" s="1"/>
  <c r="I1061" i="3"/>
  <c r="J1061" i="3" s="1"/>
  <c r="I1062" i="3"/>
  <c r="J1062" i="3" s="1"/>
  <c r="I1063" i="3"/>
  <c r="J1063" i="3" s="1"/>
  <c r="I1064" i="3"/>
  <c r="J1064" i="3" s="1"/>
  <c r="I1065" i="3"/>
  <c r="J1065" i="3" s="1"/>
  <c r="M1054" i="3"/>
  <c r="N1054" i="3" s="1"/>
  <c r="M1055" i="3"/>
  <c r="N1055" i="3" s="1"/>
  <c r="M1056" i="3"/>
  <c r="N1056" i="3" s="1"/>
  <c r="M1057" i="3"/>
  <c r="N1057" i="3" s="1"/>
  <c r="M1058" i="3"/>
  <c r="N1058" i="3" s="1"/>
  <c r="M1059" i="3"/>
  <c r="N1059" i="3" s="1"/>
  <c r="M1060" i="3"/>
  <c r="N1060" i="3" s="1"/>
  <c r="M1061" i="3"/>
  <c r="N1061" i="3" s="1"/>
  <c r="M1062" i="3"/>
  <c r="N1062" i="3" s="1"/>
  <c r="M1063" i="3"/>
  <c r="N1063" i="3" s="1"/>
  <c r="M1064" i="3"/>
  <c r="N1064" i="3" s="1"/>
  <c r="M1065" i="3"/>
  <c r="N1065" i="3" s="1"/>
  <c r="E1053" i="3"/>
  <c r="I1053" i="3"/>
  <c r="J1053" i="3" s="1"/>
  <c r="M1053" i="3"/>
  <c r="N1053" i="3" s="1"/>
  <c r="D1034" i="5"/>
  <c r="E1034" i="5"/>
  <c r="G1034" i="5"/>
  <c r="H1034" i="5"/>
  <c r="I1034" i="5"/>
  <c r="D1033" i="5"/>
  <c r="E1033" i="5"/>
  <c r="G1033" i="5"/>
  <c r="H1033" i="5"/>
  <c r="I1033" i="5"/>
  <c r="D1032" i="5"/>
  <c r="E1032" i="5"/>
  <c r="G1032" i="5"/>
  <c r="H1032" i="5"/>
  <c r="I1032" i="5"/>
  <c r="D1031" i="5"/>
  <c r="E1031" i="5"/>
  <c r="G1031" i="5"/>
  <c r="H1031" i="5"/>
  <c r="I1031" i="5"/>
  <c r="D1030" i="5"/>
  <c r="E1030" i="5"/>
  <c r="G1030" i="5"/>
  <c r="H1030" i="5"/>
  <c r="I1030" i="5"/>
  <c r="D1029" i="5"/>
  <c r="E1029" i="5"/>
  <c r="G1029" i="5"/>
  <c r="H1029" i="5"/>
  <c r="I1029" i="5"/>
  <c r="D1028" i="5"/>
  <c r="E1028" i="5"/>
  <c r="G1028" i="5"/>
  <c r="H1028" i="5"/>
  <c r="I1028" i="5"/>
  <c r="D1027" i="5"/>
  <c r="E1027" i="5"/>
  <c r="G1027" i="5"/>
  <c r="H1027" i="5"/>
  <c r="I1027" i="5"/>
  <c r="K1054" i="3" l="1"/>
  <c r="K1069" i="3"/>
  <c r="L1069" i="3" s="1"/>
  <c r="K1057" i="3"/>
  <c r="K1089" i="3"/>
  <c r="K1055" i="3"/>
  <c r="K1065" i="3"/>
  <c r="L1065" i="3" s="1"/>
  <c r="K1093" i="3"/>
  <c r="L1093" i="3" s="1"/>
  <c r="K1104" i="3"/>
  <c r="L1104" i="3" s="1"/>
  <c r="K1068" i="3"/>
  <c r="L1068" i="3" s="1"/>
  <c r="K1102" i="3"/>
  <c r="L1102" i="3" s="1"/>
  <c r="K1090" i="3"/>
  <c r="L1090" i="3" s="1"/>
  <c r="K1078" i="3"/>
  <c r="L1078" i="3" s="1"/>
  <c r="K1088" i="3"/>
  <c r="L1088" i="3" s="1"/>
  <c r="K1076" i="3"/>
  <c r="L1076" i="3" s="1"/>
  <c r="J1105" i="3"/>
  <c r="K1105" i="3" s="1"/>
  <c r="L1105" i="3" s="1"/>
  <c r="K1100" i="3"/>
  <c r="L1100" i="3" s="1"/>
  <c r="K1087" i="3"/>
  <c r="L1087" i="3" s="1"/>
  <c r="K1066" i="3"/>
  <c r="L1066" i="3" s="1"/>
  <c r="K1092" i="3"/>
  <c r="L1092" i="3" s="1"/>
  <c r="K1080" i="3"/>
  <c r="L1080" i="3" s="1"/>
  <c r="K1103" i="3"/>
  <c r="L1103" i="3" s="1"/>
  <c r="K1091" i="3"/>
  <c r="L1091" i="3" s="1"/>
  <c r="K1067" i="3"/>
  <c r="L1067" i="3" s="1"/>
  <c r="K1056" i="3"/>
  <c r="L1056" i="3" s="1"/>
  <c r="L1074" i="3"/>
  <c r="L1086" i="3"/>
  <c r="L1073" i="3"/>
  <c r="K1081" i="3"/>
  <c r="L1081" i="3" s="1"/>
  <c r="L1098" i="3"/>
  <c r="L1085" i="3"/>
  <c r="L1071" i="3"/>
  <c r="L1097" i="3"/>
  <c r="L1083" i="3"/>
  <c r="L1070" i="3"/>
  <c r="K1101" i="3"/>
  <c r="L1101" i="3" s="1"/>
  <c r="K1079" i="3"/>
  <c r="L1079" i="3" s="1"/>
  <c r="L1095" i="3"/>
  <c r="L1082" i="3"/>
  <c r="L1107" i="3"/>
  <c r="L1094" i="3"/>
  <c r="K1077" i="3"/>
  <c r="L1077" i="3" s="1"/>
  <c r="L1106" i="3"/>
  <c r="K1075" i="3"/>
  <c r="L1075" i="3" s="1"/>
  <c r="K1099" i="3"/>
  <c r="L1099" i="3" s="1"/>
  <c r="L1089" i="3"/>
  <c r="K1058" i="3"/>
  <c r="L1058" i="3" s="1"/>
  <c r="L1108" i="3"/>
  <c r="L1096" i="3"/>
  <c r="L1084" i="3"/>
  <c r="L1072" i="3"/>
  <c r="K1061" i="3"/>
  <c r="L1061" i="3" s="1"/>
  <c r="K1063" i="3"/>
  <c r="L1063" i="3" s="1"/>
  <c r="K1064" i="3"/>
  <c r="L1064" i="3" s="1"/>
  <c r="K1062" i="3"/>
  <c r="L1062" i="3" s="1"/>
  <c r="L1054" i="3"/>
  <c r="K1059" i="3"/>
  <c r="L1059" i="3" s="1"/>
  <c r="L1057" i="3"/>
  <c r="L1055" i="3"/>
  <c r="K1060" i="3"/>
  <c r="L1060" i="3" s="1"/>
  <c r="K1053" i="3"/>
  <c r="L1053" i="3" s="1"/>
  <c r="D1026" i="5"/>
  <c r="E1026" i="5"/>
  <c r="G1026" i="5"/>
  <c r="H1026" i="5"/>
  <c r="I1026" i="5"/>
  <c r="D1025" i="5"/>
  <c r="E1025" i="5"/>
  <c r="G1025" i="5"/>
  <c r="H1025" i="5"/>
  <c r="I1025" i="5"/>
  <c r="D1024" i="5"/>
  <c r="E1024" i="5"/>
  <c r="G1024" i="5"/>
  <c r="H1024" i="5"/>
  <c r="I1024" i="5"/>
  <c r="D1023" i="5"/>
  <c r="E1023" i="5"/>
  <c r="G1023" i="5"/>
  <c r="H1023" i="5"/>
  <c r="I1023" i="5"/>
  <c r="D1022" i="5" l="1"/>
  <c r="E1022" i="5"/>
  <c r="G1022" i="5"/>
  <c r="H1022" i="5"/>
  <c r="I1022" i="5"/>
  <c r="D1021" i="5"/>
  <c r="E1021" i="5"/>
  <c r="G1021" i="5"/>
  <c r="H1021" i="5"/>
  <c r="I1021" i="5"/>
  <c r="D1020" i="5"/>
  <c r="E1020" i="5"/>
  <c r="G1020" i="5"/>
  <c r="H1020" i="5"/>
  <c r="I1020" i="5"/>
  <c r="D1019" i="5"/>
  <c r="E1019" i="5"/>
  <c r="G1019" i="5"/>
  <c r="H1019" i="5"/>
  <c r="I1019" i="5"/>
  <c r="M988" i="3" s="1"/>
  <c r="N988" i="3" s="1"/>
  <c r="D1018" i="5"/>
  <c r="E1018" i="5"/>
  <c r="G1018" i="5"/>
  <c r="H1018" i="5"/>
  <c r="I1018" i="5"/>
  <c r="D1017" i="5"/>
  <c r="E1017" i="5"/>
  <c r="G1017" i="5"/>
  <c r="H1017" i="5"/>
  <c r="I1017" i="5"/>
  <c r="D1015" i="5"/>
  <c r="D1016" i="5"/>
  <c r="E1015" i="5"/>
  <c r="E1016" i="5"/>
  <c r="G1015" i="5"/>
  <c r="G1016" i="5"/>
  <c r="H1015" i="5"/>
  <c r="H1016" i="5"/>
  <c r="I1015" i="5"/>
  <c r="M1049" i="3" s="1"/>
  <c r="N1049" i="3" s="1"/>
  <c r="I1016" i="5"/>
  <c r="M1050" i="3" s="1"/>
  <c r="N1050" i="3" s="1"/>
  <c r="K1050" i="3" s="1"/>
  <c r="D1014" i="5"/>
  <c r="E1014" i="5"/>
  <c r="G1014" i="5"/>
  <c r="H1014" i="5"/>
  <c r="I1014" i="5"/>
  <c r="M1046" i="3" s="1"/>
  <c r="N1046" i="3" s="1"/>
  <c r="D1010" i="5"/>
  <c r="D1011" i="5"/>
  <c r="D1012" i="5"/>
  <c r="D1013" i="5"/>
  <c r="E1010" i="5"/>
  <c r="E1011" i="5"/>
  <c r="E1012" i="5"/>
  <c r="E1013" i="5"/>
  <c r="G1010" i="5"/>
  <c r="G1011" i="5"/>
  <c r="G1012" i="5"/>
  <c r="G1013" i="5"/>
  <c r="H1010" i="5"/>
  <c r="H1011" i="5"/>
  <c r="H1012" i="5"/>
  <c r="H1013" i="5"/>
  <c r="I1010" i="5"/>
  <c r="M1040" i="3" s="1"/>
  <c r="N1040" i="3" s="1"/>
  <c r="K1040" i="3" s="1"/>
  <c r="I1011" i="5"/>
  <c r="M1041" i="3" s="1"/>
  <c r="N1041" i="3" s="1"/>
  <c r="K1041" i="3" s="1"/>
  <c r="I1012" i="5"/>
  <c r="M1042" i="3" s="1"/>
  <c r="N1042" i="3" s="1"/>
  <c r="K1042" i="3" s="1"/>
  <c r="I1013" i="5"/>
  <c r="M1043" i="3" s="1"/>
  <c r="N1043" i="3" s="1"/>
  <c r="D1008" i="5"/>
  <c r="D1009" i="5"/>
  <c r="E1008" i="5"/>
  <c r="E1009" i="5"/>
  <c r="G1008" i="5"/>
  <c r="G1009" i="5"/>
  <c r="H1008" i="5"/>
  <c r="H1009" i="5"/>
  <c r="I1008" i="5"/>
  <c r="M1037" i="3" s="1"/>
  <c r="N1037" i="3" s="1"/>
  <c r="I1009" i="5"/>
  <c r="M1038" i="3" s="1"/>
  <c r="N1038" i="3" s="1"/>
  <c r="K1038" i="3" s="1"/>
  <c r="D1003" i="5"/>
  <c r="D1004" i="5"/>
  <c r="D1005" i="5"/>
  <c r="D1006" i="5"/>
  <c r="D1007" i="5"/>
  <c r="E1003" i="5"/>
  <c r="E1004" i="5"/>
  <c r="E1005" i="5"/>
  <c r="E1006" i="5"/>
  <c r="E1007" i="5"/>
  <c r="G1003" i="5"/>
  <c r="G1004" i="5"/>
  <c r="G1005" i="5"/>
  <c r="G1006" i="5"/>
  <c r="G1007" i="5"/>
  <c r="H1003" i="5"/>
  <c r="H1004" i="5"/>
  <c r="H1005" i="5"/>
  <c r="H1006" i="5"/>
  <c r="H1007" i="5"/>
  <c r="I1003" i="5"/>
  <c r="M1030" i="3" s="1"/>
  <c r="N1030" i="3" s="1"/>
  <c r="K1030" i="3" s="1"/>
  <c r="I1004" i="5"/>
  <c r="M1031" i="3" s="1"/>
  <c r="N1031" i="3" s="1"/>
  <c r="I1005" i="5"/>
  <c r="M1032" i="3" s="1"/>
  <c r="N1032" i="3" s="1"/>
  <c r="K1032" i="3" s="1"/>
  <c r="I1006" i="5"/>
  <c r="M1033" i="3" s="1"/>
  <c r="N1033" i="3" s="1"/>
  <c r="K1033" i="3" s="1"/>
  <c r="I1007" i="5"/>
  <c r="M1034" i="3" s="1"/>
  <c r="N1034" i="3" s="1"/>
  <c r="D1002" i="5"/>
  <c r="E1002" i="5"/>
  <c r="G1002" i="5"/>
  <c r="H1002" i="5"/>
  <c r="I1002" i="5"/>
  <c r="M1026" i="3" s="1"/>
  <c r="N1026" i="3" s="1"/>
  <c r="K1026" i="3" s="1"/>
  <c r="D1001" i="5"/>
  <c r="E1001" i="5"/>
  <c r="G1001" i="5"/>
  <c r="H1001" i="5"/>
  <c r="I1001" i="5"/>
  <c r="M1024" i="3" s="1"/>
  <c r="N1024" i="3" s="1"/>
  <c r="K1024" i="3" s="1"/>
  <c r="D1000" i="5"/>
  <c r="E1000" i="5"/>
  <c r="G1000" i="5"/>
  <c r="H1000" i="5"/>
  <c r="I1000" i="5"/>
  <c r="M1023" i="3" s="1"/>
  <c r="N1023" i="3" s="1"/>
  <c r="K1023" i="3" s="1"/>
  <c r="F377" i="2"/>
  <c r="F378" i="2"/>
  <c r="F379" i="2"/>
  <c r="F380" i="2"/>
  <c r="F381" i="2"/>
  <c r="F382" i="2"/>
  <c r="E1023" i="3"/>
  <c r="F1000" i="5" s="1"/>
  <c r="E1024" i="3"/>
  <c r="F1001" i="5" s="1"/>
  <c r="E1025" i="3"/>
  <c r="E1026" i="3"/>
  <c r="F1002" i="5" s="1"/>
  <c r="E1027" i="3"/>
  <c r="E1028" i="3"/>
  <c r="E1029" i="3"/>
  <c r="E1030" i="3"/>
  <c r="F1003" i="5" s="1"/>
  <c r="E1031" i="3"/>
  <c r="F1004" i="5" s="1"/>
  <c r="E1032" i="3"/>
  <c r="F1005" i="5" s="1"/>
  <c r="E1033" i="3"/>
  <c r="F1006" i="5" s="1"/>
  <c r="E1034" i="3"/>
  <c r="F1007" i="5" s="1"/>
  <c r="E1035" i="3"/>
  <c r="E1036" i="3"/>
  <c r="F1035" i="5" s="1"/>
  <c r="E1037" i="3"/>
  <c r="F1008" i="5" s="1"/>
  <c r="E1038" i="3"/>
  <c r="F1009" i="5" s="1"/>
  <c r="E1039" i="3"/>
  <c r="E1040" i="3"/>
  <c r="F1010" i="5" s="1"/>
  <c r="E1041" i="3"/>
  <c r="F1011" i="5" s="1"/>
  <c r="E1042" i="3"/>
  <c r="F1012" i="5" s="1"/>
  <c r="E1043" i="3"/>
  <c r="F1013" i="5" s="1"/>
  <c r="E1044" i="3"/>
  <c r="F1038" i="5" s="1"/>
  <c r="E1045" i="3"/>
  <c r="F1039" i="5" s="1"/>
  <c r="E1046" i="3"/>
  <c r="F1014" i="5" s="1"/>
  <c r="E1047" i="3"/>
  <c r="F1040" i="5" s="1"/>
  <c r="E1048" i="3"/>
  <c r="E1049" i="3"/>
  <c r="F1015" i="5" s="1"/>
  <c r="E1050" i="3"/>
  <c r="F1016" i="5" s="1"/>
  <c r="E1051" i="3"/>
  <c r="F1036" i="5" s="1"/>
  <c r="E1052" i="3"/>
  <c r="I1023" i="3"/>
  <c r="J1023" i="3" s="1"/>
  <c r="I1024" i="3"/>
  <c r="J1024" i="3" s="1"/>
  <c r="I1025" i="3"/>
  <c r="J1025" i="3" s="1"/>
  <c r="I1026" i="3"/>
  <c r="J1026" i="3" s="1"/>
  <c r="I1027" i="3"/>
  <c r="J1027" i="3" s="1"/>
  <c r="I1028" i="3"/>
  <c r="J1028" i="3" s="1"/>
  <c r="I1029" i="3"/>
  <c r="J1029" i="3" s="1"/>
  <c r="I1030" i="3"/>
  <c r="J1030" i="3" s="1"/>
  <c r="I1031" i="3"/>
  <c r="I1032" i="3"/>
  <c r="J1032" i="3" s="1"/>
  <c r="I1033" i="3"/>
  <c r="J1033" i="3" s="1"/>
  <c r="I1034" i="3"/>
  <c r="J1034" i="3" s="1"/>
  <c r="I1035" i="3"/>
  <c r="J1035" i="3" s="1"/>
  <c r="I1036" i="3"/>
  <c r="J1036" i="3" s="1"/>
  <c r="I1037" i="3"/>
  <c r="I1038" i="3"/>
  <c r="J1038" i="3" s="1"/>
  <c r="I1039" i="3"/>
  <c r="J1039" i="3" s="1"/>
  <c r="I1040" i="3"/>
  <c r="J1040" i="3" s="1"/>
  <c r="I1041" i="3"/>
  <c r="J1041" i="3" s="1"/>
  <c r="I1042" i="3"/>
  <c r="J1042" i="3" s="1"/>
  <c r="I1043" i="3"/>
  <c r="J1043" i="3" s="1"/>
  <c r="I1044" i="3"/>
  <c r="J1044" i="3" s="1"/>
  <c r="I1045" i="3"/>
  <c r="J1045" i="3" s="1"/>
  <c r="I1046" i="3"/>
  <c r="J1046" i="3" s="1"/>
  <c r="I1047" i="3"/>
  <c r="J1047" i="3" s="1"/>
  <c r="I1048" i="3"/>
  <c r="J1048" i="3" s="1"/>
  <c r="I1049" i="3"/>
  <c r="J1049" i="3" s="1"/>
  <c r="I1050" i="3"/>
  <c r="J1050" i="3" s="1"/>
  <c r="I1051" i="3"/>
  <c r="J1051" i="3" s="1"/>
  <c r="I1052" i="3"/>
  <c r="J1052" i="3" s="1"/>
  <c r="M1025" i="3"/>
  <c r="N1025" i="3" s="1"/>
  <c r="M1027" i="3"/>
  <c r="N1027" i="3" s="1"/>
  <c r="M1028" i="3"/>
  <c r="N1028" i="3" s="1"/>
  <c r="M1029" i="3"/>
  <c r="N1029" i="3" s="1"/>
  <c r="M1035" i="3"/>
  <c r="N1035" i="3" s="1"/>
  <c r="M1036" i="3"/>
  <c r="N1036" i="3" s="1"/>
  <c r="M1039" i="3"/>
  <c r="N1039" i="3" s="1"/>
  <c r="M1044" i="3"/>
  <c r="N1044" i="3" s="1"/>
  <c r="M1045" i="3"/>
  <c r="N1045" i="3" s="1"/>
  <c r="M1047" i="3"/>
  <c r="N1047" i="3" s="1"/>
  <c r="M1048" i="3"/>
  <c r="N1048" i="3" s="1"/>
  <c r="M1051" i="3"/>
  <c r="N1051" i="3" s="1"/>
  <c r="M1052" i="3"/>
  <c r="N1052" i="3" s="1"/>
  <c r="E1022" i="3"/>
  <c r="I1022" i="3"/>
  <c r="J1022" i="3" s="1"/>
  <c r="M1022" i="3"/>
  <c r="N1022" i="3" s="1"/>
  <c r="D999" i="5"/>
  <c r="E999" i="5"/>
  <c r="G999" i="5"/>
  <c r="H999" i="5"/>
  <c r="I999" i="5"/>
  <c r="M1021" i="3" s="1"/>
  <c r="N1021" i="3" s="1"/>
  <c r="K1021" i="3" s="1"/>
  <c r="D994" i="5"/>
  <c r="D995" i="5"/>
  <c r="D996" i="5"/>
  <c r="D997" i="5"/>
  <c r="D998" i="5"/>
  <c r="E994" i="5"/>
  <c r="E995" i="5"/>
  <c r="E996" i="5"/>
  <c r="E997" i="5"/>
  <c r="E998" i="5"/>
  <c r="G994" i="5"/>
  <c r="G995" i="5"/>
  <c r="G996" i="5"/>
  <c r="G997" i="5"/>
  <c r="G998" i="5"/>
  <c r="H994" i="5"/>
  <c r="H995" i="5"/>
  <c r="H996" i="5"/>
  <c r="H997" i="5"/>
  <c r="H998" i="5"/>
  <c r="I994" i="5"/>
  <c r="M1014" i="3" s="1"/>
  <c r="N1014" i="3" s="1"/>
  <c r="K1014" i="3" s="1"/>
  <c r="I995" i="5"/>
  <c r="M1015" i="3" s="1"/>
  <c r="N1015" i="3" s="1"/>
  <c r="I996" i="5"/>
  <c r="M1016" i="3" s="1"/>
  <c r="N1016" i="3" s="1"/>
  <c r="I997" i="5"/>
  <c r="M1017" i="3" s="1"/>
  <c r="N1017" i="3" s="1"/>
  <c r="I998" i="5"/>
  <c r="M1018" i="3" s="1"/>
  <c r="N1018" i="3" s="1"/>
  <c r="D992" i="5"/>
  <c r="D993" i="5"/>
  <c r="E992" i="5"/>
  <c r="E993" i="5"/>
  <c r="G992" i="5"/>
  <c r="G993" i="5"/>
  <c r="H992" i="5"/>
  <c r="H993" i="5"/>
  <c r="I992" i="5"/>
  <c r="M1011" i="3" s="1"/>
  <c r="N1011" i="3" s="1"/>
  <c r="I993" i="5"/>
  <c r="M1012" i="3" s="1"/>
  <c r="N1012" i="3" s="1"/>
  <c r="D988" i="5"/>
  <c r="D989" i="5"/>
  <c r="D990" i="5"/>
  <c r="D991" i="5"/>
  <c r="E988" i="5"/>
  <c r="E989" i="5"/>
  <c r="E990" i="5"/>
  <c r="E991" i="5"/>
  <c r="G988" i="5"/>
  <c r="G989" i="5"/>
  <c r="G990" i="5"/>
  <c r="G991" i="5"/>
  <c r="H988" i="5"/>
  <c r="H989" i="5"/>
  <c r="H990" i="5"/>
  <c r="H991" i="5"/>
  <c r="I988" i="5"/>
  <c r="M1006" i="3" s="1"/>
  <c r="N1006" i="3" s="1"/>
  <c r="I989" i="5"/>
  <c r="M1007" i="3" s="1"/>
  <c r="N1007" i="3" s="1"/>
  <c r="I990" i="5"/>
  <c r="M1008" i="3" s="1"/>
  <c r="N1008" i="3" s="1"/>
  <c r="I991" i="5"/>
  <c r="M1009" i="3" s="1"/>
  <c r="N1009" i="3" s="1"/>
  <c r="D985" i="5"/>
  <c r="D986" i="5"/>
  <c r="D987" i="5"/>
  <c r="E985" i="5"/>
  <c r="E986" i="5"/>
  <c r="E987" i="5"/>
  <c r="G985" i="5"/>
  <c r="G986" i="5"/>
  <c r="G987" i="5"/>
  <c r="H985" i="5"/>
  <c r="H986" i="5"/>
  <c r="H987" i="5"/>
  <c r="I985" i="5"/>
  <c r="M1002" i="3" s="1"/>
  <c r="N1002" i="3" s="1"/>
  <c r="I986" i="5"/>
  <c r="M1003" i="3" s="1"/>
  <c r="N1003" i="3" s="1"/>
  <c r="K1003" i="3" s="1"/>
  <c r="I987" i="5"/>
  <c r="M1004" i="3" s="1"/>
  <c r="N1004" i="3" s="1"/>
  <c r="D978" i="5"/>
  <c r="D979" i="5"/>
  <c r="D980" i="5"/>
  <c r="D981" i="5"/>
  <c r="D982" i="5"/>
  <c r="D983" i="5"/>
  <c r="D984" i="5"/>
  <c r="E978" i="5"/>
  <c r="E979" i="5"/>
  <c r="E980" i="5"/>
  <c r="E981" i="5"/>
  <c r="E982" i="5"/>
  <c r="E983" i="5"/>
  <c r="E984" i="5"/>
  <c r="G978" i="5"/>
  <c r="G979" i="5"/>
  <c r="G980" i="5"/>
  <c r="G981" i="5"/>
  <c r="G982" i="5"/>
  <c r="G983" i="5"/>
  <c r="G984" i="5"/>
  <c r="H978" i="5"/>
  <c r="H979" i="5"/>
  <c r="H980" i="5"/>
  <c r="H981" i="5"/>
  <c r="H982" i="5"/>
  <c r="H983" i="5"/>
  <c r="H984" i="5"/>
  <c r="I978" i="5"/>
  <c r="M994" i="3" s="1"/>
  <c r="N994" i="3" s="1"/>
  <c r="I979" i="5"/>
  <c r="M995" i="3" s="1"/>
  <c r="N995" i="3" s="1"/>
  <c r="I980" i="5"/>
  <c r="M996" i="3" s="1"/>
  <c r="N996" i="3" s="1"/>
  <c r="I981" i="5"/>
  <c r="M997" i="3" s="1"/>
  <c r="N997" i="3" s="1"/>
  <c r="K997" i="3" s="1"/>
  <c r="I982" i="5"/>
  <c r="M998" i="3" s="1"/>
  <c r="N998" i="3" s="1"/>
  <c r="I983" i="5"/>
  <c r="M999" i="3" s="1"/>
  <c r="N999" i="3" s="1"/>
  <c r="I984" i="5"/>
  <c r="M1000" i="3" s="1"/>
  <c r="N1000" i="3" s="1"/>
  <c r="D975" i="5"/>
  <c r="D976" i="5"/>
  <c r="D977" i="5"/>
  <c r="E975" i="5"/>
  <c r="E976" i="5"/>
  <c r="E977" i="5"/>
  <c r="G975" i="5"/>
  <c r="G976" i="5"/>
  <c r="G977" i="5"/>
  <c r="H975" i="5"/>
  <c r="H976" i="5"/>
  <c r="H977" i="5"/>
  <c r="I975" i="5"/>
  <c r="M989" i="3" s="1"/>
  <c r="N989" i="3" s="1"/>
  <c r="I976" i="5"/>
  <c r="M990" i="3" s="1"/>
  <c r="N990" i="3" s="1"/>
  <c r="I977" i="5"/>
  <c r="M991" i="3" s="1"/>
  <c r="N991" i="3" s="1"/>
  <c r="K991" i="3" s="1"/>
  <c r="D974" i="5"/>
  <c r="E974" i="5"/>
  <c r="G974" i="5"/>
  <c r="H974" i="5"/>
  <c r="I974" i="5"/>
  <c r="M986" i="3" s="1"/>
  <c r="N986" i="3" s="1"/>
  <c r="E1005" i="3"/>
  <c r="F973" i="5" s="1"/>
  <c r="E1006" i="3"/>
  <c r="F988" i="5" s="1"/>
  <c r="E1007" i="3"/>
  <c r="F989" i="5" s="1"/>
  <c r="E1008" i="3"/>
  <c r="F990" i="5" s="1"/>
  <c r="E1009" i="3"/>
  <c r="F991" i="5" s="1"/>
  <c r="E1010" i="3"/>
  <c r="F1034" i="5" s="1"/>
  <c r="E1011" i="3"/>
  <c r="F992" i="5" s="1"/>
  <c r="E1012" i="3"/>
  <c r="F993" i="5" s="1"/>
  <c r="E1013" i="3"/>
  <c r="F1026" i="5" s="1"/>
  <c r="E1014" i="3"/>
  <c r="F994" i="5" s="1"/>
  <c r="E1015" i="3"/>
  <c r="F995" i="5" s="1"/>
  <c r="E1016" i="3"/>
  <c r="F996" i="5" s="1"/>
  <c r="E1017" i="3"/>
  <c r="F997" i="5" s="1"/>
  <c r="E1018" i="3"/>
  <c r="F998" i="5" s="1"/>
  <c r="E1019" i="3"/>
  <c r="F1027" i="5" s="1"/>
  <c r="E1020" i="3"/>
  <c r="F1028" i="5" s="1"/>
  <c r="E1021" i="3"/>
  <c r="F999" i="5" s="1"/>
  <c r="I1005" i="3"/>
  <c r="I1006" i="3"/>
  <c r="J1006" i="3" s="1"/>
  <c r="I1007" i="3"/>
  <c r="J1007" i="3" s="1"/>
  <c r="I1008" i="3"/>
  <c r="J1008" i="3" s="1"/>
  <c r="I1009" i="3"/>
  <c r="J1009" i="3" s="1"/>
  <c r="I1010" i="3"/>
  <c r="I1011" i="3"/>
  <c r="I1012" i="3"/>
  <c r="J1012" i="3" s="1"/>
  <c r="I1013" i="3"/>
  <c r="J1013" i="3" s="1"/>
  <c r="I1014" i="3"/>
  <c r="J1014" i="3" s="1"/>
  <c r="I1015" i="3"/>
  <c r="J1015" i="3" s="1"/>
  <c r="I1016" i="3"/>
  <c r="J1016" i="3" s="1"/>
  <c r="I1017" i="3"/>
  <c r="I1018" i="3"/>
  <c r="J1018" i="3" s="1"/>
  <c r="I1019" i="3"/>
  <c r="J1019" i="3" s="1"/>
  <c r="I1020" i="3"/>
  <c r="J1020" i="3" s="1"/>
  <c r="I1021" i="3"/>
  <c r="J1021" i="3" s="1"/>
  <c r="M1010" i="3"/>
  <c r="N1010" i="3" s="1"/>
  <c r="M1013" i="3"/>
  <c r="N1013" i="3" s="1"/>
  <c r="M1019" i="3"/>
  <c r="N1019" i="3" s="1"/>
  <c r="M1020" i="3"/>
  <c r="N1020" i="3" s="1"/>
  <c r="E1004" i="3"/>
  <c r="F987" i="5" s="1"/>
  <c r="I1004" i="3"/>
  <c r="J1004" i="3" s="1"/>
  <c r="F368" i="2"/>
  <c r="F369" i="2"/>
  <c r="F370" i="2"/>
  <c r="F371" i="2"/>
  <c r="F372" i="2"/>
  <c r="F373" i="2"/>
  <c r="F374" i="2"/>
  <c r="F375" i="2"/>
  <c r="F376" i="2"/>
  <c r="F367" i="2"/>
  <c r="E987" i="3"/>
  <c r="F1033" i="5" s="1"/>
  <c r="E988" i="3"/>
  <c r="F1019" i="5" s="1"/>
  <c r="E989" i="3"/>
  <c r="F975" i="5" s="1"/>
  <c r="E990" i="3"/>
  <c r="F976" i="5" s="1"/>
  <c r="E991" i="3"/>
  <c r="F977" i="5" s="1"/>
  <c r="E992" i="3"/>
  <c r="E993" i="3"/>
  <c r="F1020" i="5" s="1"/>
  <c r="E994" i="3"/>
  <c r="F978" i="5" s="1"/>
  <c r="E995" i="3"/>
  <c r="F979" i="5" s="1"/>
  <c r="E996" i="3"/>
  <c r="F980" i="5" s="1"/>
  <c r="E997" i="3"/>
  <c r="F981" i="5" s="1"/>
  <c r="E998" i="3"/>
  <c r="F982" i="5" s="1"/>
  <c r="E999" i="3"/>
  <c r="F983" i="5" s="1"/>
  <c r="E1000" i="3"/>
  <c r="F984" i="5" s="1"/>
  <c r="E1001" i="3"/>
  <c r="E1002" i="3"/>
  <c r="F985" i="5" s="1"/>
  <c r="E1003" i="3"/>
  <c r="F986" i="5" s="1"/>
  <c r="I987" i="3"/>
  <c r="J987" i="3" s="1"/>
  <c r="I988" i="3"/>
  <c r="J988" i="3" s="1"/>
  <c r="I989" i="3"/>
  <c r="J989" i="3" s="1"/>
  <c r="I990" i="3"/>
  <c r="J990" i="3" s="1"/>
  <c r="I991" i="3"/>
  <c r="J991" i="3" s="1"/>
  <c r="I992" i="3"/>
  <c r="J992" i="3" s="1"/>
  <c r="I993" i="3"/>
  <c r="I994" i="3"/>
  <c r="J994" i="3" s="1"/>
  <c r="I995" i="3"/>
  <c r="J995" i="3" s="1"/>
  <c r="I996" i="3"/>
  <c r="J996" i="3" s="1"/>
  <c r="I997" i="3"/>
  <c r="J997" i="3" s="1"/>
  <c r="I998" i="3"/>
  <c r="J998" i="3" s="1"/>
  <c r="I999" i="3"/>
  <c r="J999" i="3" s="1"/>
  <c r="I1000" i="3"/>
  <c r="J1000" i="3" s="1"/>
  <c r="I1001" i="3"/>
  <c r="J1001" i="3" s="1"/>
  <c r="I1002" i="3"/>
  <c r="J1002" i="3" s="1"/>
  <c r="I1003" i="3"/>
  <c r="J1003" i="3" s="1"/>
  <c r="M987" i="3"/>
  <c r="N987" i="3" s="1"/>
  <c r="M992" i="3"/>
  <c r="N992" i="3" s="1"/>
  <c r="M993" i="3"/>
  <c r="N993" i="3" s="1"/>
  <c r="M1001" i="3"/>
  <c r="N1001" i="3" s="1"/>
  <c r="E986" i="3"/>
  <c r="F974" i="5" s="1"/>
  <c r="I986" i="3"/>
  <c r="J986" i="3" s="1"/>
  <c r="D973" i="5"/>
  <c r="E973" i="5"/>
  <c r="G973" i="5"/>
  <c r="H973" i="5"/>
  <c r="I973" i="5"/>
  <c r="M1005" i="3" s="1"/>
  <c r="N1005" i="3" s="1"/>
  <c r="D972" i="5"/>
  <c r="E972" i="5"/>
  <c r="G972" i="5"/>
  <c r="H972" i="5"/>
  <c r="I972" i="5"/>
  <c r="D971" i="5"/>
  <c r="E971" i="5"/>
  <c r="G971" i="5"/>
  <c r="H971" i="5"/>
  <c r="I971" i="5"/>
  <c r="D970" i="5"/>
  <c r="E970" i="5"/>
  <c r="G970" i="5"/>
  <c r="H970" i="5"/>
  <c r="I970" i="5"/>
  <c r="D969" i="5"/>
  <c r="E969" i="5"/>
  <c r="G969" i="5"/>
  <c r="H969" i="5"/>
  <c r="I969" i="5"/>
  <c r="D968" i="5"/>
  <c r="E968" i="5"/>
  <c r="G968" i="5"/>
  <c r="H968" i="5"/>
  <c r="I968" i="5"/>
  <c r="D967" i="5"/>
  <c r="E967" i="5"/>
  <c r="G967" i="5"/>
  <c r="H967" i="5"/>
  <c r="I967" i="5"/>
  <c r="D966" i="5"/>
  <c r="E966" i="5"/>
  <c r="G966" i="5"/>
  <c r="H966" i="5"/>
  <c r="I966" i="5"/>
  <c r="D965" i="5"/>
  <c r="E965" i="5"/>
  <c r="G965" i="5"/>
  <c r="H965" i="5"/>
  <c r="I965" i="5"/>
  <c r="D964" i="5"/>
  <c r="E964" i="5"/>
  <c r="G964" i="5"/>
  <c r="H964" i="5"/>
  <c r="I964" i="5"/>
  <c r="D963" i="5"/>
  <c r="E963" i="5"/>
  <c r="G963" i="5"/>
  <c r="H963" i="5"/>
  <c r="I963" i="5"/>
  <c r="D962" i="5"/>
  <c r="E962" i="5"/>
  <c r="G962" i="5"/>
  <c r="H962" i="5"/>
  <c r="I962" i="5"/>
  <c r="D961" i="5"/>
  <c r="E961" i="5"/>
  <c r="G961" i="5"/>
  <c r="H961" i="5"/>
  <c r="I961" i="5"/>
  <c r="K1051" i="3" l="1"/>
  <c r="K1039" i="3"/>
  <c r="K1052" i="3"/>
  <c r="L1052" i="3" s="1"/>
  <c r="K1025" i="3"/>
  <c r="L1025" i="3" s="1"/>
  <c r="K1045" i="3"/>
  <c r="L1045" i="3" s="1"/>
  <c r="K1036" i="3"/>
  <c r="L1036" i="3" s="1"/>
  <c r="K1028" i="3"/>
  <c r="L1028" i="3" s="1"/>
  <c r="K1022" i="3"/>
  <c r="L1022" i="3" s="1"/>
  <c r="K1027" i="3"/>
  <c r="L1027" i="3" s="1"/>
  <c r="K1049" i="3"/>
  <c r="K1047" i="3"/>
  <c r="L1047" i="3" s="1"/>
  <c r="K1035" i="3"/>
  <c r="L1035" i="3" s="1"/>
  <c r="K1029" i="3"/>
  <c r="L1029" i="3" s="1"/>
  <c r="K1044" i="3"/>
  <c r="L1044" i="3" s="1"/>
  <c r="K1043" i="3"/>
  <c r="L1043" i="3" s="1"/>
  <c r="L1033" i="3"/>
  <c r="J1031" i="3"/>
  <c r="K1031" i="3" s="1"/>
  <c r="L1031" i="3" s="1"/>
  <c r="L1032" i="3"/>
  <c r="L1030" i="3"/>
  <c r="L1049" i="3"/>
  <c r="L1042" i="3"/>
  <c r="L1026" i="3"/>
  <c r="L1041" i="3"/>
  <c r="J1037" i="3"/>
  <c r="K1037" i="3" s="1"/>
  <c r="L1037" i="3" s="1"/>
  <c r="K1048" i="3"/>
  <c r="L1048" i="3" s="1"/>
  <c r="L1038" i="3"/>
  <c r="L1024" i="3"/>
  <c r="L1023" i="3"/>
  <c r="K1046" i="3"/>
  <c r="L1046" i="3" s="1"/>
  <c r="K1034" i="3"/>
  <c r="L1034" i="3" s="1"/>
  <c r="L1050" i="3"/>
  <c r="L1040" i="3"/>
  <c r="L1051" i="3"/>
  <c r="L1039" i="3"/>
  <c r="L1003" i="3"/>
  <c r="K1015" i="3"/>
  <c r="K1004" i="3"/>
  <c r="L1004" i="3" s="1"/>
  <c r="K1013" i="3"/>
  <c r="L1013" i="3" s="1"/>
  <c r="K1016" i="3"/>
  <c r="L1016" i="3" s="1"/>
  <c r="K1019" i="3"/>
  <c r="L1019" i="3" s="1"/>
  <c r="K1007" i="3"/>
  <c r="L1007" i="3" s="1"/>
  <c r="L1021" i="3"/>
  <c r="K1006" i="3"/>
  <c r="L1006" i="3" s="1"/>
  <c r="K1012" i="3"/>
  <c r="L1012" i="3" s="1"/>
  <c r="K1018" i="3"/>
  <c r="L1018" i="3" s="1"/>
  <c r="L1015" i="3"/>
  <c r="K1008" i="3"/>
  <c r="L1008" i="3" s="1"/>
  <c r="L1014" i="3"/>
  <c r="K1009" i="3"/>
  <c r="L1009" i="3" s="1"/>
  <c r="K1020" i="3"/>
  <c r="L1020" i="3" s="1"/>
  <c r="J1017" i="3"/>
  <c r="K1017" i="3" s="1"/>
  <c r="L1017" i="3" s="1"/>
  <c r="J1005" i="3"/>
  <c r="K1005" i="3" s="1"/>
  <c r="L1005" i="3" s="1"/>
  <c r="K988" i="3"/>
  <c r="L988" i="3" s="1"/>
  <c r="J1011" i="3"/>
  <c r="K1011" i="3" s="1"/>
  <c r="L1011" i="3" s="1"/>
  <c r="J1010" i="3"/>
  <c r="K1010" i="3" s="1"/>
  <c r="L1010" i="3" s="1"/>
  <c r="K996" i="3"/>
  <c r="L996" i="3" s="1"/>
  <c r="K987" i="3"/>
  <c r="L987" i="3" s="1"/>
  <c r="K998" i="3"/>
  <c r="L998" i="3" s="1"/>
  <c r="K986" i="3"/>
  <c r="L986" i="3" s="1"/>
  <c r="K994" i="3"/>
  <c r="L994" i="3" s="1"/>
  <c r="K989" i="3"/>
  <c r="L989" i="3" s="1"/>
  <c r="K1000" i="3"/>
  <c r="L1000" i="3" s="1"/>
  <c r="K999" i="3"/>
  <c r="L999" i="3" s="1"/>
  <c r="L991" i="3"/>
  <c r="K995" i="3"/>
  <c r="L995" i="3" s="1"/>
  <c r="K992" i="3"/>
  <c r="L992" i="3" s="1"/>
  <c r="L997" i="3"/>
  <c r="K1002" i="3"/>
  <c r="L1002" i="3" s="1"/>
  <c r="K990" i="3"/>
  <c r="L990" i="3" s="1"/>
  <c r="K1001" i="3"/>
  <c r="L1001" i="3" s="1"/>
  <c r="J993" i="3"/>
  <c r="K993" i="3" s="1"/>
  <c r="L993" i="3" s="1"/>
  <c r="D960" i="5"/>
  <c r="E960" i="5"/>
  <c r="G960" i="5"/>
  <c r="H960" i="5"/>
  <c r="I960" i="5"/>
  <c r="D959" i="5"/>
  <c r="E959" i="5"/>
  <c r="G959" i="5"/>
  <c r="H959" i="5"/>
  <c r="I959" i="5"/>
  <c r="D958" i="5"/>
  <c r="E958" i="5"/>
  <c r="G958" i="5"/>
  <c r="H958" i="5"/>
  <c r="I958" i="5"/>
  <c r="D957" i="5"/>
  <c r="E957" i="5"/>
  <c r="G957" i="5"/>
  <c r="H957" i="5"/>
  <c r="I957" i="5"/>
  <c r="D956" i="5" l="1"/>
  <c r="E956" i="5"/>
  <c r="G956" i="5"/>
  <c r="H956" i="5"/>
  <c r="I956" i="5"/>
  <c r="D955" i="5" l="1"/>
  <c r="E955" i="5"/>
  <c r="G955" i="5"/>
  <c r="H955" i="5"/>
  <c r="I955" i="5"/>
  <c r="D954" i="5"/>
  <c r="E954" i="5"/>
  <c r="G954" i="5"/>
  <c r="H954" i="5"/>
  <c r="I954" i="5"/>
  <c r="D953" i="5" l="1"/>
  <c r="E953" i="5"/>
  <c r="G953" i="5"/>
  <c r="H953" i="5"/>
  <c r="I953" i="5"/>
  <c r="D952" i="5"/>
  <c r="E952" i="5"/>
  <c r="G952" i="5"/>
  <c r="H952" i="5"/>
  <c r="I952" i="5"/>
  <c r="D951" i="5"/>
  <c r="E951" i="5"/>
  <c r="G951" i="5"/>
  <c r="H951" i="5"/>
  <c r="I951" i="5"/>
  <c r="D950" i="5"/>
  <c r="E950" i="5"/>
  <c r="G950" i="5"/>
  <c r="H950" i="5"/>
  <c r="I950" i="5"/>
  <c r="M962" i="3" s="1"/>
  <c r="N962" i="3" s="1"/>
  <c r="D949" i="5"/>
  <c r="E949" i="5"/>
  <c r="G949" i="5"/>
  <c r="H949" i="5"/>
  <c r="I949" i="5"/>
  <c r="M934" i="3" s="1"/>
  <c r="N934" i="3" s="1"/>
  <c r="D945" i="5"/>
  <c r="D946" i="5"/>
  <c r="D947" i="5"/>
  <c r="D948" i="5"/>
  <c r="E945" i="5"/>
  <c r="E946" i="5"/>
  <c r="E947" i="5"/>
  <c r="E948" i="5"/>
  <c r="G945" i="5"/>
  <c r="G946" i="5"/>
  <c r="G947" i="5"/>
  <c r="G948" i="5"/>
  <c r="H945" i="5"/>
  <c r="H946" i="5"/>
  <c r="H947" i="5"/>
  <c r="H948" i="5"/>
  <c r="I945" i="5"/>
  <c r="M982" i="3" s="1"/>
  <c r="N982" i="3" s="1"/>
  <c r="K982" i="3" s="1"/>
  <c r="I946" i="5"/>
  <c r="M983" i="3" s="1"/>
  <c r="N983" i="3" s="1"/>
  <c r="I947" i="5"/>
  <c r="M984" i="3" s="1"/>
  <c r="N984" i="3" s="1"/>
  <c r="K984" i="3" s="1"/>
  <c r="I948" i="5"/>
  <c r="M985" i="3" s="1"/>
  <c r="N985" i="3" s="1"/>
  <c r="D941" i="5"/>
  <c r="D942" i="5"/>
  <c r="D943" i="5"/>
  <c r="D944" i="5"/>
  <c r="E941" i="5"/>
  <c r="E942" i="5"/>
  <c r="E943" i="5"/>
  <c r="E944" i="5"/>
  <c r="G941" i="5"/>
  <c r="G942" i="5"/>
  <c r="G943" i="5"/>
  <c r="G944" i="5"/>
  <c r="H941" i="5"/>
  <c r="H942" i="5"/>
  <c r="H943" i="5"/>
  <c r="H944" i="5"/>
  <c r="I941" i="5"/>
  <c r="M977" i="3" s="1"/>
  <c r="N977" i="3" s="1"/>
  <c r="K977" i="3" s="1"/>
  <c r="I942" i="5"/>
  <c r="M978" i="3" s="1"/>
  <c r="N978" i="3" s="1"/>
  <c r="I943" i="5"/>
  <c r="M979" i="3" s="1"/>
  <c r="N979" i="3" s="1"/>
  <c r="I944" i="5"/>
  <c r="M980" i="3" s="1"/>
  <c r="N980" i="3" s="1"/>
  <c r="D940" i="5"/>
  <c r="E940" i="5"/>
  <c r="G940" i="5"/>
  <c r="H940" i="5"/>
  <c r="I940" i="5"/>
  <c r="M973" i="3" s="1"/>
  <c r="N973" i="3" s="1"/>
  <c r="D933" i="5"/>
  <c r="D934" i="5"/>
  <c r="D935" i="5"/>
  <c r="D936" i="5"/>
  <c r="D937" i="5"/>
  <c r="D938" i="5"/>
  <c r="D939" i="5"/>
  <c r="E933" i="5"/>
  <c r="E934" i="5"/>
  <c r="E935" i="5"/>
  <c r="E936" i="5"/>
  <c r="E937" i="5"/>
  <c r="E938" i="5"/>
  <c r="E939" i="5"/>
  <c r="G933" i="5"/>
  <c r="G934" i="5"/>
  <c r="G935" i="5"/>
  <c r="G936" i="5"/>
  <c r="G937" i="5"/>
  <c r="G938" i="5"/>
  <c r="G939" i="5"/>
  <c r="H933" i="5"/>
  <c r="H934" i="5"/>
  <c r="H935" i="5"/>
  <c r="H936" i="5"/>
  <c r="H937" i="5"/>
  <c r="H938" i="5"/>
  <c r="H939" i="5"/>
  <c r="I933" i="5"/>
  <c r="M965" i="3" s="1"/>
  <c r="N965" i="3" s="1"/>
  <c r="K965" i="3" s="1"/>
  <c r="I934" i="5"/>
  <c r="M966" i="3" s="1"/>
  <c r="N966" i="3" s="1"/>
  <c r="I935" i="5"/>
  <c r="M967" i="3" s="1"/>
  <c r="N967" i="3" s="1"/>
  <c r="I936" i="5"/>
  <c r="M968" i="3" s="1"/>
  <c r="N968" i="3" s="1"/>
  <c r="I937" i="5"/>
  <c r="M969" i="3" s="1"/>
  <c r="N969" i="3" s="1"/>
  <c r="I938" i="5"/>
  <c r="M970" i="3" s="1"/>
  <c r="N970" i="3" s="1"/>
  <c r="K970" i="3" s="1"/>
  <c r="I939" i="5"/>
  <c r="M971" i="3" s="1"/>
  <c r="N971" i="3" s="1"/>
  <c r="K971" i="3" s="1"/>
  <c r="D932" i="5"/>
  <c r="E932" i="5"/>
  <c r="G932" i="5"/>
  <c r="H932" i="5"/>
  <c r="I932" i="5"/>
  <c r="M956" i="3" s="1"/>
  <c r="N956" i="3" s="1"/>
  <c r="K956" i="3" s="1"/>
  <c r="D931" i="5"/>
  <c r="E931" i="5"/>
  <c r="G931" i="5"/>
  <c r="H931" i="5"/>
  <c r="I931" i="5"/>
  <c r="F359" i="2"/>
  <c r="F360" i="2"/>
  <c r="F361" i="2"/>
  <c r="F362" i="2"/>
  <c r="F363" i="2"/>
  <c r="F364" i="2"/>
  <c r="F365" i="2"/>
  <c r="F366" i="2"/>
  <c r="F358" i="2"/>
  <c r="E957" i="3"/>
  <c r="F1024" i="5" s="1"/>
  <c r="E958" i="3"/>
  <c r="E959" i="3"/>
  <c r="E960" i="3"/>
  <c r="E961" i="3"/>
  <c r="F1030" i="5" s="1"/>
  <c r="E962" i="3"/>
  <c r="F950" i="5" s="1"/>
  <c r="E963" i="3"/>
  <c r="F1021" i="5" s="1"/>
  <c r="E964" i="3"/>
  <c r="E965" i="3"/>
  <c r="F933" i="5" s="1"/>
  <c r="E966" i="3"/>
  <c r="F934" i="5" s="1"/>
  <c r="E967" i="3"/>
  <c r="F935" i="5" s="1"/>
  <c r="E968" i="3"/>
  <c r="F936" i="5" s="1"/>
  <c r="E969" i="3"/>
  <c r="F937" i="5" s="1"/>
  <c r="E970" i="3"/>
  <c r="F938" i="5" s="1"/>
  <c r="E971" i="3"/>
  <c r="F939" i="5" s="1"/>
  <c r="E972" i="3"/>
  <c r="F1023" i="5" s="1"/>
  <c r="E973" i="3"/>
  <c r="F940" i="5" s="1"/>
  <c r="E974" i="3"/>
  <c r="F1025" i="5" s="1"/>
  <c r="E975" i="3"/>
  <c r="F1031" i="5" s="1"/>
  <c r="E976" i="3"/>
  <c r="F1032" i="5" s="1"/>
  <c r="E977" i="3"/>
  <c r="F941" i="5" s="1"/>
  <c r="E978" i="3"/>
  <c r="F942" i="5" s="1"/>
  <c r="E979" i="3"/>
  <c r="F943" i="5" s="1"/>
  <c r="E980" i="3"/>
  <c r="F944" i="5" s="1"/>
  <c r="E981" i="3"/>
  <c r="F1037" i="5" s="1"/>
  <c r="E982" i="3"/>
  <c r="F945" i="5" s="1"/>
  <c r="E983" i="3"/>
  <c r="F946" i="5" s="1"/>
  <c r="E984" i="3"/>
  <c r="F947" i="5" s="1"/>
  <c r="E985" i="3"/>
  <c r="F948" i="5" s="1"/>
  <c r="I957" i="3"/>
  <c r="J957" i="3" s="1"/>
  <c r="I958" i="3"/>
  <c r="J958" i="3" s="1"/>
  <c r="I959" i="3"/>
  <c r="J959" i="3" s="1"/>
  <c r="I960" i="3"/>
  <c r="J960" i="3" s="1"/>
  <c r="I961" i="3"/>
  <c r="I962" i="3"/>
  <c r="I963" i="3"/>
  <c r="I964" i="3"/>
  <c r="J964" i="3" s="1"/>
  <c r="I965" i="3"/>
  <c r="J965" i="3" s="1"/>
  <c r="I966" i="3"/>
  <c r="J966" i="3" s="1"/>
  <c r="I967" i="3"/>
  <c r="J967" i="3" s="1"/>
  <c r="I968" i="3"/>
  <c r="I969" i="3"/>
  <c r="J969" i="3" s="1"/>
  <c r="I970" i="3"/>
  <c r="J970" i="3" s="1"/>
  <c r="I971" i="3"/>
  <c r="J971" i="3" s="1"/>
  <c r="I972" i="3"/>
  <c r="J972" i="3" s="1"/>
  <c r="I973" i="3"/>
  <c r="I974" i="3"/>
  <c r="J974" i="3" s="1"/>
  <c r="I975" i="3"/>
  <c r="J975" i="3" s="1"/>
  <c r="I976" i="3"/>
  <c r="J976" i="3" s="1"/>
  <c r="I977" i="3"/>
  <c r="J977" i="3" s="1"/>
  <c r="I978" i="3"/>
  <c r="J978" i="3" s="1"/>
  <c r="I979" i="3"/>
  <c r="J979" i="3" s="1"/>
  <c r="I980" i="3"/>
  <c r="I981" i="3"/>
  <c r="J981" i="3" s="1"/>
  <c r="I982" i="3"/>
  <c r="J982" i="3" s="1"/>
  <c r="I983" i="3"/>
  <c r="J983" i="3" s="1"/>
  <c r="I984" i="3"/>
  <c r="J984" i="3" s="1"/>
  <c r="I985" i="3"/>
  <c r="J985" i="3" s="1"/>
  <c r="M957" i="3"/>
  <c r="N957" i="3" s="1"/>
  <c r="M958" i="3"/>
  <c r="N958" i="3" s="1"/>
  <c r="M959" i="3"/>
  <c r="N959" i="3" s="1"/>
  <c r="M960" i="3"/>
  <c r="N960" i="3" s="1"/>
  <c r="M961" i="3"/>
  <c r="N961" i="3" s="1"/>
  <c r="M963" i="3"/>
  <c r="N963" i="3" s="1"/>
  <c r="M964" i="3"/>
  <c r="N964" i="3" s="1"/>
  <c r="M972" i="3"/>
  <c r="N972" i="3" s="1"/>
  <c r="M974" i="3"/>
  <c r="N974" i="3" s="1"/>
  <c r="M975" i="3"/>
  <c r="N975" i="3" s="1"/>
  <c r="M976" i="3"/>
  <c r="N976" i="3" s="1"/>
  <c r="M981" i="3"/>
  <c r="N981" i="3" s="1"/>
  <c r="E956" i="3"/>
  <c r="F932" i="5" s="1"/>
  <c r="I956" i="3"/>
  <c r="J956" i="3" s="1"/>
  <c r="D924" i="5"/>
  <c r="D925" i="5"/>
  <c r="D926" i="5"/>
  <c r="D927" i="5"/>
  <c r="D928" i="5"/>
  <c r="D929" i="5"/>
  <c r="D930" i="5"/>
  <c r="E924" i="5"/>
  <c r="E925" i="5"/>
  <c r="E926" i="5"/>
  <c r="E927" i="5"/>
  <c r="E928" i="5"/>
  <c r="E929" i="5"/>
  <c r="E930" i="5"/>
  <c r="G924" i="5"/>
  <c r="G925" i="5"/>
  <c r="G926" i="5"/>
  <c r="G927" i="5"/>
  <c r="G928" i="5"/>
  <c r="G929" i="5"/>
  <c r="G930" i="5"/>
  <c r="H924" i="5"/>
  <c r="H925" i="5"/>
  <c r="H926" i="5"/>
  <c r="H927" i="5"/>
  <c r="H928" i="5"/>
  <c r="H929" i="5"/>
  <c r="H930" i="5"/>
  <c r="I924" i="5"/>
  <c r="M949" i="3" s="1"/>
  <c r="N949" i="3" s="1"/>
  <c r="K949" i="3" s="1"/>
  <c r="I925" i="5"/>
  <c r="M950" i="3" s="1"/>
  <c r="N950" i="3" s="1"/>
  <c r="I926" i="5"/>
  <c r="M951" i="3" s="1"/>
  <c r="N951" i="3" s="1"/>
  <c r="K951" i="3" s="1"/>
  <c r="I927" i="5"/>
  <c r="M952" i="3" s="1"/>
  <c r="N952" i="3" s="1"/>
  <c r="I928" i="5"/>
  <c r="M953" i="3" s="1"/>
  <c r="N953" i="3" s="1"/>
  <c r="I929" i="5"/>
  <c r="M954" i="3" s="1"/>
  <c r="N954" i="3" s="1"/>
  <c r="I930" i="5"/>
  <c r="M955" i="3" s="1"/>
  <c r="N955" i="3" s="1"/>
  <c r="K955" i="3" s="1"/>
  <c r="D923" i="5"/>
  <c r="E923" i="5"/>
  <c r="G923" i="5"/>
  <c r="H923" i="5"/>
  <c r="I923" i="5"/>
  <c r="M947" i="3" s="1"/>
  <c r="N947" i="3" s="1"/>
  <c r="K947" i="3" s="1"/>
  <c r="D917" i="5"/>
  <c r="D918" i="5"/>
  <c r="D919" i="5"/>
  <c r="D920" i="5"/>
  <c r="D921" i="5"/>
  <c r="D922" i="5"/>
  <c r="E917" i="5"/>
  <c r="E918" i="5"/>
  <c r="E919" i="5"/>
  <c r="E920" i="5"/>
  <c r="E921" i="5"/>
  <c r="E922" i="5"/>
  <c r="G917" i="5"/>
  <c r="G918" i="5"/>
  <c r="G919" i="5"/>
  <c r="G920" i="5"/>
  <c r="G921" i="5"/>
  <c r="G922" i="5"/>
  <c r="H917" i="5"/>
  <c r="H918" i="5"/>
  <c r="H919" i="5"/>
  <c r="H920" i="5"/>
  <c r="H921" i="5"/>
  <c r="H922" i="5"/>
  <c r="I917" i="5"/>
  <c r="M940" i="3" s="1"/>
  <c r="N940" i="3" s="1"/>
  <c r="I918" i="5"/>
  <c r="M941" i="3" s="1"/>
  <c r="N941" i="3" s="1"/>
  <c r="I919" i="5"/>
  <c r="M942" i="3" s="1"/>
  <c r="N942" i="3" s="1"/>
  <c r="K942" i="3" s="1"/>
  <c r="I920" i="5"/>
  <c r="M943" i="3" s="1"/>
  <c r="N943" i="3" s="1"/>
  <c r="K943" i="3" s="1"/>
  <c r="I921" i="5"/>
  <c r="M944" i="3" s="1"/>
  <c r="N944" i="3" s="1"/>
  <c r="I922" i="5"/>
  <c r="M945" i="3" s="1"/>
  <c r="N945" i="3" s="1"/>
  <c r="D915" i="5"/>
  <c r="D916" i="5"/>
  <c r="E915" i="5"/>
  <c r="E916" i="5"/>
  <c r="G915" i="5"/>
  <c r="G916" i="5"/>
  <c r="H915" i="5"/>
  <c r="H916" i="5"/>
  <c r="I915" i="5"/>
  <c r="M937" i="3" s="1"/>
  <c r="N937" i="3" s="1"/>
  <c r="K937" i="3" s="1"/>
  <c r="I916" i="5"/>
  <c r="M938" i="3" s="1"/>
  <c r="N938" i="3" s="1"/>
  <c r="D907" i="5"/>
  <c r="D908" i="5"/>
  <c r="D909" i="5"/>
  <c r="D910" i="5"/>
  <c r="D911" i="5"/>
  <c r="D912" i="5"/>
  <c r="D913" i="5"/>
  <c r="D914" i="5"/>
  <c r="E907" i="5"/>
  <c r="E908" i="5"/>
  <c r="E909" i="5"/>
  <c r="E910" i="5"/>
  <c r="E911" i="5"/>
  <c r="E912" i="5"/>
  <c r="E913" i="5"/>
  <c r="E914" i="5"/>
  <c r="G907" i="5"/>
  <c r="G908" i="5"/>
  <c r="G909" i="5"/>
  <c r="G910" i="5"/>
  <c r="G911" i="5"/>
  <c r="G912" i="5"/>
  <c r="G913" i="5"/>
  <c r="G914" i="5"/>
  <c r="H907" i="5"/>
  <c r="H908" i="5"/>
  <c r="H909" i="5"/>
  <c r="H910" i="5"/>
  <c r="H911" i="5"/>
  <c r="H912" i="5"/>
  <c r="H913" i="5"/>
  <c r="H914" i="5"/>
  <c r="I907" i="5"/>
  <c r="M926" i="3" s="1"/>
  <c r="N926" i="3" s="1"/>
  <c r="I908" i="5"/>
  <c r="M927" i="3" s="1"/>
  <c r="N927" i="3" s="1"/>
  <c r="K927" i="3" s="1"/>
  <c r="I909" i="5"/>
  <c r="M928" i="3" s="1"/>
  <c r="N928" i="3" s="1"/>
  <c r="I910" i="5"/>
  <c r="M929" i="3" s="1"/>
  <c r="N929" i="3" s="1"/>
  <c r="I911" i="5"/>
  <c r="M930" i="3" s="1"/>
  <c r="N930" i="3" s="1"/>
  <c r="I912" i="5"/>
  <c r="M931" i="3" s="1"/>
  <c r="N931" i="3" s="1"/>
  <c r="K931" i="3" s="1"/>
  <c r="I913" i="5"/>
  <c r="M932" i="3" s="1"/>
  <c r="N932" i="3" s="1"/>
  <c r="I914" i="5"/>
  <c r="M933" i="3" s="1"/>
  <c r="N933" i="3" s="1"/>
  <c r="D904" i="5"/>
  <c r="D905" i="5"/>
  <c r="D906" i="5"/>
  <c r="E904" i="5"/>
  <c r="E905" i="5"/>
  <c r="E906" i="5"/>
  <c r="G904" i="5"/>
  <c r="G905" i="5"/>
  <c r="G906" i="5"/>
  <c r="H904" i="5"/>
  <c r="H905" i="5"/>
  <c r="H906" i="5"/>
  <c r="I904" i="5"/>
  <c r="M922" i="3" s="1"/>
  <c r="N922" i="3" s="1"/>
  <c r="I905" i="5"/>
  <c r="M923" i="3" s="1"/>
  <c r="N923" i="3" s="1"/>
  <c r="K923" i="3" s="1"/>
  <c r="I906" i="5"/>
  <c r="M924" i="3" s="1"/>
  <c r="N924" i="3" s="1"/>
  <c r="D903" i="5"/>
  <c r="E903" i="5"/>
  <c r="G903" i="5"/>
  <c r="H903" i="5"/>
  <c r="I903" i="5"/>
  <c r="M919" i="3" s="1"/>
  <c r="N919" i="3" s="1"/>
  <c r="D901" i="5"/>
  <c r="D902" i="5"/>
  <c r="E901" i="5"/>
  <c r="E902" i="5"/>
  <c r="G901" i="5"/>
  <c r="G902" i="5"/>
  <c r="H901" i="5"/>
  <c r="H902" i="5"/>
  <c r="I901" i="5"/>
  <c r="M916" i="3" s="1"/>
  <c r="N916" i="3" s="1"/>
  <c r="I902" i="5"/>
  <c r="M917" i="3" s="1"/>
  <c r="N917" i="3" s="1"/>
  <c r="D897" i="5"/>
  <c r="D898" i="5"/>
  <c r="D899" i="5"/>
  <c r="D900" i="5"/>
  <c r="E897" i="5"/>
  <c r="E898" i="5"/>
  <c r="E899" i="5"/>
  <c r="E900" i="5"/>
  <c r="G897" i="5"/>
  <c r="G898" i="5"/>
  <c r="G899" i="5"/>
  <c r="G900" i="5"/>
  <c r="H897" i="5"/>
  <c r="H898" i="5"/>
  <c r="H899" i="5"/>
  <c r="H900" i="5"/>
  <c r="I897" i="5"/>
  <c r="M906" i="3" s="1"/>
  <c r="N906" i="3" s="1"/>
  <c r="I898" i="5"/>
  <c r="M907" i="3" s="1"/>
  <c r="N907" i="3" s="1"/>
  <c r="I899" i="5"/>
  <c r="M908" i="3" s="1"/>
  <c r="N908" i="3" s="1"/>
  <c r="I900" i="5"/>
  <c r="M909" i="3" s="1"/>
  <c r="N909" i="3" s="1"/>
  <c r="D890" i="5"/>
  <c r="D891" i="5"/>
  <c r="D892" i="5"/>
  <c r="D893" i="5"/>
  <c r="D894" i="5"/>
  <c r="D895" i="5"/>
  <c r="D896" i="5"/>
  <c r="E890" i="5"/>
  <c r="E891" i="5"/>
  <c r="E892" i="5"/>
  <c r="E893" i="5"/>
  <c r="E894" i="5"/>
  <c r="E895" i="5"/>
  <c r="E896" i="5"/>
  <c r="G890" i="5"/>
  <c r="G891" i="5"/>
  <c r="G892" i="5"/>
  <c r="G893" i="5"/>
  <c r="G894" i="5"/>
  <c r="G895" i="5"/>
  <c r="G896" i="5"/>
  <c r="H890" i="5"/>
  <c r="H891" i="5"/>
  <c r="H892" i="5"/>
  <c r="H893" i="5"/>
  <c r="H894" i="5"/>
  <c r="H895" i="5"/>
  <c r="H896" i="5"/>
  <c r="I890" i="5"/>
  <c r="M897" i="3" s="1"/>
  <c r="N897" i="3" s="1"/>
  <c r="I891" i="5"/>
  <c r="M898" i="3" s="1"/>
  <c r="N898" i="3" s="1"/>
  <c r="I892" i="5"/>
  <c r="M899" i="3" s="1"/>
  <c r="N899" i="3" s="1"/>
  <c r="I893" i="5"/>
  <c r="M900" i="3" s="1"/>
  <c r="N900" i="3" s="1"/>
  <c r="I894" i="5"/>
  <c r="M901" i="3" s="1"/>
  <c r="N901" i="3" s="1"/>
  <c r="I895" i="5"/>
  <c r="M902" i="3" s="1"/>
  <c r="N902" i="3" s="1"/>
  <c r="I896" i="5"/>
  <c r="M903" i="3" s="1"/>
  <c r="N903" i="3" s="1"/>
  <c r="D888" i="5"/>
  <c r="D889" i="5"/>
  <c r="E888" i="5"/>
  <c r="E889" i="5"/>
  <c r="G888" i="5"/>
  <c r="G889" i="5"/>
  <c r="H888" i="5"/>
  <c r="H889" i="5"/>
  <c r="I888" i="5"/>
  <c r="M894" i="3" s="1"/>
  <c r="N894" i="3" s="1"/>
  <c r="I889" i="5"/>
  <c r="M895" i="3" s="1"/>
  <c r="N895" i="3" s="1"/>
  <c r="F346" i="2"/>
  <c r="F347" i="2"/>
  <c r="F348" i="2"/>
  <c r="F349" i="2"/>
  <c r="F350" i="2"/>
  <c r="F351" i="2"/>
  <c r="F352" i="2"/>
  <c r="F353" i="2"/>
  <c r="F354" i="2"/>
  <c r="F355" i="2"/>
  <c r="F356" i="2"/>
  <c r="F357" i="2"/>
  <c r="E909" i="3"/>
  <c r="F900" i="5" s="1"/>
  <c r="E910" i="3"/>
  <c r="F964" i="5" s="1"/>
  <c r="E911" i="3"/>
  <c r="F965" i="5" s="1"/>
  <c r="E912" i="3"/>
  <c r="F966" i="5" s="1"/>
  <c r="E913" i="3"/>
  <c r="F967" i="5" s="1"/>
  <c r="E914" i="3"/>
  <c r="F968" i="5" s="1"/>
  <c r="E915" i="3"/>
  <c r="F970" i="5" s="1"/>
  <c r="E916" i="3"/>
  <c r="F901" i="5" s="1"/>
  <c r="E917" i="3"/>
  <c r="F902" i="5" s="1"/>
  <c r="E918" i="3"/>
  <c r="F1017" i="5" s="1"/>
  <c r="E919" i="3"/>
  <c r="F903" i="5" s="1"/>
  <c r="E920" i="3"/>
  <c r="F959" i="5" s="1"/>
  <c r="E921" i="3"/>
  <c r="F1022" i="5" s="1"/>
  <c r="E922" i="3"/>
  <c r="F904" i="5" s="1"/>
  <c r="E923" i="3"/>
  <c r="F905" i="5" s="1"/>
  <c r="E924" i="3"/>
  <c r="F906" i="5" s="1"/>
  <c r="E925" i="3"/>
  <c r="F971" i="5" s="1"/>
  <c r="E926" i="3"/>
  <c r="F907" i="5" s="1"/>
  <c r="E927" i="3"/>
  <c r="F908" i="5" s="1"/>
  <c r="E928" i="3"/>
  <c r="F909" i="5" s="1"/>
  <c r="E929" i="3"/>
  <c r="F910" i="5" s="1"/>
  <c r="E930" i="3"/>
  <c r="F911" i="5" s="1"/>
  <c r="E931" i="3"/>
  <c r="F912" i="5" s="1"/>
  <c r="E932" i="3"/>
  <c r="F913" i="5" s="1"/>
  <c r="E933" i="3"/>
  <c r="F914" i="5" s="1"/>
  <c r="E934" i="3"/>
  <c r="F949" i="5" s="1"/>
  <c r="E935" i="3"/>
  <c r="F972" i="5" s="1"/>
  <c r="E936" i="3"/>
  <c r="F1018" i="5" s="1"/>
  <c r="E937" i="3"/>
  <c r="F915" i="5" s="1"/>
  <c r="E938" i="3"/>
  <c r="F916" i="5" s="1"/>
  <c r="E939" i="3"/>
  <c r="E940" i="3"/>
  <c r="F917" i="5" s="1"/>
  <c r="E941" i="3"/>
  <c r="F918" i="5" s="1"/>
  <c r="E942" i="3"/>
  <c r="F919" i="5" s="1"/>
  <c r="E943" i="3"/>
  <c r="F920" i="5" s="1"/>
  <c r="E944" i="3"/>
  <c r="F921" i="5" s="1"/>
  <c r="E945" i="3"/>
  <c r="F922" i="5" s="1"/>
  <c r="E946" i="3"/>
  <c r="E947" i="3"/>
  <c r="F923" i="5" s="1"/>
  <c r="E948" i="3"/>
  <c r="F1029" i="5" s="1"/>
  <c r="E949" i="3"/>
  <c r="F924" i="5" s="1"/>
  <c r="E950" i="3"/>
  <c r="F925" i="5" s="1"/>
  <c r="E951" i="3"/>
  <c r="F926" i="5" s="1"/>
  <c r="E952" i="3"/>
  <c r="F927" i="5" s="1"/>
  <c r="E953" i="3"/>
  <c r="F928" i="5" s="1"/>
  <c r="E954" i="3"/>
  <c r="F929" i="5" s="1"/>
  <c r="E955" i="3"/>
  <c r="F930" i="5" s="1"/>
  <c r="I909" i="3"/>
  <c r="I910" i="3"/>
  <c r="J910" i="3" s="1"/>
  <c r="I911" i="3"/>
  <c r="J911" i="3" s="1"/>
  <c r="I912" i="3"/>
  <c r="J912" i="3" s="1"/>
  <c r="I913" i="3"/>
  <c r="J913" i="3" s="1"/>
  <c r="I914" i="3"/>
  <c r="J914" i="3" s="1"/>
  <c r="I915" i="3"/>
  <c r="J915" i="3" s="1"/>
  <c r="I916" i="3"/>
  <c r="I917" i="3"/>
  <c r="I918" i="3"/>
  <c r="I919" i="3"/>
  <c r="J919" i="3" s="1"/>
  <c r="I920" i="3"/>
  <c r="I921" i="3"/>
  <c r="I922" i="3"/>
  <c r="J922" i="3" s="1"/>
  <c r="I923" i="3"/>
  <c r="J923" i="3" s="1"/>
  <c r="I924" i="3"/>
  <c r="J924" i="3" s="1"/>
  <c r="I925" i="3"/>
  <c r="J925" i="3" s="1"/>
  <c r="I926" i="3"/>
  <c r="J926" i="3" s="1"/>
  <c r="I927" i="3"/>
  <c r="J927" i="3" s="1"/>
  <c r="I928" i="3"/>
  <c r="I929" i="3"/>
  <c r="I930" i="3"/>
  <c r="J930" i="3" s="1"/>
  <c r="I931" i="3"/>
  <c r="J931" i="3" s="1"/>
  <c r="I932" i="3"/>
  <c r="I933" i="3"/>
  <c r="I934" i="3"/>
  <c r="J934" i="3" s="1"/>
  <c r="I935" i="3"/>
  <c r="J935" i="3" s="1"/>
  <c r="I936" i="3"/>
  <c r="J936" i="3" s="1"/>
  <c r="I937" i="3"/>
  <c r="J937" i="3" s="1"/>
  <c r="I938" i="3"/>
  <c r="J938" i="3" s="1"/>
  <c r="I939" i="3"/>
  <c r="J939" i="3" s="1"/>
  <c r="I940" i="3"/>
  <c r="I941" i="3"/>
  <c r="J941" i="3" s="1"/>
  <c r="I942" i="3"/>
  <c r="J942" i="3" s="1"/>
  <c r="I943" i="3"/>
  <c r="J943" i="3" s="1"/>
  <c r="I944" i="3"/>
  <c r="I945" i="3"/>
  <c r="I946" i="3"/>
  <c r="J946" i="3" s="1"/>
  <c r="I947" i="3"/>
  <c r="J947" i="3" s="1"/>
  <c r="I948" i="3"/>
  <c r="J948" i="3" s="1"/>
  <c r="I949" i="3"/>
  <c r="J949" i="3" s="1"/>
  <c r="I950" i="3"/>
  <c r="J950" i="3" s="1"/>
  <c r="I951" i="3"/>
  <c r="J951" i="3" s="1"/>
  <c r="I952" i="3"/>
  <c r="I953" i="3"/>
  <c r="I954" i="3"/>
  <c r="I955" i="3"/>
  <c r="J955" i="3" s="1"/>
  <c r="M910" i="3"/>
  <c r="N910" i="3" s="1"/>
  <c r="M911" i="3"/>
  <c r="N911" i="3" s="1"/>
  <c r="M912" i="3"/>
  <c r="N912" i="3" s="1"/>
  <c r="M913" i="3"/>
  <c r="N913" i="3" s="1"/>
  <c r="M914" i="3"/>
  <c r="N914" i="3" s="1"/>
  <c r="M915" i="3"/>
  <c r="N915" i="3" s="1"/>
  <c r="M918" i="3"/>
  <c r="N918" i="3" s="1"/>
  <c r="M920" i="3"/>
  <c r="N920" i="3" s="1"/>
  <c r="M921" i="3"/>
  <c r="N921" i="3" s="1"/>
  <c r="M925" i="3"/>
  <c r="N925" i="3" s="1"/>
  <c r="M935" i="3"/>
  <c r="N935" i="3" s="1"/>
  <c r="M936" i="3"/>
  <c r="N936" i="3" s="1"/>
  <c r="M939" i="3"/>
  <c r="N939" i="3" s="1"/>
  <c r="M946" i="3"/>
  <c r="N946" i="3" s="1"/>
  <c r="M948" i="3"/>
  <c r="N948" i="3" s="1"/>
  <c r="E908" i="3"/>
  <c r="F899" i="5" s="1"/>
  <c r="I908" i="3"/>
  <c r="J908" i="3" s="1"/>
  <c r="D887" i="5"/>
  <c r="E887" i="5"/>
  <c r="G887" i="5"/>
  <c r="H887" i="5"/>
  <c r="I887" i="5"/>
  <c r="M893" i="3" s="1"/>
  <c r="N893" i="3" s="1"/>
  <c r="D886" i="5"/>
  <c r="E886" i="5"/>
  <c r="G886" i="5"/>
  <c r="H886" i="5"/>
  <c r="I886" i="5"/>
  <c r="F340" i="2"/>
  <c r="F341" i="2"/>
  <c r="F342" i="2"/>
  <c r="F343" i="2"/>
  <c r="F344" i="2"/>
  <c r="F345" i="2"/>
  <c r="E894" i="3"/>
  <c r="F888" i="5" s="1"/>
  <c r="E895" i="3"/>
  <c r="F889" i="5" s="1"/>
  <c r="E896" i="3"/>
  <c r="F961" i="5" s="1"/>
  <c r="E897" i="3"/>
  <c r="F890" i="5" s="1"/>
  <c r="E898" i="3"/>
  <c r="F891" i="5" s="1"/>
  <c r="E899" i="3"/>
  <c r="F892" i="5" s="1"/>
  <c r="E900" i="3"/>
  <c r="F893" i="5" s="1"/>
  <c r="E901" i="3"/>
  <c r="F894" i="5" s="1"/>
  <c r="E902" i="3"/>
  <c r="F895" i="5" s="1"/>
  <c r="E903" i="3"/>
  <c r="F896" i="5" s="1"/>
  <c r="E904" i="3"/>
  <c r="F962" i="5" s="1"/>
  <c r="E905" i="3"/>
  <c r="F963" i="5" s="1"/>
  <c r="E906" i="3"/>
  <c r="F897" i="5" s="1"/>
  <c r="E907" i="3"/>
  <c r="F898" i="5" s="1"/>
  <c r="I894" i="3"/>
  <c r="J894" i="3" s="1"/>
  <c r="I895" i="3"/>
  <c r="J895" i="3" s="1"/>
  <c r="I896" i="3"/>
  <c r="J896" i="3" s="1"/>
  <c r="I897" i="3"/>
  <c r="J897" i="3" s="1"/>
  <c r="I898" i="3"/>
  <c r="J898" i="3" s="1"/>
  <c r="I899" i="3"/>
  <c r="J899" i="3" s="1"/>
  <c r="I900" i="3"/>
  <c r="I901" i="3"/>
  <c r="J901" i="3" s="1"/>
  <c r="I902" i="3"/>
  <c r="J902" i="3" s="1"/>
  <c r="I903" i="3"/>
  <c r="J903" i="3" s="1"/>
  <c r="I904" i="3"/>
  <c r="J904" i="3" s="1"/>
  <c r="I905" i="3"/>
  <c r="J905" i="3" s="1"/>
  <c r="I906" i="3"/>
  <c r="J906" i="3" s="1"/>
  <c r="I907" i="3"/>
  <c r="M896" i="3"/>
  <c r="N896" i="3" s="1"/>
  <c r="M904" i="3"/>
  <c r="N904" i="3" s="1"/>
  <c r="M905" i="3"/>
  <c r="N905" i="3" s="1"/>
  <c r="E893" i="3"/>
  <c r="F887" i="5" s="1"/>
  <c r="I893" i="3"/>
  <c r="J893" i="3" s="1"/>
  <c r="D885" i="5"/>
  <c r="E885" i="5"/>
  <c r="G885" i="5"/>
  <c r="H885" i="5"/>
  <c r="I885" i="5"/>
  <c r="D884" i="5"/>
  <c r="E884" i="5"/>
  <c r="G884" i="5"/>
  <c r="H884" i="5"/>
  <c r="I884" i="5"/>
  <c r="D883" i="5"/>
  <c r="E883" i="5"/>
  <c r="G883" i="5"/>
  <c r="H883" i="5"/>
  <c r="I883" i="5"/>
  <c r="D882" i="5"/>
  <c r="E882" i="5"/>
  <c r="G882" i="5"/>
  <c r="H882" i="5"/>
  <c r="D881" i="5"/>
  <c r="E881" i="5"/>
  <c r="G881" i="5"/>
  <c r="H881" i="5"/>
  <c r="I881" i="5"/>
  <c r="D880" i="5"/>
  <c r="E880" i="5"/>
  <c r="G880" i="5"/>
  <c r="H880" i="5"/>
  <c r="E879" i="5"/>
  <c r="G879" i="5"/>
  <c r="H879" i="5"/>
  <c r="I879" i="5"/>
  <c r="D878" i="5"/>
  <c r="E878" i="5"/>
  <c r="G878" i="5"/>
  <c r="H878" i="5"/>
  <c r="I878" i="5"/>
  <c r="D877" i="5"/>
  <c r="E877" i="5"/>
  <c r="G877" i="5"/>
  <c r="H877" i="5"/>
  <c r="I877" i="5"/>
  <c r="D875" i="5"/>
  <c r="D876" i="5"/>
  <c r="E875" i="5"/>
  <c r="E876" i="5"/>
  <c r="G875" i="5"/>
  <c r="G876" i="5"/>
  <c r="H875" i="5"/>
  <c r="H876" i="5"/>
  <c r="I875" i="5"/>
  <c r="I876" i="5"/>
  <c r="K981" i="3" l="1"/>
  <c r="L981" i="3" s="1"/>
  <c r="K960" i="3"/>
  <c r="L960" i="3" s="1"/>
  <c r="K972" i="3"/>
  <c r="L972" i="3" s="1"/>
  <c r="L956" i="3"/>
  <c r="K976" i="3"/>
  <c r="L976" i="3" s="1"/>
  <c r="K958" i="3"/>
  <c r="L958" i="3" s="1"/>
  <c r="K969" i="3"/>
  <c r="K978" i="3"/>
  <c r="L978" i="3" s="1"/>
  <c r="K983" i="3"/>
  <c r="L983" i="3" s="1"/>
  <c r="K959" i="3"/>
  <c r="L959" i="3" s="1"/>
  <c r="K979" i="3"/>
  <c r="L979" i="3" s="1"/>
  <c r="K967" i="3"/>
  <c r="L967" i="3" s="1"/>
  <c r="K966" i="3"/>
  <c r="L966" i="3" s="1"/>
  <c r="K964" i="3"/>
  <c r="L964" i="3" s="1"/>
  <c r="K957" i="3"/>
  <c r="L957" i="3" s="1"/>
  <c r="L970" i="3"/>
  <c r="J962" i="3"/>
  <c r="K962" i="3" s="1"/>
  <c r="L962" i="3" s="1"/>
  <c r="L969" i="3"/>
  <c r="J961" i="3"/>
  <c r="K961" i="3" s="1"/>
  <c r="L961" i="3" s="1"/>
  <c r="L982" i="3"/>
  <c r="L965" i="3"/>
  <c r="K975" i="3"/>
  <c r="L975" i="3" s="1"/>
  <c r="J973" i="3"/>
  <c r="K973" i="3" s="1"/>
  <c r="L973" i="3" s="1"/>
  <c r="K974" i="3"/>
  <c r="L974" i="3" s="1"/>
  <c r="L977" i="3"/>
  <c r="K985" i="3"/>
  <c r="L985" i="3" s="1"/>
  <c r="L971" i="3"/>
  <c r="J963" i="3"/>
  <c r="K963" i="3" s="1"/>
  <c r="L963" i="3" s="1"/>
  <c r="L984" i="3"/>
  <c r="J980" i="3"/>
  <c r="K980" i="3" s="1"/>
  <c r="L980" i="3" s="1"/>
  <c r="J968" i="3"/>
  <c r="K968" i="3" s="1"/>
  <c r="L968" i="3" s="1"/>
  <c r="K904" i="3"/>
  <c r="L904" i="3" s="1"/>
  <c r="K911" i="3"/>
  <c r="L911" i="3" s="1"/>
  <c r="K913" i="3"/>
  <c r="L913" i="3" s="1"/>
  <c r="K914" i="3"/>
  <c r="L914" i="3" s="1"/>
  <c r="K939" i="3"/>
  <c r="L939" i="3" s="1"/>
  <c r="K935" i="3"/>
  <c r="L935" i="3" s="1"/>
  <c r="K934" i="3"/>
  <c r="L934" i="3" s="1"/>
  <c r="K915" i="3"/>
  <c r="L915" i="3" s="1"/>
  <c r="K950" i="3"/>
  <c r="L950" i="3" s="1"/>
  <c r="K938" i="3"/>
  <c r="L938" i="3" s="1"/>
  <c r="K925" i="3"/>
  <c r="L925" i="3" s="1"/>
  <c r="K948" i="3"/>
  <c r="L948" i="3" s="1"/>
  <c r="K936" i="3"/>
  <c r="L936" i="3" s="1"/>
  <c r="K924" i="3"/>
  <c r="L924" i="3" s="1"/>
  <c r="K912" i="3"/>
  <c r="L912" i="3" s="1"/>
  <c r="K908" i="3"/>
  <c r="L908" i="3" s="1"/>
  <c r="K922" i="3"/>
  <c r="L922" i="3" s="1"/>
  <c r="L942" i="3"/>
  <c r="K930" i="3"/>
  <c r="L930" i="3" s="1"/>
  <c r="L951" i="3"/>
  <c r="K941" i="3"/>
  <c r="L941" i="3" s="1"/>
  <c r="J945" i="3"/>
  <c r="J909" i="3"/>
  <c r="K909" i="3" s="1"/>
  <c r="L909" i="3" s="1"/>
  <c r="K952" i="3"/>
  <c r="L952" i="3" s="1"/>
  <c r="K940" i="3"/>
  <c r="L940" i="3" s="1"/>
  <c r="L949" i="3"/>
  <c r="L931" i="3"/>
  <c r="K926" i="3"/>
  <c r="L926" i="3" s="1"/>
  <c r="L947" i="3"/>
  <c r="L927" i="3"/>
  <c r="J921" i="3"/>
  <c r="K921" i="3" s="1"/>
  <c r="L921" i="3" s="1"/>
  <c r="L943" i="3"/>
  <c r="J954" i="3"/>
  <c r="K954" i="3" s="1"/>
  <c r="L954" i="3" s="1"/>
  <c r="J918" i="3"/>
  <c r="K918" i="3" s="1"/>
  <c r="L918" i="3" s="1"/>
  <c r="J953" i="3"/>
  <c r="K953" i="3" s="1"/>
  <c r="L953" i="3" s="1"/>
  <c r="J917" i="3"/>
  <c r="K917" i="3" s="1"/>
  <c r="L917" i="3" s="1"/>
  <c r="K946" i="3"/>
  <c r="L946" i="3" s="1"/>
  <c r="K910" i="3"/>
  <c r="L910" i="3" s="1"/>
  <c r="L923" i="3"/>
  <c r="K945" i="3"/>
  <c r="L945" i="3" s="1"/>
  <c r="K933" i="3"/>
  <c r="L933" i="3" s="1"/>
  <c r="J933" i="3"/>
  <c r="K932" i="3"/>
  <c r="L932" i="3" s="1"/>
  <c r="L955" i="3"/>
  <c r="L937" i="3"/>
  <c r="K919" i="3"/>
  <c r="L919" i="3" s="1"/>
  <c r="J929" i="3"/>
  <c r="K929" i="3" s="1"/>
  <c r="L929" i="3" s="1"/>
  <c r="J944" i="3"/>
  <c r="K944" i="3" s="1"/>
  <c r="L944" i="3" s="1"/>
  <c r="J932" i="3"/>
  <c r="J920" i="3"/>
  <c r="K920" i="3" s="1"/>
  <c r="L920" i="3" s="1"/>
  <c r="J952" i="3"/>
  <c r="J940" i="3"/>
  <c r="J928" i="3"/>
  <c r="K928" i="3" s="1"/>
  <c r="L928" i="3" s="1"/>
  <c r="J916" i="3"/>
  <c r="K916" i="3" s="1"/>
  <c r="L916" i="3" s="1"/>
  <c r="K903" i="3"/>
  <c r="L903" i="3" s="1"/>
  <c r="K902" i="3"/>
  <c r="L902" i="3" s="1"/>
  <c r="K893" i="3"/>
  <c r="L893" i="3" s="1"/>
  <c r="K898" i="3"/>
  <c r="L898" i="3" s="1"/>
  <c r="K899" i="3"/>
  <c r="L899" i="3" s="1"/>
  <c r="K897" i="3"/>
  <c r="L897" i="3" s="1"/>
  <c r="K906" i="3"/>
  <c r="L906" i="3" s="1"/>
  <c r="K894" i="3"/>
  <c r="L894" i="3" s="1"/>
  <c r="K905" i="3"/>
  <c r="L905" i="3" s="1"/>
  <c r="K901" i="3"/>
  <c r="L901" i="3" s="1"/>
  <c r="K896" i="3"/>
  <c r="L896" i="3" s="1"/>
  <c r="J907" i="3"/>
  <c r="K907" i="3" s="1"/>
  <c r="L907" i="3" s="1"/>
  <c r="K895" i="3"/>
  <c r="L895" i="3" s="1"/>
  <c r="J900" i="3"/>
  <c r="K900" i="3" s="1"/>
  <c r="L900" i="3" s="1"/>
  <c r="D874" i="5"/>
  <c r="E874" i="5"/>
  <c r="G874" i="5"/>
  <c r="H874" i="5"/>
  <c r="I874" i="5"/>
  <c r="D873" i="5"/>
  <c r="E873" i="5"/>
  <c r="G873" i="5"/>
  <c r="H873" i="5"/>
  <c r="I873" i="5"/>
  <c r="D872" i="5"/>
  <c r="E872" i="5"/>
  <c r="G872" i="5"/>
  <c r="H872" i="5"/>
  <c r="I872" i="5"/>
  <c r="D871" i="5"/>
  <c r="E871" i="5"/>
  <c r="G871" i="5"/>
  <c r="H871" i="5"/>
  <c r="I871" i="5"/>
  <c r="D870" i="5"/>
  <c r="E870" i="5"/>
  <c r="G870" i="5"/>
  <c r="H870" i="5"/>
  <c r="I870" i="5"/>
  <c r="D859" i="5"/>
  <c r="D860" i="5"/>
  <c r="D861" i="5"/>
  <c r="D862" i="5"/>
  <c r="D863" i="5"/>
  <c r="D864" i="5"/>
  <c r="D865" i="5"/>
  <c r="D866" i="5"/>
  <c r="D867" i="5"/>
  <c r="D868" i="5"/>
  <c r="D869" i="5"/>
  <c r="E859" i="5"/>
  <c r="E860" i="5"/>
  <c r="E861" i="5"/>
  <c r="E862" i="5"/>
  <c r="E863" i="5"/>
  <c r="E864" i="5"/>
  <c r="E865" i="5"/>
  <c r="E866" i="5"/>
  <c r="E867" i="5"/>
  <c r="E868" i="5"/>
  <c r="E869" i="5"/>
  <c r="G859" i="5"/>
  <c r="G860" i="5"/>
  <c r="G861" i="5"/>
  <c r="G862" i="5"/>
  <c r="G863" i="5"/>
  <c r="G864" i="5"/>
  <c r="G865" i="5"/>
  <c r="G866" i="5"/>
  <c r="G867" i="5"/>
  <c r="G868" i="5"/>
  <c r="G869" i="5"/>
  <c r="H859" i="5"/>
  <c r="H860" i="5"/>
  <c r="H861" i="5"/>
  <c r="H862" i="5"/>
  <c r="H863" i="5"/>
  <c r="H864" i="5"/>
  <c r="H865" i="5"/>
  <c r="H866" i="5"/>
  <c r="H867" i="5"/>
  <c r="H868" i="5"/>
  <c r="H869" i="5"/>
  <c r="I859" i="5"/>
  <c r="I860" i="5"/>
  <c r="I861" i="5"/>
  <c r="I862" i="5"/>
  <c r="I863" i="5"/>
  <c r="I864" i="5"/>
  <c r="I865" i="5"/>
  <c r="I866" i="5"/>
  <c r="I867" i="5"/>
  <c r="I868" i="5"/>
  <c r="I869" i="5"/>
  <c r="D857" i="5"/>
  <c r="D858" i="5"/>
  <c r="E857" i="5"/>
  <c r="E858" i="5"/>
  <c r="G857" i="5"/>
  <c r="G858" i="5"/>
  <c r="H857" i="5"/>
  <c r="H858" i="5"/>
  <c r="I857" i="5"/>
  <c r="I858" i="5"/>
  <c r="D856" i="5"/>
  <c r="E856" i="5"/>
  <c r="G856" i="5"/>
  <c r="H856" i="5"/>
  <c r="I856" i="5"/>
  <c r="D853" i="5"/>
  <c r="D854" i="5"/>
  <c r="D855" i="5"/>
  <c r="E853" i="5"/>
  <c r="E854" i="5"/>
  <c r="E855" i="5"/>
  <c r="G853" i="5"/>
  <c r="G854" i="5"/>
  <c r="G855" i="5"/>
  <c r="H853" i="5"/>
  <c r="H854" i="5"/>
  <c r="H855" i="5"/>
  <c r="I853" i="5"/>
  <c r="I854" i="5"/>
  <c r="I855" i="5"/>
  <c r="D846" i="5"/>
  <c r="D847" i="5"/>
  <c r="D848" i="5"/>
  <c r="D849" i="5"/>
  <c r="D850" i="5"/>
  <c r="D851" i="5"/>
  <c r="D852" i="5"/>
  <c r="E846" i="5"/>
  <c r="E847" i="5"/>
  <c r="E848" i="5"/>
  <c r="E849" i="5"/>
  <c r="E850" i="5"/>
  <c r="E851" i="5"/>
  <c r="E852" i="5"/>
  <c r="G846" i="5"/>
  <c r="G847" i="5"/>
  <c r="G848" i="5"/>
  <c r="G849" i="5"/>
  <c r="G850" i="5"/>
  <c r="G851" i="5"/>
  <c r="G852" i="5"/>
  <c r="H846" i="5"/>
  <c r="H847" i="5"/>
  <c r="H848" i="5"/>
  <c r="H849" i="5"/>
  <c r="H850" i="5"/>
  <c r="H851" i="5"/>
  <c r="H852" i="5"/>
  <c r="I846" i="5"/>
  <c r="I847" i="5"/>
  <c r="I848" i="5"/>
  <c r="I849" i="5"/>
  <c r="I850" i="5"/>
  <c r="I851" i="5"/>
  <c r="I852" i="5"/>
  <c r="D841" i="5"/>
  <c r="D842" i="5"/>
  <c r="D843" i="5"/>
  <c r="D844" i="5"/>
  <c r="D845" i="5"/>
  <c r="E841" i="5"/>
  <c r="E842" i="5"/>
  <c r="E843" i="5"/>
  <c r="E844" i="5"/>
  <c r="E845" i="5"/>
  <c r="G841" i="5"/>
  <c r="G842" i="5"/>
  <c r="G843" i="5"/>
  <c r="G844" i="5"/>
  <c r="G845" i="5"/>
  <c r="H841" i="5"/>
  <c r="H842" i="5"/>
  <c r="H843" i="5"/>
  <c r="H844" i="5"/>
  <c r="H845" i="5"/>
  <c r="I841" i="5"/>
  <c r="I842" i="5"/>
  <c r="I843" i="5"/>
  <c r="I844" i="5"/>
  <c r="I845" i="5"/>
  <c r="D840" i="5"/>
  <c r="E840" i="5"/>
  <c r="G840" i="5"/>
  <c r="H840" i="5"/>
  <c r="I840" i="5"/>
  <c r="D839" i="5"/>
  <c r="E839" i="5"/>
  <c r="G839" i="5"/>
  <c r="H839" i="5"/>
  <c r="I839" i="5"/>
  <c r="D838" i="5" l="1"/>
  <c r="E838" i="5"/>
  <c r="G838" i="5"/>
  <c r="H838" i="5"/>
  <c r="I838" i="5"/>
  <c r="D837" i="5"/>
  <c r="E837" i="5"/>
  <c r="G837" i="5"/>
  <c r="H837" i="5"/>
  <c r="I837" i="5"/>
  <c r="D836" i="5"/>
  <c r="E836" i="5"/>
  <c r="G836" i="5"/>
  <c r="H836" i="5"/>
  <c r="I836" i="5"/>
  <c r="D835" i="5" l="1"/>
  <c r="E835" i="5"/>
  <c r="G835" i="5"/>
  <c r="H835" i="5"/>
  <c r="I835" i="5"/>
  <c r="F329" i="2"/>
  <c r="F330" i="2"/>
  <c r="F331" i="2"/>
  <c r="F332" i="2"/>
  <c r="F333" i="2"/>
  <c r="F334" i="2"/>
  <c r="F335" i="2"/>
  <c r="F336" i="2"/>
  <c r="F337" i="2"/>
  <c r="F338" i="2"/>
  <c r="F339" i="2"/>
  <c r="E853" i="3"/>
  <c r="F841" i="5" s="1"/>
  <c r="E854" i="3"/>
  <c r="F842" i="5" s="1"/>
  <c r="E855" i="3"/>
  <c r="F843" i="5" s="1"/>
  <c r="E856" i="3"/>
  <c r="F844" i="5" s="1"/>
  <c r="E857" i="3"/>
  <c r="F845" i="5" s="1"/>
  <c r="E858" i="3"/>
  <c r="F883" i="5" s="1"/>
  <c r="E859" i="3"/>
  <c r="F884" i="5" s="1"/>
  <c r="E860" i="3"/>
  <c r="F846" i="5" s="1"/>
  <c r="E861" i="3"/>
  <c r="F847" i="5" s="1"/>
  <c r="E862" i="3"/>
  <c r="F848" i="5" s="1"/>
  <c r="E863" i="3"/>
  <c r="F849" i="5" s="1"/>
  <c r="E864" i="3"/>
  <c r="F850" i="5" s="1"/>
  <c r="E865" i="3"/>
  <c r="F851" i="5" s="1"/>
  <c r="E866" i="3"/>
  <c r="F852" i="5" s="1"/>
  <c r="E867" i="3"/>
  <c r="F953" i="5" s="1"/>
  <c r="E868" i="3"/>
  <c r="F853" i="5" s="1"/>
  <c r="E869" i="3"/>
  <c r="F854" i="5" s="1"/>
  <c r="E870" i="3"/>
  <c r="F855" i="5" s="1"/>
  <c r="E871" i="3"/>
  <c r="F885" i="5" s="1"/>
  <c r="E872" i="3"/>
  <c r="F957" i="5" s="1"/>
  <c r="E873" i="3"/>
  <c r="F954" i="5" s="1"/>
  <c r="E874" i="3"/>
  <c r="F856" i="5" s="1"/>
  <c r="E875" i="3"/>
  <c r="F958" i="5" s="1"/>
  <c r="E876" i="3"/>
  <c r="F857" i="5" s="1"/>
  <c r="E877" i="3"/>
  <c r="F858" i="5" s="1"/>
  <c r="E878" i="3"/>
  <c r="F886" i="5" s="1"/>
  <c r="E879" i="3"/>
  <c r="F859" i="5" s="1"/>
  <c r="E880" i="3"/>
  <c r="F860" i="5" s="1"/>
  <c r="E881" i="3"/>
  <c r="F861" i="5" s="1"/>
  <c r="E882" i="3"/>
  <c r="F862" i="5" s="1"/>
  <c r="E883" i="3"/>
  <c r="F863" i="5" s="1"/>
  <c r="E884" i="3"/>
  <c r="F864" i="5" s="1"/>
  <c r="E885" i="3"/>
  <c r="F865" i="5" s="1"/>
  <c r="E886" i="3"/>
  <c r="F866" i="5" s="1"/>
  <c r="E887" i="3"/>
  <c r="F867" i="5" s="1"/>
  <c r="E888" i="3"/>
  <c r="F868" i="5" s="1"/>
  <c r="E889" i="3"/>
  <c r="F869" i="5" s="1"/>
  <c r="E890" i="3"/>
  <c r="F839" i="5" s="1"/>
  <c r="E891" i="3"/>
  <c r="F870" i="5" s="1"/>
  <c r="E892" i="3"/>
  <c r="F960" i="5" s="1"/>
  <c r="I853" i="3"/>
  <c r="J853" i="3" s="1"/>
  <c r="I854" i="3"/>
  <c r="J854" i="3" s="1"/>
  <c r="I855" i="3"/>
  <c r="J855" i="3" s="1"/>
  <c r="I856" i="3"/>
  <c r="J856" i="3" s="1"/>
  <c r="I857" i="3"/>
  <c r="J857" i="3" s="1"/>
  <c r="I858" i="3"/>
  <c r="J858" i="3" s="1"/>
  <c r="I859" i="3"/>
  <c r="J859" i="3" s="1"/>
  <c r="I860" i="3"/>
  <c r="J860" i="3" s="1"/>
  <c r="I861" i="3"/>
  <c r="J861" i="3" s="1"/>
  <c r="I862" i="3"/>
  <c r="J862" i="3" s="1"/>
  <c r="I863" i="3"/>
  <c r="J863" i="3" s="1"/>
  <c r="I864" i="3"/>
  <c r="J864" i="3" s="1"/>
  <c r="I865" i="3"/>
  <c r="J865" i="3" s="1"/>
  <c r="I866" i="3"/>
  <c r="J866" i="3" s="1"/>
  <c r="I867" i="3"/>
  <c r="J867" i="3" s="1"/>
  <c r="I868" i="3"/>
  <c r="J868" i="3" s="1"/>
  <c r="I869" i="3"/>
  <c r="J869" i="3" s="1"/>
  <c r="I870" i="3"/>
  <c r="I871" i="3"/>
  <c r="J871" i="3" s="1"/>
  <c r="I872" i="3"/>
  <c r="J872" i="3" s="1"/>
  <c r="I873" i="3"/>
  <c r="I874" i="3"/>
  <c r="J874" i="3" s="1"/>
  <c r="I875" i="3"/>
  <c r="J875" i="3" s="1"/>
  <c r="I876" i="3"/>
  <c r="J876" i="3" s="1"/>
  <c r="I877" i="3"/>
  <c r="J877" i="3" s="1"/>
  <c r="I878" i="3"/>
  <c r="J878" i="3" s="1"/>
  <c r="I879" i="3"/>
  <c r="J879" i="3" s="1"/>
  <c r="I880" i="3"/>
  <c r="J880" i="3" s="1"/>
  <c r="I881" i="3"/>
  <c r="J881" i="3" s="1"/>
  <c r="I882" i="3"/>
  <c r="J882" i="3" s="1"/>
  <c r="I883" i="3"/>
  <c r="J883" i="3" s="1"/>
  <c r="I884" i="3"/>
  <c r="J884" i="3" s="1"/>
  <c r="I885" i="3"/>
  <c r="J885" i="3" s="1"/>
  <c r="I886" i="3"/>
  <c r="J886" i="3" s="1"/>
  <c r="I887" i="3"/>
  <c r="J887" i="3" s="1"/>
  <c r="I888" i="3"/>
  <c r="J888" i="3" s="1"/>
  <c r="I889" i="3"/>
  <c r="J889" i="3" s="1"/>
  <c r="I890" i="3"/>
  <c r="J890" i="3" s="1"/>
  <c r="I891" i="3"/>
  <c r="J891" i="3" s="1"/>
  <c r="I892" i="3"/>
  <c r="J892" i="3" s="1"/>
  <c r="M853" i="3"/>
  <c r="N853" i="3" s="1"/>
  <c r="M854" i="3"/>
  <c r="N854" i="3" s="1"/>
  <c r="M855" i="3"/>
  <c r="N855" i="3" s="1"/>
  <c r="M856" i="3"/>
  <c r="N856" i="3" s="1"/>
  <c r="M857" i="3"/>
  <c r="N857" i="3" s="1"/>
  <c r="M858" i="3"/>
  <c r="N858" i="3" s="1"/>
  <c r="M859" i="3"/>
  <c r="N859" i="3" s="1"/>
  <c r="M860" i="3"/>
  <c r="N860" i="3" s="1"/>
  <c r="M861" i="3"/>
  <c r="N861" i="3" s="1"/>
  <c r="M862" i="3"/>
  <c r="N862" i="3" s="1"/>
  <c r="M863" i="3"/>
  <c r="N863" i="3" s="1"/>
  <c r="M864" i="3"/>
  <c r="N864" i="3" s="1"/>
  <c r="M865" i="3"/>
  <c r="N865" i="3" s="1"/>
  <c r="M866" i="3"/>
  <c r="N866" i="3" s="1"/>
  <c r="M867" i="3"/>
  <c r="N867" i="3" s="1"/>
  <c r="M868" i="3"/>
  <c r="N868" i="3" s="1"/>
  <c r="M869" i="3"/>
  <c r="N869" i="3" s="1"/>
  <c r="M870" i="3"/>
  <c r="N870" i="3" s="1"/>
  <c r="M871" i="3"/>
  <c r="N871" i="3" s="1"/>
  <c r="M872" i="3"/>
  <c r="N872" i="3" s="1"/>
  <c r="K872" i="3" s="1"/>
  <c r="M873" i="3"/>
  <c r="N873" i="3" s="1"/>
  <c r="M874" i="3"/>
  <c r="N874" i="3" s="1"/>
  <c r="M875" i="3"/>
  <c r="N875" i="3" s="1"/>
  <c r="M876" i="3"/>
  <c r="N876" i="3" s="1"/>
  <c r="M877" i="3"/>
  <c r="N877" i="3" s="1"/>
  <c r="M878" i="3"/>
  <c r="N878" i="3" s="1"/>
  <c r="M879" i="3"/>
  <c r="N879" i="3" s="1"/>
  <c r="M880" i="3"/>
  <c r="N880" i="3" s="1"/>
  <c r="M881" i="3"/>
  <c r="N881" i="3" s="1"/>
  <c r="M882" i="3"/>
  <c r="N882" i="3" s="1"/>
  <c r="M883" i="3"/>
  <c r="N883" i="3" s="1"/>
  <c r="M884" i="3"/>
  <c r="N884" i="3" s="1"/>
  <c r="K884" i="3" s="1"/>
  <c r="M885" i="3"/>
  <c r="N885" i="3" s="1"/>
  <c r="M886" i="3"/>
  <c r="N886" i="3" s="1"/>
  <c r="M887" i="3"/>
  <c r="N887" i="3" s="1"/>
  <c r="M888" i="3"/>
  <c r="N888" i="3" s="1"/>
  <c r="M889" i="3"/>
  <c r="N889" i="3" s="1"/>
  <c r="M890" i="3"/>
  <c r="N890" i="3" s="1"/>
  <c r="M891" i="3"/>
  <c r="N891" i="3" s="1"/>
  <c r="M892" i="3"/>
  <c r="N892" i="3" s="1"/>
  <c r="E852" i="3"/>
  <c r="F840" i="5" s="1"/>
  <c r="I852" i="3"/>
  <c r="J852" i="3" s="1"/>
  <c r="M852" i="3"/>
  <c r="N852" i="3" s="1"/>
  <c r="E851" i="3"/>
  <c r="F879" i="5" s="1"/>
  <c r="I851" i="3"/>
  <c r="J851" i="3" s="1"/>
  <c r="M851" i="3"/>
  <c r="N851" i="3" s="1"/>
  <c r="D834" i="5"/>
  <c r="E834" i="5"/>
  <c r="G834" i="5"/>
  <c r="H834" i="5"/>
  <c r="I834" i="5"/>
  <c r="M846" i="3" s="1"/>
  <c r="N846" i="3" s="1"/>
  <c r="D833" i="5"/>
  <c r="E833" i="5"/>
  <c r="G833" i="5"/>
  <c r="H833" i="5"/>
  <c r="I833" i="5"/>
  <c r="D832" i="5"/>
  <c r="E832" i="5"/>
  <c r="G832" i="5"/>
  <c r="H832" i="5"/>
  <c r="I832" i="5"/>
  <c r="D831" i="5"/>
  <c r="E831" i="5"/>
  <c r="G831" i="5"/>
  <c r="H831" i="5"/>
  <c r="I831" i="5"/>
  <c r="D830" i="5"/>
  <c r="E830" i="5"/>
  <c r="G830" i="5"/>
  <c r="H830" i="5"/>
  <c r="I830" i="5"/>
  <c r="D829" i="5"/>
  <c r="E829" i="5"/>
  <c r="G829" i="5"/>
  <c r="H829" i="5"/>
  <c r="I829" i="5"/>
  <c r="D828" i="5"/>
  <c r="E828" i="5"/>
  <c r="G828" i="5"/>
  <c r="H828" i="5"/>
  <c r="I828" i="5"/>
  <c r="M847" i="3" s="1"/>
  <c r="N847" i="3" s="1"/>
  <c r="K847" i="3" s="1"/>
  <c r="D823" i="5"/>
  <c r="D824" i="5"/>
  <c r="D825" i="5"/>
  <c r="D826" i="5"/>
  <c r="D827" i="5"/>
  <c r="E823" i="5"/>
  <c r="E824" i="5"/>
  <c r="E825" i="5"/>
  <c r="E826" i="5"/>
  <c r="E827" i="5"/>
  <c r="G823" i="5"/>
  <c r="G824" i="5"/>
  <c r="G825" i="5"/>
  <c r="G826" i="5"/>
  <c r="G827" i="5"/>
  <c r="H823" i="5"/>
  <c r="H824" i="5"/>
  <c r="H825" i="5"/>
  <c r="H826" i="5"/>
  <c r="H827" i="5"/>
  <c r="I823" i="5"/>
  <c r="M841" i="3" s="1"/>
  <c r="N841" i="3" s="1"/>
  <c r="I824" i="5"/>
  <c r="M842" i="3" s="1"/>
  <c r="N842" i="3" s="1"/>
  <c r="K842" i="3" s="1"/>
  <c r="I825" i="5"/>
  <c r="M843" i="3" s="1"/>
  <c r="N843" i="3" s="1"/>
  <c r="I826" i="5"/>
  <c r="M844" i="3" s="1"/>
  <c r="N844" i="3" s="1"/>
  <c r="K844" i="3" s="1"/>
  <c r="I827" i="5"/>
  <c r="M845" i="3" s="1"/>
  <c r="N845" i="3" s="1"/>
  <c r="K845" i="3" s="1"/>
  <c r="F326" i="2"/>
  <c r="F327" i="2"/>
  <c r="F328" i="2"/>
  <c r="F325" i="2"/>
  <c r="E840" i="3"/>
  <c r="F838" i="5" s="1"/>
  <c r="E841" i="3"/>
  <c r="F823" i="5" s="1"/>
  <c r="E842" i="3"/>
  <c r="F824" i="5" s="1"/>
  <c r="E843" i="3"/>
  <c r="F825" i="5" s="1"/>
  <c r="E844" i="3"/>
  <c r="F826" i="5" s="1"/>
  <c r="E845" i="3"/>
  <c r="F827" i="5" s="1"/>
  <c r="E846" i="3"/>
  <c r="F834" i="5" s="1"/>
  <c r="E847" i="3"/>
  <c r="F828" i="5" s="1"/>
  <c r="E848" i="3"/>
  <c r="E849" i="3"/>
  <c r="F878" i="5" s="1"/>
  <c r="E850" i="3"/>
  <c r="F956" i="5" s="1"/>
  <c r="I840" i="3"/>
  <c r="J840" i="3" s="1"/>
  <c r="I841" i="3"/>
  <c r="J841" i="3" s="1"/>
  <c r="I842" i="3"/>
  <c r="J842" i="3" s="1"/>
  <c r="I843" i="3"/>
  <c r="I844" i="3"/>
  <c r="J844" i="3" s="1"/>
  <c r="I845" i="3"/>
  <c r="J845" i="3" s="1"/>
  <c r="I846" i="3"/>
  <c r="J846" i="3" s="1"/>
  <c r="I847" i="3"/>
  <c r="J847" i="3" s="1"/>
  <c r="I848" i="3"/>
  <c r="J848" i="3" s="1"/>
  <c r="I849" i="3"/>
  <c r="J849" i="3" s="1"/>
  <c r="I850" i="3"/>
  <c r="J850" i="3" s="1"/>
  <c r="M840" i="3"/>
  <c r="N840" i="3" s="1"/>
  <c r="M848" i="3"/>
  <c r="N848" i="3" s="1"/>
  <c r="M849" i="3"/>
  <c r="N849" i="3" s="1"/>
  <c r="M850" i="3"/>
  <c r="N850" i="3" s="1"/>
  <c r="F880" i="5" l="1"/>
  <c r="F882" i="5"/>
  <c r="K887" i="3"/>
  <c r="K875" i="3"/>
  <c r="L875" i="3" s="1"/>
  <c r="K889" i="3"/>
  <c r="L889" i="3" s="1"/>
  <c r="K863" i="3"/>
  <c r="L863" i="3" s="1"/>
  <c r="K856" i="3"/>
  <c r="L856" i="3" s="1"/>
  <c r="K865" i="3"/>
  <c r="L865" i="3" s="1"/>
  <c r="K853" i="3"/>
  <c r="L853" i="3" s="1"/>
  <c r="K874" i="3"/>
  <c r="L874" i="3" s="1"/>
  <c r="K876" i="3"/>
  <c r="L876" i="3" s="1"/>
  <c r="K864" i="3"/>
  <c r="L864" i="3" s="1"/>
  <c r="K862" i="3"/>
  <c r="L862" i="3" s="1"/>
  <c r="K852" i="3"/>
  <c r="L852" i="3" s="1"/>
  <c r="K860" i="3"/>
  <c r="L860" i="3" s="1"/>
  <c r="K881" i="3"/>
  <c r="L881" i="3" s="1"/>
  <c r="K869" i="3"/>
  <c r="L869" i="3" s="1"/>
  <c r="K857" i="3"/>
  <c r="L857" i="3" s="1"/>
  <c r="K886" i="3"/>
  <c r="L886" i="3" s="1"/>
  <c r="K879" i="3"/>
  <c r="L879" i="3" s="1"/>
  <c r="K867" i="3"/>
  <c r="L867" i="3" s="1"/>
  <c r="K855" i="3"/>
  <c r="L855" i="3" s="1"/>
  <c r="K854" i="3"/>
  <c r="L854" i="3" s="1"/>
  <c r="K888" i="3"/>
  <c r="L888" i="3" s="1"/>
  <c r="K892" i="3"/>
  <c r="L892" i="3" s="1"/>
  <c r="K880" i="3"/>
  <c r="L880" i="3" s="1"/>
  <c r="K868" i="3"/>
  <c r="L868" i="3" s="1"/>
  <c r="K866" i="3"/>
  <c r="L866" i="3" s="1"/>
  <c r="K890" i="3"/>
  <c r="L890" i="3" s="1"/>
  <c r="K877" i="3"/>
  <c r="L877" i="3" s="1"/>
  <c r="K891" i="3"/>
  <c r="L891" i="3" s="1"/>
  <c r="K883" i="3"/>
  <c r="L883" i="3" s="1"/>
  <c r="K871" i="3"/>
  <c r="L871" i="3" s="1"/>
  <c r="K859" i="3"/>
  <c r="L859" i="3" s="1"/>
  <c r="K878" i="3"/>
  <c r="L878" i="3" s="1"/>
  <c r="K885" i="3"/>
  <c r="L885" i="3" s="1"/>
  <c r="K861" i="3"/>
  <c r="L861" i="3" s="1"/>
  <c r="L887" i="3"/>
  <c r="K882" i="3"/>
  <c r="L882" i="3" s="1"/>
  <c r="K858" i="3"/>
  <c r="L858" i="3" s="1"/>
  <c r="J873" i="3"/>
  <c r="K873" i="3" s="1"/>
  <c r="L873" i="3" s="1"/>
  <c r="J870" i="3"/>
  <c r="K870" i="3" s="1"/>
  <c r="L870" i="3" s="1"/>
  <c r="L884" i="3"/>
  <c r="L872" i="3"/>
  <c r="K851" i="3"/>
  <c r="L851" i="3" s="1"/>
  <c r="K846" i="3"/>
  <c r="L846" i="3" s="1"/>
  <c r="K840" i="3"/>
  <c r="L840" i="3" s="1"/>
  <c r="K841" i="3"/>
  <c r="L841" i="3" s="1"/>
  <c r="L842" i="3"/>
  <c r="K850" i="3"/>
  <c r="L850" i="3" s="1"/>
  <c r="K849" i="3"/>
  <c r="L849" i="3" s="1"/>
  <c r="K848" i="3"/>
  <c r="L848" i="3" s="1"/>
  <c r="L847" i="3"/>
  <c r="L845" i="3"/>
  <c r="L844" i="3"/>
  <c r="J843" i="3"/>
  <c r="K843" i="3" s="1"/>
  <c r="L843" i="3" s="1"/>
  <c r="E839" i="3"/>
  <c r="I839" i="3"/>
  <c r="J839" i="3" s="1"/>
  <c r="D822" i="5" l="1"/>
  <c r="E822" i="5"/>
  <c r="F822" i="5"/>
  <c r="G822" i="5"/>
  <c r="H822" i="5"/>
  <c r="I822" i="5"/>
  <c r="M839" i="3" s="1"/>
  <c r="N839" i="3" s="1"/>
  <c r="D821" i="5"/>
  <c r="E821" i="5"/>
  <c r="G821" i="5"/>
  <c r="H821" i="5"/>
  <c r="D820" i="5"/>
  <c r="E820" i="5"/>
  <c r="G820" i="5"/>
  <c r="H820" i="5"/>
  <c r="K839" i="3" l="1"/>
  <c r="L839" i="3"/>
  <c r="D766" i="5"/>
  <c r="E766" i="5"/>
  <c r="G766" i="5"/>
  <c r="H766" i="5"/>
  <c r="I766" i="5"/>
  <c r="D763" i="5"/>
  <c r="E763" i="5"/>
  <c r="G763" i="5"/>
  <c r="H763" i="5"/>
  <c r="I763" i="5"/>
  <c r="D759" i="5" l="1"/>
  <c r="E759" i="5"/>
  <c r="G759" i="5"/>
  <c r="H759" i="5"/>
  <c r="I759" i="5"/>
  <c r="E755" i="3"/>
  <c r="I755" i="3"/>
  <c r="J755" i="3" s="1"/>
  <c r="D756" i="5"/>
  <c r="E756" i="5"/>
  <c r="G756" i="5"/>
  <c r="H756" i="5"/>
  <c r="I756" i="5"/>
  <c r="D753" i="5"/>
  <c r="E753" i="5"/>
  <c r="G753" i="5"/>
  <c r="H753" i="5"/>
  <c r="I753" i="5"/>
  <c r="E838" i="3" l="1"/>
  <c r="F873" i="5" s="1"/>
  <c r="I838" i="3"/>
  <c r="J838" i="3" s="1"/>
  <c r="M838" i="3"/>
  <c r="N838" i="3" s="1"/>
  <c r="K838" i="3" s="1"/>
  <c r="E837" i="3"/>
  <c r="F837" i="5" s="1"/>
  <c r="I837" i="3"/>
  <c r="J837" i="3" s="1"/>
  <c r="M837" i="3"/>
  <c r="N837" i="3" s="1"/>
  <c r="D752" i="5"/>
  <c r="E752" i="5"/>
  <c r="G752" i="5"/>
  <c r="H752" i="5"/>
  <c r="I752" i="5"/>
  <c r="D751" i="5"/>
  <c r="E751" i="5"/>
  <c r="G751" i="5"/>
  <c r="H751" i="5"/>
  <c r="I751" i="5"/>
  <c r="D705" i="5"/>
  <c r="E705" i="5"/>
  <c r="G705" i="5"/>
  <c r="H705" i="5"/>
  <c r="I705" i="5"/>
  <c r="D655" i="5"/>
  <c r="E655" i="5"/>
  <c r="G655" i="5"/>
  <c r="H655" i="5"/>
  <c r="I655" i="5"/>
  <c r="D649" i="5"/>
  <c r="E649" i="5"/>
  <c r="G649" i="5"/>
  <c r="H649" i="5"/>
  <c r="I649" i="5"/>
  <c r="D742" i="5"/>
  <c r="E742" i="5"/>
  <c r="G742" i="5"/>
  <c r="H742" i="5"/>
  <c r="I742" i="5"/>
  <c r="D819" i="5"/>
  <c r="E819" i="5"/>
  <c r="G819" i="5"/>
  <c r="H819" i="5"/>
  <c r="I819" i="5"/>
  <c r="M832" i="3" s="1"/>
  <c r="N832" i="3" s="1"/>
  <c r="D818" i="5"/>
  <c r="E818" i="5"/>
  <c r="G818" i="5"/>
  <c r="H818" i="5"/>
  <c r="I818" i="5"/>
  <c r="M830" i="3" s="1"/>
  <c r="N830" i="3" s="1"/>
  <c r="D810" i="5"/>
  <c r="D811" i="5"/>
  <c r="D812" i="5"/>
  <c r="D813" i="5"/>
  <c r="D814" i="5"/>
  <c r="D815" i="5"/>
  <c r="D816" i="5"/>
  <c r="D817" i="5"/>
  <c r="E810" i="5"/>
  <c r="E811" i="5"/>
  <c r="E812" i="5"/>
  <c r="E813" i="5"/>
  <c r="E814" i="5"/>
  <c r="E815" i="5"/>
  <c r="E816" i="5"/>
  <c r="E817" i="5"/>
  <c r="G810" i="5"/>
  <c r="G811" i="5"/>
  <c r="G812" i="5"/>
  <c r="G813" i="5"/>
  <c r="G814" i="5"/>
  <c r="G815" i="5"/>
  <c r="G816" i="5"/>
  <c r="G817" i="5"/>
  <c r="H810" i="5"/>
  <c r="H811" i="5"/>
  <c r="H812" i="5"/>
  <c r="H813" i="5"/>
  <c r="H814" i="5"/>
  <c r="H815" i="5"/>
  <c r="H816" i="5"/>
  <c r="H817" i="5"/>
  <c r="I810" i="5"/>
  <c r="M821" i="3" s="1"/>
  <c r="N821" i="3" s="1"/>
  <c r="I811" i="5"/>
  <c r="M822" i="3" s="1"/>
  <c r="N822" i="3" s="1"/>
  <c r="I812" i="5"/>
  <c r="M823" i="3" s="1"/>
  <c r="N823" i="3" s="1"/>
  <c r="I813" i="5"/>
  <c r="M824" i="3" s="1"/>
  <c r="N824" i="3" s="1"/>
  <c r="K824" i="3" s="1"/>
  <c r="I814" i="5"/>
  <c r="M825" i="3" s="1"/>
  <c r="N825" i="3" s="1"/>
  <c r="K825" i="3" s="1"/>
  <c r="I815" i="5"/>
  <c r="M826" i="3" s="1"/>
  <c r="N826" i="3" s="1"/>
  <c r="K826" i="3" s="1"/>
  <c r="I816" i="5"/>
  <c r="M827" i="3" s="1"/>
  <c r="N827" i="3" s="1"/>
  <c r="K827" i="3" s="1"/>
  <c r="I817" i="5"/>
  <c r="M828" i="3" s="1"/>
  <c r="N828" i="3" s="1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I793" i="5"/>
  <c r="M803" i="3" s="1"/>
  <c r="N803" i="3" s="1"/>
  <c r="I794" i="5"/>
  <c r="M804" i="3" s="1"/>
  <c r="N804" i="3" s="1"/>
  <c r="I795" i="5"/>
  <c r="M805" i="3" s="1"/>
  <c r="N805" i="3" s="1"/>
  <c r="I796" i="5"/>
  <c r="M806" i="3" s="1"/>
  <c r="N806" i="3" s="1"/>
  <c r="I797" i="5"/>
  <c r="M807" i="3" s="1"/>
  <c r="N807" i="3" s="1"/>
  <c r="I798" i="5"/>
  <c r="M808" i="3" s="1"/>
  <c r="N808" i="3" s="1"/>
  <c r="I799" i="5"/>
  <c r="M809" i="3" s="1"/>
  <c r="N809" i="3" s="1"/>
  <c r="I800" i="5"/>
  <c r="M810" i="3" s="1"/>
  <c r="N810" i="3" s="1"/>
  <c r="I801" i="5"/>
  <c r="M811" i="3" s="1"/>
  <c r="N811" i="3" s="1"/>
  <c r="I802" i="5"/>
  <c r="M812" i="3" s="1"/>
  <c r="N812" i="3" s="1"/>
  <c r="I803" i="5"/>
  <c r="M813" i="3" s="1"/>
  <c r="N813" i="3" s="1"/>
  <c r="I804" i="5"/>
  <c r="M814" i="3" s="1"/>
  <c r="N814" i="3" s="1"/>
  <c r="K814" i="3" s="1"/>
  <c r="I805" i="5"/>
  <c r="M815" i="3" s="1"/>
  <c r="N815" i="3" s="1"/>
  <c r="I806" i="5"/>
  <c r="M816" i="3" s="1"/>
  <c r="N816" i="3" s="1"/>
  <c r="I807" i="5"/>
  <c r="M817" i="3" s="1"/>
  <c r="N817" i="3" s="1"/>
  <c r="I808" i="5"/>
  <c r="M818" i="3" s="1"/>
  <c r="N818" i="3" s="1"/>
  <c r="I809" i="5"/>
  <c r="M819" i="3" s="1"/>
  <c r="N819" i="3" s="1"/>
  <c r="D790" i="5"/>
  <c r="D791" i="5"/>
  <c r="D792" i="5"/>
  <c r="E790" i="5"/>
  <c r="E791" i="5"/>
  <c r="E792" i="5"/>
  <c r="G790" i="5"/>
  <c r="G791" i="5"/>
  <c r="G792" i="5"/>
  <c r="H790" i="5"/>
  <c r="H791" i="5"/>
  <c r="H792" i="5"/>
  <c r="I790" i="5"/>
  <c r="M799" i="3" s="1"/>
  <c r="N799" i="3" s="1"/>
  <c r="I791" i="5"/>
  <c r="M800" i="3" s="1"/>
  <c r="N800" i="3" s="1"/>
  <c r="I792" i="5"/>
  <c r="M801" i="3" s="1"/>
  <c r="N801" i="3" s="1"/>
  <c r="K801" i="3" s="1"/>
  <c r="D787" i="5"/>
  <c r="D788" i="5"/>
  <c r="D789" i="5"/>
  <c r="E787" i="5"/>
  <c r="E788" i="5"/>
  <c r="E789" i="5"/>
  <c r="G787" i="5"/>
  <c r="G788" i="5"/>
  <c r="G789" i="5"/>
  <c r="H787" i="5"/>
  <c r="H788" i="5"/>
  <c r="H789" i="5"/>
  <c r="I787" i="5"/>
  <c r="M792" i="3" s="1"/>
  <c r="N792" i="3" s="1"/>
  <c r="I788" i="5"/>
  <c r="M793" i="3" s="1"/>
  <c r="N793" i="3" s="1"/>
  <c r="I789" i="5"/>
  <c r="M794" i="3" s="1"/>
  <c r="N794" i="3" s="1"/>
  <c r="D780" i="5"/>
  <c r="D781" i="5"/>
  <c r="D782" i="5"/>
  <c r="D783" i="5"/>
  <c r="D784" i="5"/>
  <c r="D785" i="5"/>
  <c r="D786" i="5"/>
  <c r="E780" i="5"/>
  <c r="E781" i="5"/>
  <c r="E782" i="5"/>
  <c r="E783" i="5"/>
  <c r="E784" i="5"/>
  <c r="E785" i="5"/>
  <c r="E786" i="5"/>
  <c r="G780" i="5"/>
  <c r="G781" i="5"/>
  <c r="G782" i="5"/>
  <c r="G783" i="5"/>
  <c r="G784" i="5"/>
  <c r="G785" i="5"/>
  <c r="G786" i="5"/>
  <c r="H780" i="5"/>
  <c r="H781" i="5"/>
  <c r="H782" i="5"/>
  <c r="H783" i="5"/>
  <c r="H784" i="5"/>
  <c r="H785" i="5"/>
  <c r="H786" i="5"/>
  <c r="I780" i="5"/>
  <c r="M783" i="3" s="1"/>
  <c r="N783" i="3" s="1"/>
  <c r="K783" i="3" s="1"/>
  <c r="I781" i="5"/>
  <c r="M784" i="3" s="1"/>
  <c r="N784" i="3" s="1"/>
  <c r="I782" i="5"/>
  <c r="M785" i="3" s="1"/>
  <c r="N785" i="3" s="1"/>
  <c r="I783" i="5"/>
  <c r="M786" i="3" s="1"/>
  <c r="N786" i="3" s="1"/>
  <c r="I784" i="5"/>
  <c r="M787" i="3" s="1"/>
  <c r="N787" i="3" s="1"/>
  <c r="I785" i="5"/>
  <c r="M788" i="3" s="1"/>
  <c r="N788" i="3" s="1"/>
  <c r="I786" i="5"/>
  <c r="M789" i="3" s="1"/>
  <c r="N789" i="3" s="1"/>
  <c r="D775" i="5"/>
  <c r="D776" i="5"/>
  <c r="D777" i="5"/>
  <c r="D778" i="5"/>
  <c r="D779" i="5"/>
  <c r="E775" i="5"/>
  <c r="E776" i="5"/>
  <c r="E777" i="5"/>
  <c r="E778" i="5"/>
  <c r="E779" i="5"/>
  <c r="G775" i="5"/>
  <c r="G776" i="5"/>
  <c r="G777" i="5"/>
  <c r="G778" i="5"/>
  <c r="G779" i="5"/>
  <c r="H775" i="5"/>
  <c r="H776" i="5"/>
  <c r="H777" i="5"/>
  <c r="H778" i="5"/>
  <c r="H779" i="5"/>
  <c r="I775" i="5"/>
  <c r="M777" i="3" s="1"/>
  <c r="N777" i="3" s="1"/>
  <c r="K777" i="3" s="1"/>
  <c r="I776" i="5"/>
  <c r="M778" i="3" s="1"/>
  <c r="N778" i="3" s="1"/>
  <c r="K778" i="3" s="1"/>
  <c r="I777" i="5"/>
  <c r="M779" i="3" s="1"/>
  <c r="N779" i="3" s="1"/>
  <c r="K779" i="3" s="1"/>
  <c r="I778" i="5"/>
  <c r="M780" i="3" s="1"/>
  <c r="N780" i="3" s="1"/>
  <c r="K780" i="3" s="1"/>
  <c r="I779" i="5"/>
  <c r="M781" i="3" s="1"/>
  <c r="N781" i="3" s="1"/>
  <c r="K781" i="3" s="1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03" i="2"/>
  <c r="E776" i="3"/>
  <c r="F831" i="5" s="1"/>
  <c r="E777" i="3"/>
  <c r="F775" i="5" s="1"/>
  <c r="E778" i="3"/>
  <c r="F776" i="5" s="1"/>
  <c r="E779" i="3"/>
  <c r="F777" i="5" s="1"/>
  <c r="E780" i="3"/>
  <c r="F778" i="5" s="1"/>
  <c r="E781" i="3"/>
  <c r="F779" i="5" s="1"/>
  <c r="E782" i="3"/>
  <c r="F832" i="5" s="1"/>
  <c r="E783" i="3"/>
  <c r="F780" i="5" s="1"/>
  <c r="E784" i="3"/>
  <c r="F781" i="5" s="1"/>
  <c r="E785" i="3"/>
  <c r="F782" i="5" s="1"/>
  <c r="E786" i="3"/>
  <c r="F783" i="5" s="1"/>
  <c r="E787" i="3"/>
  <c r="F784" i="5" s="1"/>
  <c r="E788" i="3"/>
  <c r="F785" i="5" s="1"/>
  <c r="E789" i="3"/>
  <c r="F786" i="5" s="1"/>
  <c r="E790" i="3"/>
  <c r="F829" i="5" s="1"/>
  <c r="E791" i="3"/>
  <c r="F830" i="5" s="1"/>
  <c r="E792" i="3"/>
  <c r="F787" i="5" s="1"/>
  <c r="E793" i="3"/>
  <c r="F788" i="5" s="1"/>
  <c r="E794" i="3"/>
  <c r="F789" i="5" s="1"/>
  <c r="E795" i="3"/>
  <c r="F874" i="5" s="1"/>
  <c r="E796" i="3"/>
  <c r="F875" i="5" s="1"/>
  <c r="E797" i="3"/>
  <c r="F876" i="5" s="1"/>
  <c r="E798" i="3"/>
  <c r="F877" i="5" s="1"/>
  <c r="E799" i="3"/>
  <c r="F790" i="5" s="1"/>
  <c r="E800" i="3"/>
  <c r="F791" i="5" s="1"/>
  <c r="E801" i="3"/>
  <c r="F792" i="5" s="1"/>
  <c r="E802" i="3"/>
  <c r="F836" i="5" s="1"/>
  <c r="E803" i="3"/>
  <c r="F793" i="5" s="1"/>
  <c r="E804" i="3"/>
  <c r="F794" i="5" s="1"/>
  <c r="E805" i="3"/>
  <c r="F795" i="5" s="1"/>
  <c r="E806" i="3"/>
  <c r="F796" i="5" s="1"/>
  <c r="E807" i="3"/>
  <c r="F797" i="5" s="1"/>
  <c r="E808" i="3"/>
  <c r="F798" i="5" s="1"/>
  <c r="E809" i="3"/>
  <c r="F799" i="5" s="1"/>
  <c r="E810" i="3"/>
  <c r="F800" i="5" s="1"/>
  <c r="E811" i="3"/>
  <c r="F801" i="5" s="1"/>
  <c r="E812" i="3"/>
  <c r="F802" i="5" s="1"/>
  <c r="E813" i="3"/>
  <c r="F803" i="5" s="1"/>
  <c r="E814" i="3"/>
  <c r="F804" i="5" s="1"/>
  <c r="E815" i="3"/>
  <c r="F805" i="5" s="1"/>
  <c r="E816" i="3"/>
  <c r="F806" i="5" s="1"/>
  <c r="E817" i="3"/>
  <c r="F807" i="5" s="1"/>
  <c r="E818" i="3"/>
  <c r="F808" i="5" s="1"/>
  <c r="E819" i="3"/>
  <c r="F809" i="5" s="1"/>
  <c r="E820" i="3"/>
  <c r="F833" i="5" s="1"/>
  <c r="E821" i="3"/>
  <c r="F810" i="5" s="1"/>
  <c r="E822" i="3"/>
  <c r="F811" i="5" s="1"/>
  <c r="E823" i="3"/>
  <c r="F812" i="5" s="1"/>
  <c r="E824" i="3"/>
  <c r="F813" i="5" s="1"/>
  <c r="E825" i="3"/>
  <c r="F814" i="5" s="1"/>
  <c r="E826" i="3"/>
  <c r="F815" i="5" s="1"/>
  <c r="E827" i="3"/>
  <c r="F816" i="5" s="1"/>
  <c r="E828" i="3"/>
  <c r="F817" i="5" s="1"/>
  <c r="E829" i="3"/>
  <c r="F881" i="5" s="1"/>
  <c r="E830" i="3"/>
  <c r="F818" i="5" s="1"/>
  <c r="E831" i="3"/>
  <c r="F952" i="5" s="1"/>
  <c r="E832" i="3"/>
  <c r="F819" i="5" s="1"/>
  <c r="E833" i="3"/>
  <c r="F951" i="5" s="1"/>
  <c r="E834" i="3"/>
  <c r="F871" i="5" s="1"/>
  <c r="E835" i="3"/>
  <c r="F835" i="5" s="1"/>
  <c r="E836" i="3"/>
  <c r="F872" i="5" s="1"/>
  <c r="I776" i="3"/>
  <c r="J776" i="3" s="1"/>
  <c r="I777" i="3"/>
  <c r="I778" i="3"/>
  <c r="J778" i="3" s="1"/>
  <c r="I779" i="3"/>
  <c r="J779" i="3" s="1"/>
  <c r="I780" i="3"/>
  <c r="J780" i="3" s="1"/>
  <c r="I781" i="3"/>
  <c r="J781" i="3" s="1"/>
  <c r="I782" i="3"/>
  <c r="J782" i="3" s="1"/>
  <c r="I783" i="3"/>
  <c r="J783" i="3" s="1"/>
  <c r="I784" i="3"/>
  <c r="I785" i="3"/>
  <c r="I786" i="3"/>
  <c r="I787" i="3"/>
  <c r="J787" i="3" s="1"/>
  <c r="I788" i="3"/>
  <c r="I789" i="3"/>
  <c r="J789" i="3" s="1"/>
  <c r="I790" i="3"/>
  <c r="J790" i="3" s="1"/>
  <c r="I791" i="3"/>
  <c r="J791" i="3" s="1"/>
  <c r="I792" i="3"/>
  <c r="J792" i="3" s="1"/>
  <c r="I793" i="3"/>
  <c r="J793" i="3" s="1"/>
  <c r="I794" i="3"/>
  <c r="J794" i="3" s="1"/>
  <c r="I795" i="3"/>
  <c r="I796" i="3"/>
  <c r="I797" i="3"/>
  <c r="J797" i="3" s="1"/>
  <c r="I798" i="3"/>
  <c r="J798" i="3" s="1"/>
  <c r="I799" i="3"/>
  <c r="J799" i="3" s="1"/>
  <c r="I800" i="3"/>
  <c r="J800" i="3" s="1"/>
  <c r="I801" i="3"/>
  <c r="J801" i="3" s="1"/>
  <c r="I802" i="3"/>
  <c r="J802" i="3" s="1"/>
  <c r="I803" i="3"/>
  <c r="J803" i="3" s="1"/>
  <c r="I804" i="3"/>
  <c r="J804" i="3" s="1"/>
  <c r="I805" i="3"/>
  <c r="J805" i="3" s="1"/>
  <c r="I806" i="3"/>
  <c r="J806" i="3" s="1"/>
  <c r="I807" i="3"/>
  <c r="I808" i="3"/>
  <c r="I809" i="3"/>
  <c r="J809" i="3" s="1"/>
  <c r="I810" i="3"/>
  <c r="J810" i="3" s="1"/>
  <c r="I811" i="3"/>
  <c r="J811" i="3" s="1"/>
  <c r="I812" i="3"/>
  <c r="J812" i="3" s="1"/>
  <c r="I813" i="3"/>
  <c r="J813" i="3" s="1"/>
  <c r="I814" i="3"/>
  <c r="J814" i="3" s="1"/>
  <c r="I815" i="3"/>
  <c r="J815" i="3" s="1"/>
  <c r="I816" i="3"/>
  <c r="J816" i="3" s="1"/>
  <c r="I817" i="3"/>
  <c r="J817" i="3" s="1"/>
  <c r="I818" i="3"/>
  <c r="J818" i="3" s="1"/>
  <c r="I819" i="3"/>
  <c r="I820" i="3"/>
  <c r="I821" i="3"/>
  <c r="J821" i="3" s="1"/>
  <c r="I822" i="3"/>
  <c r="J822" i="3" s="1"/>
  <c r="I823" i="3"/>
  <c r="J823" i="3" s="1"/>
  <c r="I824" i="3"/>
  <c r="J824" i="3" s="1"/>
  <c r="I825" i="3"/>
  <c r="J825" i="3" s="1"/>
  <c r="I826" i="3"/>
  <c r="J826" i="3" s="1"/>
  <c r="I827" i="3"/>
  <c r="J827" i="3" s="1"/>
  <c r="I828" i="3"/>
  <c r="J828" i="3" s="1"/>
  <c r="I829" i="3"/>
  <c r="J829" i="3" s="1"/>
  <c r="I830" i="3"/>
  <c r="J830" i="3" s="1"/>
  <c r="I831" i="3"/>
  <c r="I832" i="3"/>
  <c r="I833" i="3"/>
  <c r="J833" i="3" s="1"/>
  <c r="I834" i="3"/>
  <c r="J834" i="3" s="1"/>
  <c r="I835" i="3"/>
  <c r="J835" i="3" s="1"/>
  <c r="I836" i="3"/>
  <c r="J836" i="3" s="1"/>
  <c r="J777" i="3"/>
  <c r="M776" i="3"/>
  <c r="N776" i="3" s="1"/>
  <c r="M782" i="3"/>
  <c r="N782" i="3" s="1"/>
  <c r="M790" i="3"/>
  <c r="N790" i="3" s="1"/>
  <c r="M791" i="3"/>
  <c r="N791" i="3" s="1"/>
  <c r="M795" i="3"/>
  <c r="N795" i="3" s="1"/>
  <c r="M796" i="3"/>
  <c r="N796" i="3" s="1"/>
  <c r="M797" i="3"/>
  <c r="N797" i="3" s="1"/>
  <c r="M798" i="3"/>
  <c r="N798" i="3" s="1"/>
  <c r="M802" i="3"/>
  <c r="N802" i="3" s="1"/>
  <c r="M820" i="3"/>
  <c r="N820" i="3" s="1"/>
  <c r="M829" i="3"/>
  <c r="N829" i="3" s="1"/>
  <c r="M831" i="3"/>
  <c r="N831" i="3" s="1"/>
  <c r="M833" i="3"/>
  <c r="N833" i="3" s="1"/>
  <c r="M834" i="3"/>
  <c r="N834" i="3" s="1"/>
  <c r="M835" i="3"/>
  <c r="N835" i="3" s="1"/>
  <c r="M836" i="3"/>
  <c r="N836" i="3" s="1"/>
  <c r="E775" i="3"/>
  <c r="I775" i="3"/>
  <c r="J775" i="3" s="1"/>
  <c r="L838" i="3" l="1"/>
  <c r="K837" i="3"/>
  <c r="L837" i="3" s="1"/>
  <c r="K782" i="3"/>
  <c r="L782" i="3" s="1"/>
  <c r="K836" i="3"/>
  <c r="L836" i="3" s="1"/>
  <c r="K791" i="3"/>
  <c r="L791" i="3" s="1"/>
  <c r="L780" i="3"/>
  <c r="K823" i="3"/>
  <c r="L823" i="3" s="1"/>
  <c r="K799" i="3"/>
  <c r="L826" i="3"/>
  <c r="K800" i="3"/>
  <c r="K794" i="3"/>
  <c r="L794" i="3" s="1"/>
  <c r="K806" i="3"/>
  <c r="K805" i="3"/>
  <c r="L805" i="3" s="1"/>
  <c r="K816" i="3"/>
  <c r="L816" i="3" s="1"/>
  <c r="K792" i="3"/>
  <c r="L792" i="3" s="1"/>
  <c r="K815" i="3"/>
  <c r="L815" i="3" s="1"/>
  <c r="K803" i="3"/>
  <c r="K828" i="3"/>
  <c r="L828" i="3" s="1"/>
  <c r="K804" i="3"/>
  <c r="L804" i="3" s="1"/>
  <c r="K790" i="3"/>
  <c r="L790" i="3" s="1"/>
  <c r="K813" i="3"/>
  <c r="K789" i="3"/>
  <c r="L789" i="3" s="1"/>
  <c r="L800" i="3"/>
  <c r="L799" i="3"/>
  <c r="K802" i="3"/>
  <c r="L802" i="3" s="1"/>
  <c r="L825" i="3"/>
  <c r="L781" i="3"/>
  <c r="J788" i="3"/>
  <c r="K788" i="3" s="1"/>
  <c r="L788" i="3" s="1"/>
  <c r="K776" i="3"/>
  <c r="L776" i="3" s="1"/>
  <c r="L779" i="3"/>
  <c r="J786" i="3"/>
  <c r="K786" i="3" s="1"/>
  <c r="L786" i="3" s="1"/>
  <c r="K812" i="3"/>
  <c r="L812" i="3" s="1"/>
  <c r="K835" i="3"/>
  <c r="L835" i="3" s="1"/>
  <c r="K811" i="3"/>
  <c r="L811" i="3" s="1"/>
  <c r="K787" i="3"/>
  <c r="L787" i="3" s="1"/>
  <c r="L822" i="3"/>
  <c r="L806" i="3"/>
  <c r="L778" i="3"/>
  <c r="J785" i="3"/>
  <c r="K785" i="3" s="1"/>
  <c r="L785" i="3" s="1"/>
  <c r="K822" i="3"/>
  <c r="K810" i="3"/>
  <c r="L810" i="3" s="1"/>
  <c r="K798" i="3"/>
  <c r="L798" i="3" s="1"/>
  <c r="L777" i="3"/>
  <c r="L783" i="3"/>
  <c r="K833" i="3"/>
  <c r="L833" i="3" s="1"/>
  <c r="K821" i="3"/>
  <c r="L821" i="3" s="1"/>
  <c r="K809" i="3"/>
  <c r="L809" i="3" s="1"/>
  <c r="K797" i="3"/>
  <c r="L797" i="3" s="1"/>
  <c r="J795" i="3"/>
  <c r="K795" i="3" s="1"/>
  <c r="L795" i="3" s="1"/>
  <c r="K834" i="3"/>
  <c r="L834" i="3" s="1"/>
  <c r="L803" i="3"/>
  <c r="J807" i="3"/>
  <c r="J819" i="3"/>
  <c r="K819" i="3" s="1"/>
  <c r="L819" i="3" s="1"/>
  <c r="L824" i="3"/>
  <c r="K807" i="3"/>
  <c r="L807" i="3" s="1"/>
  <c r="K830" i="3"/>
  <c r="L830" i="3" s="1"/>
  <c r="K818" i="3"/>
  <c r="L818" i="3" s="1"/>
  <c r="L801" i="3"/>
  <c r="K829" i="3"/>
  <c r="L829" i="3" s="1"/>
  <c r="K817" i="3"/>
  <c r="L817" i="3" s="1"/>
  <c r="K793" i="3"/>
  <c r="L793" i="3" s="1"/>
  <c r="L814" i="3"/>
  <c r="J831" i="3"/>
  <c r="K831" i="3" s="1"/>
  <c r="L831" i="3" s="1"/>
  <c r="L827" i="3"/>
  <c r="L813" i="3"/>
  <c r="J832" i="3"/>
  <c r="K832" i="3" s="1"/>
  <c r="L832" i="3" s="1"/>
  <c r="J820" i="3"/>
  <c r="K820" i="3" s="1"/>
  <c r="L820" i="3" s="1"/>
  <c r="J808" i="3"/>
  <c r="K808" i="3" s="1"/>
  <c r="L808" i="3" s="1"/>
  <c r="J796" i="3"/>
  <c r="K796" i="3" s="1"/>
  <c r="L796" i="3" s="1"/>
  <c r="J784" i="3"/>
  <c r="K784" i="3" s="1"/>
  <c r="L784" i="3" s="1"/>
  <c r="D774" i="5" l="1"/>
  <c r="E774" i="5"/>
  <c r="F774" i="5"/>
  <c r="G774" i="5"/>
  <c r="H774" i="5"/>
  <c r="I774" i="5"/>
  <c r="M775" i="3" s="1"/>
  <c r="N775" i="3" s="1"/>
  <c r="K775" i="3" s="1"/>
  <c r="L775" i="3" s="1"/>
  <c r="D748" i="5"/>
  <c r="E748" i="5"/>
  <c r="G748" i="5"/>
  <c r="H748" i="5"/>
  <c r="I748" i="5"/>
  <c r="D747" i="5"/>
  <c r="E747" i="5"/>
  <c r="G747" i="5"/>
  <c r="H747" i="5"/>
  <c r="I747" i="5"/>
  <c r="D744" i="5"/>
  <c r="E744" i="5"/>
  <c r="G744" i="5"/>
  <c r="H744" i="5"/>
  <c r="I744" i="5"/>
  <c r="D743" i="5"/>
  <c r="E743" i="5"/>
  <c r="G743" i="5"/>
  <c r="H743" i="5"/>
  <c r="I743" i="5"/>
  <c r="D693" i="5"/>
  <c r="E693" i="5"/>
  <c r="G693" i="5"/>
  <c r="H693" i="5"/>
  <c r="I693" i="5"/>
  <c r="D678" i="5"/>
  <c r="E678" i="5"/>
  <c r="F678" i="5"/>
  <c r="G678" i="5"/>
  <c r="H678" i="5"/>
  <c r="I678" i="5"/>
  <c r="D582" i="5"/>
  <c r="E582" i="5"/>
  <c r="G582" i="5"/>
  <c r="H582" i="5"/>
  <c r="I582" i="5"/>
  <c r="D557" i="5"/>
  <c r="E557" i="5"/>
  <c r="G557" i="5"/>
  <c r="H557" i="5"/>
  <c r="I557" i="5"/>
  <c r="D731" i="5"/>
  <c r="E731" i="5"/>
  <c r="G731" i="5"/>
  <c r="H731" i="5"/>
  <c r="I731" i="5"/>
  <c r="D730" i="5"/>
  <c r="E730" i="5"/>
  <c r="G730" i="5"/>
  <c r="H730" i="5"/>
  <c r="I730" i="5"/>
  <c r="D679" i="5"/>
  <c r="E679" i="5"/>
  <c r="F679" i="5"/>
  <c r="G679" i="5"/>
  <c r="H679" i="5"/>
  <c r="I679" i="5"/>
  <c r="D735" i="5"/>
  <c r="D736" i="5"/>
  <c r="D737" i="5"/>
  <c r="D738" i="5"/>
  <c r="D739" i="5"/>
  <c r="E735" i="5"/>
  <c r="E736" i="5"/>
  <c r="E737" i="5"/>
  <c r="E738" i="5"/>
  <c r="E739" i="5"/>
  <c r="G735" i="5"/>
  <c r="G736" i="5"/>
  <c r="G737" i="5"/>
  <c r="G738" i="5"/>
  <c r="G739" i="5"/>
  <c r="H735" i="5"/>
  <c r="H736" i="5"/>
  <c r="H737" i="5"/>
  <c r="H738" i="5"/>
  <c r="H739" i="5"/>
  <c r="I735" i="5"/>
  <c r="I736" i="5"/>
  <c r="I737" i="5"/>
  <c r="I738" i="5"/>
  <c r="I739" i="5"/>
  <c r="D734" i="5" l="1"/>
  <c r="E734" i="5"/>
  <c r="G734" i="5"/>
  <c r="H734" i="5"/>
  <c r="I734" i="5"/>
  <c r="D767" i="5"/>
  <c r="D768" i="5"/>
  <c r="D769" i="5"/>
  <c r="D770" i="5"/>
  <c r="D771" i="5"/>
  <c r="D772" i="5"/>
  <c r="D773" i="5"/>
  <c r="E767" i="5"/>
  <c r="E768" i="5"/>
  <c r="E769" i="5"/>
  <c r="E770" i="5"/>
  <c r="E771" i="5"/>
  <c r="E772" i="5"/>
  <c r="E773" i="5"/>
  <c r="G767" i="5"/>
  <c r="G768" i="5"/>
  <c r="G769" i="5"/>
  <c r="G770" i="5"/>
  <c r="G771" i="5"/>
  <c r="G772" i="5"/>
  <c r="G773" i="5"/>
  <c r="H767" i="5"/>
  <c r="H768" i="5"/>
  <c r="H769" i="5"/>
  <c r="H770" i="5"/>
  <c r="H771" i="5"/>
  <c r="H772" i="5"/>
  <c r="H773" i="5"/>
  <c r="I767" i="5"/>
  <c r="I768" i="5"/>
  <c r="I769" i="5"/>
  <c r="I770" i="5"/>
  <c r="I772" i="5"/>
  <c r="I773" i="5"/>
  <c r="D764" i="5"/>
  <c r="D765" i="5"/>
  <c r="E764" i="5"/>
  <c r="E765" i="5"/>
  <c r="G764" i="5"/>
  <c r="G765" i="5"/>
  <c r="H764" i="5"/>
  <c r="H765" i="5"/>
  <c r="I764" i="5"/>
  <c r="I765" i="5"/>
  <c r="D760" i="5"/>
  <c r="D761" i="5"/>
  <c r="D762" i="5"/>
  <c r="E760" i="5"/>
  <c r="E761" i="5"/>
  <c r="E762" i="5"/>
  <c r="G760" i="5"/>
  <c r="G761" i="5"/>
  <c r="G762" i="5"/>
  <c r="H760" i="5"/>
  <c r="H761" i="5"/>
  <c r="H762" i="5"/>
  <c r="I760" i="5"/>
  <c r="I761" i="5"/>
  <c r="I762" i="5"/>
  <c r="D757" i="5"/>
  <c r="D758" i="5"/>
  <c r="E757" i="5"/>
  <c r="E758" i="5"/>
  <c r="G757" i="5"/>
  <c r="G758" i="5"/>
  <c r="H757" i="5"/>
  <c r="H758" i="5"/>
  <c r="I757" i="5"/>
  <c r="I758" i="5"/>
  <c r="D754" i="5"/>
  <c r="D755" i="5"/>
  <c r="E754" i="5"/>
  <c r="E755" i="5"/>
  <c r="G754" i="5"/>
  <c r="G755" i="5"/>
  <c r="H754" i="5"/>
  <c r="H755" i="5"/>
  <c r="I754" i="5"/>
  <c r="I755" i="5"/>
  <c r="M755" i="3" s="1"/>
  <c r="D750" i="5"/>
  <c r="E750" i="5"/>
  <c r="G750" i="5"/>
  <c r="H750" i="5"/>
  <c r="I750" i="5"/>
  <c r="D746" i="5"/>
  <c r="D749" i="5"/>
  <c r="E746" i="5"/>
  <c r="E749" i="5"/>
  <c r="G746" i="5"/>
  <c r="G749" i="5"/>
  <c r="H746" i="5"/>
  <c r="H749" i="5"/>
  <c r="I746" i="5"/>
  <c r="I749" i="5"/>
  <c r="F293" i="2" l="1"/>
  <c r="F294" i="2"/>
  <c r="F295" i="2"/>
  <c r="F296" i="2"/>
  <c r="F297" i="2"/>
  <c r="F298" i="2"/>
  <c r="F299" i="2"/>
  <c r="F300" i="2"/>
  <c r="F301" i="2"/>
  <c r="F302" i="2"/>
  <c r="E745" i="3"/>
  <c r="F746" i="5" s="1"/>
  <c r="E746" i="3"/>
  <c r="F747" i="5" s="1"/>
  <c r="E747" i="3"/>
  <c r="F748" i="5" s="1"/>
  <c r="E748" i="3"/>
  <c r="F749" i="5" s="1"/>
  <c r="E749" i="3"/>
  <c r="F955" i="5" s="1"/>
  <c r="E750" i="3"/>
  <c r="F750" i="5" s="1"/>
  <c r="E751" i="3"/>
  <c r="F751" i="5" s="1"/>
  <c r="E752" i="3"/>
  <c r="F752" i="5" s="1"/>
  <c r="E753" i="3"/>
  <c r="F753" i="5" s="1"/>
  <c r="E754" i="3"/>
  <c r="F754" i="5" s="1"/>
  <c r="F755" i="5"/>
  <c r="E756" i="3"/>
  <c r="F756" i="5" s="1"/>
  <c r="E757" i="3"/>
  <c r="F757" i="5" s="1"/>
  <c r="E758" i="3"/>
  <c r="F758" i="5" s="1"/>
  <c r="E759" i="3"/>
  <c r="F969" i="5" s="1"/>
  <c r="E760" i="3"/>
  <c r="F759" i="5" s="1"/>
  <c r="E761" i="3"/>
  <c r="F760" i="5" s="1"/>
  <c r="E762" i="3"/>
  <c r="F761" i="5" s="1"/>
  <c r="E763" i="3"/>
  <c r="F762" i="5" s="1"/>
  <c r="E764" i="3"/>
  <c r="F763" i="5" s="1"/>
  <c r="E765" i="3"/>
  <c r="F764" i="5" s="1"/>
  <c r="E766" i="3"/>
  <c r="F765" i="5" s="1"/>
  <c r="E767" i="3"/>
  <c r="F766" i="5" s="1"/>
  <c r="E768" i="3"/>
  <c r="F767" i="5" s="1"/>
  <c r="E769" i="3"/>
  <c r="F768" i="5" s="1"/>
  <c r="E770" i="3"/>
  <c r="F769" i="5" s="1"/>
  <c r="E771" i="3"/>
  <c r="F770" i="5" s="1"/>
  <c r="E772" i="3"/>
  <c r="F931" i="5" s="1"/>
  <c r="E773" i="3"/>
  <c r="F772" i="5" s="1"/>
  <c r="E774" i="3"/>
  <c r="F773" i="5" s="1"/>
  <c r="I745" i="3"/>
  <c r="J745" i="3" s="1"/>
  <c r="I746" i="3"/>
  <c r="J746" i="3" s="1"/>
  <c r="I747" i="3"/>
  <c r="J747" i="3" s="1"/>
  <c r="I748" i="3"/>
  <c r="J748" i="3" s="1"/>
  <c r="I749" i="3"/>
  <c r="J749" i="3" s="1"/>
  <c r="I750" i="3"/>
  <c r="J750" i="3" s="1"/>
  <c r="I751" i="3"/>
  <c r="J751" i="3" s="1"/>
  <c r="I752" i="3"/>
  <c r="J752" i="3" s="1"/>
  <c r="I753" i="3"/>
  <c r="J753" i="3" s="1"/>
  <c r="I754" i="3"/>
  <c r="J754" i="3" s="1"/>
  <c r="I756" i="3"/>
  <c r="J756" i="3" s="1"/>
  <c r="I757" i="3"/>
  <c r="J757" i="3" s="1"/>
  <c r="I758" i="3"/>
  <c r="J758" i="3" s="1"/>
  <c r="I759" i="3"/>
  <c r="J759" i="3" s="1"/>
  <c r="I760" i="3"/>
  <c r="J760" i="3" s="1"/>
  <c r="I761" i="3"/>
  <c r="J761" i="3" s="1"/>
  <c r="I762" i="3"/>
  <c r="J762" i="3" s="1"/>
  <c r="I763" i="3"/>
  <c r="J763" i="3" s="1"/>
  <c r="I764" i="3"/>
  <c r="J764" i="3" s="1"/>
  <c r="I765" i="3"/>
  <c r="J765" i="3" s="1"/>
  <c r="I766" i="3"/>
  <c r="J766" i="3" s="1"/>
  <c r="I767" i="3"/>
  <c r="J767" i="3" s="1"/>
  <c r="I768" i="3"/>
  <c r="J768" i="3" s="1"/>
  <c r="I769" i="3"/>
  <c r="J769" i="3" s="1"/>
  <c r="I770" i="3"/>
  <c r="J770" i="3" s="1"/>
  <c r="I771" i="3"/>
  <c r="J771" i="3" s="1"/>
  <c r="I772" i="3"/>
  <c r="J772" i="3" s="1"/>
  <c r="I773" i="3"/>
  <c r="J773" i="3" s="1"/>
  <c r="I774" i="3"/>
  <c r="J774" i="3" s="1"/>
  <c r="M745" i="3"/>
  <c r="N745" i="3" s="1"/>
  <c r="M746" i="3"/>
  <c r="N746" i="3" s="1"/>
  <c r="M747" i="3"/>
  <c r="N747" i="3" s="1"/>
  <c r="M748" i="3"/>
  <c r="N748" i="3" s="1"/>
  <c r="K748" i="3" s="1"/>
  <c r="M749" i="3"/>
  <c r="N749" i="3" s="1"/>
  <c r="M750" i="3"/>
  <c r="N750" i="3" s="1"/>
  <c r="M751" i="3"/>
  <c r="N751" i="3" s="1"/>
  <c r="M752" i="3"/>
  <c r="N752" i="3" s="1"/>
  <c r="M753" i="3"/>
  <c r="N753" i="3" s="1"/>
  <c r="M754" i="3"/>
  <c r="N754" i="3" s="1"/>
  <c r="N755" i="3"/>
  <c r="M756" i="3"/>
  <c r="N756" i="3" s="1"/>
  <c r="M757" i="3"/>
  <c r="N757" i="3" s="1"/>
  <c r="K757" i="3" s="1"/>
  <c r="M758" i="3"/>
  <c r="N758" i="3" s="1"/>
  <c r="K758" i="3" s="1"/>
  <c r="M759" i="3"/>
  <c r="N759" i="3" s="1"/>
  <c r="M760" i="3"/>
  <c r="N760" i="3" s="1"/>
  <c r="M761" i="3"/>
  <c r="N761" i="3" s="1"/>
  <c r="M762" i="3"/>
  <c r="N762" i="3" s="1"/>
  <c r="M763" i="3"/>
  <c r="N763" i="3" s="1"/>
  <c r="M764" i="3"/>
  <c r="N764" i="3" s="1"/>
  <c r="M765" i="3"/>
  <c r="N765" i="3" s="1"/>
  <c r="K765" i="3" s="1"/>
  <c r="M766" i="3"/>
  <c r="N766" i="3" s="1"/>
  <c r="M767" i="3"/>
  <c r="N767" i="3" s="1"/>
  <c r="M768" i="3"/>
  <c r="N768" i="3" s="1"/>
  <c r="M769" i="3"/>
  <c r="N769" i="3" s="1"/>
  <c r="M770" i="3"/>
  <c r="N770" i="3" s="1"/>
  <c r="M771" i="3"/>
  <c r="N771" i="3" s="1"/>
  <c r="M772" i="3"/>
  <c r="N772" i="3" s="1"/>
  <c r="M773" i="3"/>
  <c r="N773" i="3" s="1"/>
  <c r="M774" i="3"/>
  <c r="N774" i="3" s="1"/>
  <c r="K774" i="3" s="1"/>
  <c r="E744" i="3"/>
  <c r="F745" i="5" s="1"/>
  <c r="I744" i="3"/>
  <c r="J744" i="3" s="1"/>
  <c r="D745" i="5"/>
  <c r="E745" i="5"/>
  <c r="G745" i="5"/>
  <c r="H745" i="5"/>
  <c r="I745" i="5"/>
  <c r="M744" i="3" s="1"/>
  <c r="N744" i="3" s="1"/>
  <c r="D659" i="5"/>
  <c r="E659" i="5"/>
  <c r="F659" i="5"/>
  <c r="G659" i="5"/>
  <c r="H659" i="5"/>
  <c r="I659" i="5"/>
  <c r="D688" i="5"/>
  <c r="E688" i="5"/>
  <c r="G688" i="5"/>
  <c r="H688" i="5"/>
  <c r="I688" i="5"/>
  <c r="D694" i="5"/>
  <c r="E694" i="5"/>
  <c r="G694" i="5"/>
  <c r="H694" i="5"/>
  <c r="I694" i="5"/>
  <c r="K772" i="3" l="1"/>
  <c r="L772" i="3" s="1"/>
  <c r="F771" i="5"/>
  <c r="F821" i="5"/>
  <c r="F820" i="5"/>
  <c r="K755" i="3"/>
  <c r="L755" i="3"/>
  <c r="K747" i="3"/>
  <c r="K767" i="3"/>
  <c r="L767" i="3" s="1"/>
  <c r="K753" i="3"/>
  <c r="K760" i="3"/>
  <c r="L760" i="3" s="1"/>
  <c r="K762" i="3"/>
  <c r="K750" i="3"/>
  <c r="L750" i="3" s="1"/>
  <c r="K771" i="3"/>
  <c r="K746" i="3"/>
  <c r="L746" i="3" s="1"/>
  <c r="K745" i="3"/>
  <c r="L745" i="3" s="1"/>
  <c r="K770" i="3"/>
  <c r="K756" i="3"/>
  <c r="L756" i="3" s="1"/>
  <c r="K744" i="3"/>
  <c r="L744" i="3" s="1"/>
  <c r="K766" i="3"/>
  <c r="L766" i="3" s="1"/>
  <c r="K754" i="3"/>
  <c r="L754" i="3" s="1"/>
  <c r="L770" i="3"/>
  <c r="K768" i="3"/>
  <c r="L768" i="3" s="1"/>
  <c r="L758" i="3"/>
  <c r="L771" i="3"/>
  <c r="L757" i="3"/>
  <c r="K764" i="3"/>
  <c r="L764" i="3" s="1"/>
  <c r="K769" i="3"/>
  <c r="L769" i="3" s="1"/>
  <c r="K752" i="3"/>
  <c r="L752" i="3" s="1"/>
  <c r="K763" i="3"/>
  <c r="L763" i="3" s="1"/>
  <c r="K751" i="3"/>
  <c r="L751" i="3" s="1"/>
  <c r="L753" i="3"/>
  <c r="K773" i="3"/>
  <c r="L773" i="3" s="1"/>
  <c r="K761" i="3"/>
  <c r="L761" i="3" s="1"/>
  <c r="K749" i="3"/>
  <c r="L749" i="3" s="1"/>
  <c r="L765" i="3"/>
  <c r="K759" i="3"/>
  <c r="L759" i="3" s="1"/>
  <c r="L747" i="3"/>
  <c r="L774" i="3"/>
  <c r="L762" i="3"/>
  <c r="L748" i="3"/>
  <c r="D690" i="5"/>
  <c r="E690" i="5"/>
  <c r="G690" i="5"/>
  <c r="H690" i="5"/>
  <c r="I690" i="5"/>
  <c r="D683" i="5"/>
  <c r="E683" i="5"/>
  <c r="G683" i="5"/>
  <c r="H683" i="5"/>
  <c r="I683" i="5"/>
  <c r="D717" i="5"/>
  <c r="E717" i="5"/>
  <c r="G717" i="5"/>
  <c r="H717" i="5"/>
  <c r="I717" i="5"/>
  <c r="M716" i="3" s="1"/>
  <c r="N716" i="3" s="1"/>
  <c r="D718" i="5"/>
  <c r="E718" i="5"/>
  <c r="G718" i="5"/>
  <c r="H718" i="5"/>
  <c r="I718" i="5"/>
  <c r="M717" i="3" s="1"/>
  <c r="N717" i="3" s="1"/>
  <c r="K717" i="3" s="1"/>
  <c r="D719" i="5"/>
  <c r="E719" i="5"/>
  <c r="G719" i="5"/>
  <c r="H719" i="5"/>
  <c r="I719" i="5"/>
  <c r="M718" i="3" s="1"/>
  <c r="N718" i="3" s="1"/>
  <c r="D740" i="5"/>
  <c r="D741" i="5"/>
  <c r="E740" i="5"/>
  <c r="E741" i="5"/>
  <c r="G740" i="5"/>
  <c r="G741" i="5"/>
  <c r="H740" i="5"/>
  <c r="H741" i="5"/>
  <c r="I740" i="5"/>
  <c r="M739" i="3" s="1"/>
  <c r="N739" i="3" s="1"/>
  <c r="K739" i="3" s="1"/>
  <c r="I741" i="5"/>
  <c r="M740" i="3" s="1"/>
  <c r="N740" i="3" s="1"/>
  <c r="D732" i="5"/>
  <c r="D733" i="5"/>
  <c r="E732" i="5"/>
  <c r="E733" i="5"/>
  <c r="G732" i="5"/>
  <c r="G733" i="5"/>
  <c r="H732" i="5"/>
  <c r="H733" i="5"/>
  <c r="I732" i="5"/>
  <c r="M731" i="3" s="1"/>
  <c r="N731" i="3" s="1"/>
  <c r="K731" i="3" s="1"/>
  <c r="I733" i="5"/>
  <c r="M732" i="3" s="1"/>
  <c r="N732" i="3" s="1"/>
  <c r="K732" i="3" s="1"/>
  <c r="D720" i="5"/>
  <c r="D721" i="5"/>
  <c r="D722" i="5"/>
  <c r="D723" i="5"/>
  <c r="D724" i="5"/>
  <c r="D725" i="5"/>
  <c r="D726" i="5"/>
  <c r="D727" i="5"/>
  <c r="D728" i="5"/>
  <c r="D729" i="5"/>
  <c r="E720" i="5"/>
  <c r="E721" i="5"/>
  <c r="E722" i="5"/>
  <c r="E723" i="5"/>
  <c r="E724" i="5"/>
  <c r="E725" i="5"/>
  <c r="E726" i="5"/>
  <c r="E727" i="5"/>
  <c r="E728" i="5"/>
  <c r="E729" i="5"/>
  <c r="G720" i="5"/>
  <c r="G721" i="5"/>
  <c r="G722" i="5"/>
  <c r="G723" i="5"/>
  <c r="G724" i="5"/>
  <c r="G725" i="5"/>
  <c r="G726" i="5"/>
  <c r="G727" i="5"/>
  <c r="G728" i="5"/>
  <c r="G729" i="5"/>
  <c r="H720" i="5"/>
  <c r="H721" i="5"/>
  <c r="H722" i="5"/>
  <c r="H723" i="5"/>
  <c r="H724" i="5"/>
  <c r="H725" i="5"/>
  <c r="H726" i="5"/>
  <c r="H727" i="5"/>
  <c r="H728" i="5"/>
  <c r="H729" i="5"/>
  <c r="I720" i="5"/>
  <c r="M719" i="3" s="1"/>
  <c r="N719" i="3" s="1"/>
  <c r="I721" i="5"/>
  <c r="M720" i="3" s="1"/>
  <c r="N720" i="3" s="1"/>
  <c r="K720" i="3" s="1"/>
  <c r="I722" i="5"/>
  <c r="M721" i="3" s="1"/>
  <c r="N721" i="3" s="1"/>
  <c r="I723" i="5"/>
  <c r="M722" i="3" s="1"/>
  <c r="N722" i="3" s="1"/>
  <c r="K722" i="3" s="1"/>
  <c r="I724" i="5"/>
  <c r="M723" i="3" s="1"/>
  <c r="N723" i="3" s="1"/>
  <c r="I725" i="5"/>
  <c r="M724" i="3" s="1"/>
  <c r="N724" i="3" s="1"/>
  <c r="K724" i="3" s="1"/>
  <c r="I726" i="5"/>
  <c r="M725" i="3" s="1"/>
  <c r="N725" i="3" s="1"/>
  <c r="I727" i="5"/>
  <c r="M726" i="3" s="1"/>
  <c r="N726" i="3" s="1"/>
  <c r="I728" i="5"/>
  <c r="M727" i="3" s="1"/>
  <c r="N727" i="3" s="1"/>
  <c r="K727" i="3" s="1"/>
  <c r="I729" i="5"/>
  <c r="M728" i="3" s="1"/>
  <c r="N728" i="3" s="1"/>
  <c r="F282" i="2"/>
  <c r="F283" i="2"/>
  <c r="F284" i="2"/>
  <c r="F285" i="2"/>
  <c r="F286" i="2"/>
  <c r="F287" i="2"/>
  <c r="F288" i="2"/>
  <c r="F289" i="2"/>
  <c r="F290" i="2"/>
  <c r="F291" i="2"/>
  <c r="F292" i="2"/>
  <c r="F281" i="2"/>
  <c r="E716" i="3"/>
  <c r="F717" i="5" s="1"/>
  <c r="E717" i="3"/>
  <c r="F718" i="5" s="1"/>
  <c r="E718" i="3"/>
  <c r="F719" i="5" s="1"/>
  <c r="E719" i="3"/>
  <c r="F720" i="5" s="1"/>
  <c r="E720" i="3"/>
  <c r="F721" i="5" s="1"/>
  <c r="E721" i="3"/>
  <c r="F722" i="5" s="1"/>
  <c r="E722" i="3"/>
  <c r="F723" i="5" s="1"/>
  <c r="E723" i="3"/>
  <c r="F724" i="5" s="1"/>
  <c r="E724" i="3"/>
  <c r="F725" i="5" s="1"/>
  <c r="E725" i="3"/>
  <c r="F726" i="5" s="1"/>
  <c r="E726" i="3"/>
  <c r="F727" i="5" s="1"/>
  <c r="E727" i="3"/>
  <c r="F728" i="5" s="1"/>
  <c r="E728" i="3"/>
  <c r="F729" i="5" s="1"/>
  <c r="E729" i="3"/>
  <c r="F730" i="5" s="1"/>
  <c r="E730" i="3"/>
  <c r="F731" i="5" s="1"/>
  <c r="E731" i="3"/>
  <c r="F732" i="5" s="1"/>
  <c r="E732" i="3"/>
  <c r="F733" i="5" s="1"/>
  <c r="E733" i="3"/>
  <c r="F734" i="5" s="1"/>
  <c r="E734" i="3"/>
  <c r="F735" i="5" s="1"/>
  <c r="E735" i="3"/>
  <c r="F736" i="5" s="1"/>
  <c r="E736" i="3"/>
  <c r="F737" i="5" s="1"/>
  <c r="E737" i="3"/>
  <c r="F738" i="5" s="1"/>
  <c r="E738" i="3"/>
  <c r="F739" i="5" s="1"/>
  <c r="E739" i="3"/>
  <c r="F740" i="5" s="1"/>
  <c r="E740" i="3"/>
  <c r="F741" i="5" s="1"/>
  <c r="E741" i="3"/>
  <c r="F742" i="5" s="1"/>
  <c r="E742" i="3"/>
  <c r="F743" i="5" s="1"/>
  <c r="E743" i="3"/>
  <c r="F744" i="5" s="1"/>
  <c r="I716" i="3"/>
  <c r="J716" i="3" s="1"/>
  <c r="I717" i="3"/>
  <c r="J717" i="3" s="1"/>
  <c r="I718" i="3"/>
  <c r="J718" i="3" s="1"/>
  <c r="I719" i="3"/>
  <c r="J719" i="3" s="1"/>
  <c r="I720" i="3"/>
  <c r="J720" i="3" s="1"/>
  <c r="I721" i="3"/>
  <c r="J721" i="3" s="1"/>
  <c r="I722" i="3"/>
  <c r="J722" i="3" s="1"/>
  <c r="I723" i="3"/>
  <c r="J723" i="3" s="1"/>
  <c r="I724" i="3"/>
  <c r="J724" i="3" s="1"/>
  <c r="I725" i="3"/>
  <c r="J725" i="3" s="1"/>
  <c r="I726" i="3"/>
  <c r="J726" i="3" s="1"/>
  <c r="I727" i="3"/>
  <c r="J727" i="3" s="1"/>
  <c r="I728" i="3"/>
  <c r="J728" i="3" s="1"/>
  <c r="I729" i="3"/>
  <c r="J729" i="3" s="1"/>
  <c r="I730" i="3"/>
  <c r="J730" i="3" s="1"/>
  <c r="I731" i="3"/>
  <c r="J731" i="3" s="1"/>
  <c r="I732" i="3"/>
  <c r="J732" i="3" s="1"/>
  <c r="I733" i="3"/>
  <c r="I734" i="3"/>
  <c r="J734" i="3" s="1"/>
  <c r="I735" i="3"/>
  <c r="J735" i="3" s="1"/>
  <c r="I736" i="3"/>
  <c r="J736" i="3" s="1"/>
  <c r="I737" i="3"/>
  <c r="J737" i="3" s="1"/>
  <c r="I738" i="3"/>
  <c r="J738" i="3" s="1"/>
  <c r="I739" i="3"/>
  <c r="J739" i="3" s="1"/>
  <c r="I740" i="3"/>
  <c r="J740" i="3" s="1"/>
  <c r="I741" i="3"/>
  <c r="J741" i="3" s="1"/>
  <c r="I742" i="3"/>
  <c r="J742" i="3" s="1"/>
  <c r="I743" i="3"/>
  <c r="J743" i="3" s="1"/>
  <c r="M729" i="3"/>
  <c r="N729" i="3" s="1"/>
  <c r="M730" i="3"/>
  <c r="N730" i="3" s="1"/>
  <c r="M733" i="3"/>
  <c r="N733" i="3" s="1"/>
  <c r="M734" i="3"/>
  <c r="N734" i="3" s="1"/>
  <c r="M735" i="3"/>
  <c r="N735" i="3" s="1"/>
  <c r="M736" i="3"/>
  <c r="N736" i="3" s="1"/>
  <c r="M737" i="3"/>
  <c r="N737" i="3" s="1"/>
  <c r="M738" i="3"/>
  <c r="N738" i="3" s="1"/>
  <c r="M741" i="3"/>
  <c r="N741" i="3" s="1"/>
  <c r="M742" i="3"/>
  <c r="N742" i="3" s="1"/>
  <c r="M743" i="3"/>
  <c r="N743" i="3" s="1"/>
  <c r="E715" i="3"/>
  <c r="F716" i="5" s="1"/>
  <c r="I715" i="3"/>
  <c r="J715" i="3" s="1"/>
  <c r="D716" i="5"/>
  <c r="E716" i="5"/>
  <c r="G716" i="5"/>
  <c r="H716" i="5"/>
  <c r="I716" i="5"/>
  <c r="M715" i="3" s="1"/>
  <c r="N715" i="3" s="1"/>
  <c r="D706" i="5"/>
  <c r="D707" i="5"/>
  <c r="D708" i="5"/>
  <c r="D709" i="5"/>
  <c r="D710" i="5"/>
  <c r="D711" i="5"/>
  <c r="D712" i="5"/>
  <c r="D713" i="5"/>
  <c r="D714" i="5"/>
  <c r="D715" i="5"/>
  <c r="E706" i="5"/>
  <c r="E707" i="5"/>
  <c r="E708" i="5"/>
  <c r="E709" i="5"/>
  <c r="E710" i="5"/>
  <c r="E711" i="5"/>
  <c r="E712" i="5"/>
  <c r="E713" i="5"/>
  <c r="E714" i="5"/>
  <c r="E715" i="5"/>
  <c r="G706" i="5"/>
  <c r="G707" i="5"/>
  <c r="G708" i="5"/>
  <c r="G709" i="5"/>
  <c r="G710" i="5"/>
  <c r="G711" i="5"/>
  <c r="G712" i="5"/>
  <c r="G713" i="5"/>
  <c r="G714" i="5"/>
  <c r="G715" i="5"/>
  <c r="H706" i="5"/>
  <c r="H707" i="5"/>
  <c r="H708" i="5"/>
  <c r="H709" i="5"/>
  <c r="H710" i="5"/>
  <c r="H711" i="5"/>
  <c r="H712" i="5"/>
  <c r="H713" i="5"/>
  <c r="H714" i="5"/>
  <c r="H715" i="5"/>
  <c r="I706" i="5"/>
  <c r="M705" i="3" s="1"/>
  <c r="N705" i="3" s="1"/>
  <c r="I707" i="5"/>
  <c r="M706" i="3" s="1"/>
  <c r="N706" i="3" s="1"/>
  <c r="K706" i="3" s="1"/>
  <c r="I708" i="5"/>
  <c r="M707" i="3" s="1"/>
  <c r="N707" i="3" s="1"/>
  <c r="K707" i="3" s="1"/>
  <c r="I709" i="5"/>
  <c r="M708" i="3" s="1"/>
  <c r="N708" i="3" s="1"/>
  <c r="K708" i="3" s="1"/>
  <c r="I710" i="5"/>
  <c r="M709" i="3" s="1"/>
  <c r="N709" i="3" s="1"/>
  <c r="K709" i="3" s="1"/>
  <c r="I711" i="5"/>
  <c r="M710" i="3" s="1"/>
  <c r="N710" i="3" s="1"/>
  <c r="K710" i="3" s="1"/>
  <c r="I712" i="5"/>
  <c r="M711" i="3" s="1"/>
  <c r="N711" i="3" s="1"/>
  <c r="K711" i="3" s="1"/>
  <c r="I713" i="5"/>
  <c r="M712" i="3" s="1"/>
  <c r="N712" i="3" s="1"/>
  <c r="K712" i="3" s="1"/>
  <c r="I714" i="5"/>
  <c r="M713" i="3" s="1"/>
  <c r="N713" i="3" s="1"/>
  <c r="K713" i="3" s="1"/>
  <c r="I715" i="5"/>
  <c r="M714" i="3" s="1"/>
  <c r="N714" i="3" s="1"/>
  <c r="K714" i="3" s="1"/>
  <c r="D698" i="5"/>
  <c r="D699" i="5"/>
  <c r="D700" i="5"/>
  <c r="D701" i="5"/>
  <c r="D702" i="5"/>
  <c r="D703" i="5"/>
  <c r="D704" i="5"/>
  <c r="E698" i="5"/>
  <c r="E699" i="5"/>
  <c r="E700" i="5"/>
  <c r="E701" i="5"/>
  <c r="E702" i="5"/>
  <c r="E703" i="5"/>
  <c r="E704" i="5"/>
  <c r="G698" i="5"/>
  <c r="G699" i="5"/>
  <c r="G700" i="5"/>
  <c r="G701" i="5"/>
  <c r="G702" i="5"/>
  <c r="G703" i="5"/>
  <c r="G704" i="5"/>
  <c r="H698" i="5"/>
  <c r="H699" i="5"/>
  <c r="H700" i="5"/>
  <c r="H701" i="5"/>
  <c r="H702" i="5"/>
  <c r="H703" i="5"/>
  <c r="H704" i="5"/>
  <c r="I698" i="5"/>
  <c r="M697" i="3" s="1"/>
  <c r="N697" i="3" s="1"/>
  <c r="K697" i="3" s="1"/>
  <c r="I699" i="5"/>
  <c r="M698" i="3" s="1"/>
  <c r="N698" i="3" s="1"/>
  <c r="K698" i="3" s="1"/>
  <c r="I700" i="5"/>
  <c r="M699" i="3" s="1"/>
  <c r="N699" i="3" s="1"/>
  <c r="K699" i="3" s="1"/>
  <c r="I701" i="5"/>
  <c r="M700" i="3" s="1"/>
  <c r="N700" i="3" s="1"/>
  <c r="K700" i="3" s="1"/>
  <c r="I702" i="5"/>
  <c r="M701" i="3" s="1"/>
  <c r="N701" i="3" s="1"/>
  <c r="K701" i="3" s="1"/>
  <c r="I703" i="5"/>
  <c r="M702" i="3" s="1"/>
  <c r="N702" i="3" s="1"/>
  <c r="K702" i="3" s="1"/>
  <c r="I704" i="5"/>
  <c r="M703" i="3" s="1"/>
  <c r="N703" i="3" s="1"/>
  <c r="K703" i="3" s="1"/>
  <c r="F276" i="2"/>
  <c r="F277" i="2"/>
  <c r="F278" i="2"/>
  <c r="F279" i="2"/>
  <c r="F280" i="2"/>
  <c r="F275" i="2"/>
  <c r="E697" i="3"/>
  <c r="F698" i="5" s="1"/>
  <c r="E698" i="3"/>
  <c r="F699" i="5" s="1"/>
  <c r="E699" i="3"/>
  <c r="F700" i="5" s="1"/>
  <c r="E700" i="3"/>
  <c r="F701" i="5" s="1"/>
  <c r="E701" i="3"/>
  <c r="F702" i="5" s="1"/>
  <c r="E702" i="3"/>
  <c r="F703" i="5" s="1"/>
  <c r="E703" i="3"/>
  <c r="F704" i="5" s="1"/>
  <c r="E704" i="3"/>
  <c r="F705" i="5" s="1"/>
  <c r="E705" i="3"/>
  <c r="F706" i="5" s="1"/>
  <c r="E706" i="3"/>
  <c r="F707" i="5" s="1"/>
  <c r="E707" i="3"/>
  <c r="F708" i="5" s="1"/>
  <c r="E708" i="3"/>
  <c r="F709" i="5" s="1"/>
  <c r="E709" i="3"/>
  <c r="F710" i="5" s="1"/>
  <c r="E710" i="3"/>
  <c r="F711" i="5" s="1"/>
  <c r="E711" i="3"/>
  <c r="F712" i="5" s="1"/>
  <c r="E712" i="3"/>
  <c r="F713" i="5" s="1"/>
  <c r="E713" i="3"/>
  <c r="F714" i="5" s="1"/>
  <c r="E714" i="3"/>
  <c r="F715" i="5" s="1"/>
  <c r="I697" i="3"/>
  <c r="J697" i="3" s="1"/>
  <c r="I698" i="3"/>
  <c r="J698" i="3" s="1"/>
  <c r="I699" i="3"/>
  <c r="J699" i="3" s="1"/>
  <c r="I700" i="3"/>
  <c r="J700" i="3" s="1"/>
  <c r="I701" i="3"/>
  <c r="J701" i="3" s="1"/>
  <c r="I702" i="3"/>
  <c r="J702" i="3" s="1"/>
  <c r="I703" i="3"/>
  <c r="J703" i="3" s="1"/>
  <c r="I704" i="3"/>
  <c r="J704" i="3" s="1"/>
  <c r="I705" i="3"/>
  <c r="J705" i="3" s="1"/>
  <c r="I706" i="3"/>
  <c r="J706" i="3" s="1"/>
  <c r="I707" i="3"/>
  <c r="J707" i="3" s="1"/>
  <c r="I708" i="3"/>
  <c r="J708" i="3" s="1"/>
  <c r="I709" i="3"/>
  <c r="J709" i="3" s="1"/>
  <c r="I710" i="3"/>
  <c r="J710" i="3" s="1"/>
  <c r="I711" i="3"/>
  <c r="J711" i="3" s="1"/>
  <c r="I712" i="3"/>
  <c r="J712" i="3" s="1"/>
  <c r="I713" i="3"/>
  <c r="J713" i="3" s="1"/>
  <c r="I714" i="3"/>
  <c r="J714" i="3" s="1"/>
  <c r="M704" i="3"/>
  <c r="N704" i="3" s="1"/>
  <c r="E696" i="3"/>
  <c r="F697" i="5" s="1"/>
  <c r="I696" i="3"/>
  <c r="J696" i="3" s="1"/>
  <c r="D697" i="5"/>
  <c r="E697" i="5"/>
  <c r="G697" i="5"/>
  <c r="H697" i="5"/>
  <c r="I697" i="5"/>
  <c r="M696" i="3" s="1"/>
  <c r="N696" i="3" s="1"/>
  <c r="D695" i="5"/>
  <c r="E695" i="5"/>
  <c r="G695" i="5"/>
  <c r="H695" i="5"/>
  <c r="I695" i="5"/>
  <c r="K729" i="3" l="1"/>
  <c r="K736" i="3"/>
  <c r="L736" i="3" s="1"/>
  <c r="K742" i="3"/>
  <c r="K741" i="3"/>
  <c r="L741" i="3" s="1"/>
  <c r="K737" i="3"/>
  <c r="L737" i="3" s="1"/>
  <c r="K738" i="3"/>
  <c r="L738" i="3" s="1"/>
  <c r="K735" i="3"/>
  <c r="L735" i="3" s="1"/>
  <c r="K734" i="3"/>
  <c r="L734" i="3" s="1"/>
  <c r="K721" i="3"/>
  <c r="K743" i="3"/>
  <c r="L743" i="3" s="1"/>
  <c r="K719" i="3"/>
  <c r="L713" i="3"/>
  <c r="K718" i="3"/>
  <c r="L718" i="3" s="1"/>
  <c r="K716" i="3"/>
  <c r="L716" i="3" s="1"/>
  <c r="K726" i="3"/>
  <c r="L726" i="3" s="1"/>
  <c r="K725" i="3"/>
  <c r="L725" i="3" s="1"/>
  <c r="K715" i="3"/>
  <c r="L715" i="3" s="1"/>
  <c r="K723" i="3"/>
  <c r="L723" i="3" s="1"/>
  <c r="L719" i="3"/>
  <c r="L721" i="3"/>
  <c r="L731" i="3"/>
  <c r="L742" i="3"/>
  <c r="L729" i="3"/>
  <c r="L717" i="3"/>
  <c r="L739" i="3"/>
  <c r="L727" i="3"/>
  <c r="L724" i="3"/>
  <c r="J733" i="3"/>
  <c r="K733" i="3" s="1"/>
  <c r="L733" i="3" s="1"/>
  <c r="K730" i="3"/>
  <c r="L730" i="3" s="1"/>
  <c r="L722" i="3"/>
  <c r="K740" i="3"/>
  <c r="L740" i="3" s="1"/>
  <c r="K728" i="3"/>
  <c r="L728" i="3" s="1"/>
  <c r="L732" i="3"/>
  <c r="L720" i="3"/>
  <c r="K704" i="3"/>
  <c r="L704" i="3" s="1"/>
  <c r="L708" i="3"/>
  <c r="L706" i="3"/>
  <c r="K696" i="3"/>
  <c r="K705" i="3"/>
  <c r="L705" i="3" s="1"/>
  <c r="L707" i="3"/>
  <c r="L696" i="3"/>
  <c r="L709" i="3"/>
  <c r="L703" i="3"/>
  <c r="L701" i="3"/>
  <c r="L697" i="3"/>
  <c r="L714" i="3"/>
  <c r="L702" i="3"/>
  <c r="L712" i="3"/>
  <c r="L700" i="3"/>
  <c r="L711" i="3"/>
  <c r="L699" i="3"/>
  <c r="L710" i="3"/>
  <c r="L698" i="3"/>
  <c r="D653" i="5"/>
  <c r="E653" i="5"/>
  <c r="G653" i="5"/>
  <c r="H653" i="5"/>
  <c r="I653" i="5"/>
  <c r="D651" i="5"/>
  <c r="E651" i="5"/>
  <c r="G651" i="5"/>
  <c r="H651" i="5"/>
  <c r="I651" i="5"/>
  <c r="D676" i="5" l="1"/>
  <c r="E676" i="5"/>
  <c r="F676" i="5"/>
  <c r="G676" i="5"/>
  <c r="H676" i="5"/>
  <c r="I676" i="5"/>
  <c r="D643" i="5"/>
  <c r="E643" i="5"/>
  <c r="G643" i="5"/>
  <c r="H643" i="5"/>
  <c r="I643" i="5"/>
  <c r="D644" i="5"/>
  <c r="E644" i="5"/>
  <c r="G644" i="5"/>
  <c r="H644" i="5"/>
  <c r="I644" i="5"/>
  <c r="D611" i="5"/>
  <c r="E611" i="5"/>
  <c r="G611" i="5"/>
  <c r="H611" i="5"/>
  <c r="I611" i="5"/>
  <c r="D661" i="5"/>
  <c r="E661" i="5"/>
  <c r="F661" i="5"/>
  <c r="G661" i="5"/>
  <c r="H661" i="5"/>
  <c r="I661" i="5"/>
  <c r="D613" i="5"/>
  <c r="E613" i="5"/>
  <c r="G613" i="5"/>
  <c r="H613" i="5"/>
  <c r="I613" i="5"/>
  <c r="D612" i="5" l="1"/>
  <c r="E612" i="5"/>
  <c r="G612" i="5"/>
  <c r="H612" i="5"/>
  <c r="I612" i="5"/>
  <c r="D555" i="5"/>
  <c r="E555" i="5"/>
  <c r="G555" i="5"/>
  <c r="H555" i="5"/>
  <c r="I555" i="5"/>
  <c r="D665" i="5"/>
  <c r="E665" i="5"/>
  <c r="F665" i="5"/>
  <c r="G665" i="5"/>
  <c r="H665" i="5"/>
  <c r="I665" i="5"/>
  <c r="D642" i="5"/>
  <c r="E642" i="5"/>
  <c r="G642" i="5"/>
  <c r="H642" i="5"/>
  <c r="I642" i="5"/>
  <c r="D641" i="5"/>
  <c r="E641" i="5"/>
  <c r="G641" i="5"/>
  <c r="H641" i="5"/>
  <c r="I641" i="5"/>
  <c r="D696" i="5"/>
  <c r="E696" i="5"/>
  <c r="G696" i="5"/>
  <c r="H696" i="5"/>
  <c r="I696" i="5"/>
  <c r="M695" i="3" s="1"/>
  <c r="N695" i="3" s="1"/>
  <c r="K695" i="3" s="1"/>
  <c r="D691" i="5"/>
  <c r="D692" i="5"/>
  <c r="E691" i="5"/>
  <c r="E692" i="5"/>
  <c r="G691" i="5"/>
  <c r="G692" i="5"/>
  <c r="H691" i="5"/>
  <c r="H692" i="5"/>
  <c r="I691" i="5"/>
  <c r="M690" i="3" s="1"/>
  <c r="N690" i="3" s="1"/>
  <c r="K690" i="3" s="1"/>
  <c r="I692" i="5"/>
  <c r="M691" i="3" s="1"/>
  <c r="N691" i="3" s="1"/>
  <c r="D689" i="5"/>
  <c r="E689" i="5"/>
  <c r="G689" i="5"/>
  <c r="H689" i="5"/>
  <c r="I689" i="5"/>
  <c r="M688" i="3" s="1"/>
  <c r="N688" i="3" s="1"/>
  <c r="D684" i="5"/>
  <c r="D685" i="5"/>
  <c r="D686" i="5"/>
  <c r="D687" i="5"/>
  <c r="E684" i="5"/>
  <c r="E685" i="5"/>
  <c r="E686" i="5"/>
  <c r="E687" i="5"/>
  <c r="G684" i="5"/>
  <c r="G685" i="5"/>
  <c r="G686" i="5"/>
  <c r="G687" i="5"/>
  <c r="H684" i="5"/>
  <c r="H685" i="5"/>
  <c r="H686" i="5"/>
  <c r="H687" i="5"/>
  <c r="I684" i="5"/>
  <c r="M682" i="3" s="1"/>
  <c r="N682" i="3" s="1"/>
  <c r="I685" i="5"/>
  <c r="M683" i="3" s="1"/>
  <c r="N683" i="3" s="1"/>
  <c r="K683" i="3" s="1"/>
  <c r="I686" i="5"/>
  <c r="M684" i="3" s="1"/>
  <c r="N684" i="3" s="1"/>
  <c r="K684" i="3" s="1"/>
  <c r="I687" i="5"/>
  <c r="M685" i="3" s="1"/>
  <c r="N685" i="3" s="1"/>
  <c r="D682" i="5"/>
  <c r="E682" i="5"/>
  <c r="G682" i="5"/>
  <c r="H682" i="5"/>
  <c r="I682" i="5"/>
  <c r="M680" i="3" s="1"/>
  <c r="N680" i="3" s="1"/>
  <c r="F270" i="2"/>
  <c r="F271" i="2"/>
  <c r="F272" i="2"/>
  <c r="F273" i="2"/>
  <c r="F274" i="2"/>
  <c r="E680" i="3"/>
  <c r="F682" i="5" s="1"/>
  <c r="E681" i="3"/>
  <c r="F683" i="5" s="1"/>
  <c r="E682" i="3"/>
  <c r="F684" i="5" s="1"/>
  <c r="E683" i="3"/>
  <c r="F685" i="5" s="1"/>
  <c r="E684" i="3"/>
  <c r="F686" i="5" s="1"/>
  <c r="E685" i="3"/>
  <c r="F687" i="5" s="1"/>
  <c r="E686" i="3"/>
  <c r="F688" i="5" s="1"/>
  <c r="E687" i="3"/>
  <c r="E688" i="3"/>
  <c r="F689" i="5" s="1"/>
  <c r="E689" i="3"/>
  <c r="F690" i="5" s="1"/>
  <c r="E690" i="3"/>
  <c r="F691" i="5" s="1"/>
  <c r="E691" i="3"/>
  <c r="F692" i="5" s="1"/>
  <c r="E692" i="3"/>
  <c r="F693" i="5" s="1"/>
  <c r="E693" i="3"/>
  <c r="F694" i="5" s="1"/>
  <c r="E694" i="3"/>
  <c r="F695" i="5" s="1"/>
  <c r="E695" i="3"/>
  <c r="F696" i="5" s="1"/>
  <c r="I680" i="3"/>
  <c r="J680" i="3" s="1"/>
  <c r="I681" i="3"/>
  <c r="J681" i="3" s="1"/>
  <c r="I682" i="3"/>
  <c r="J682" i="3" s="1"/>
  <c r="I683" i="3"/>
  <c r="J683" i="3" s="1"/>
  <c r="I684" i="3"/>
  <c r="J684" i="3" s="1"/>
  <c r="I685" i="3"/>
  <c r="J685" i="3" s="1"/>
  <c r="I686" i="3"/>
  <c r="J686" i="3" s="1"/>
  <c r="I687" i="3"/>
  <c r="J687" i="3" s="1"/>
  <c r="I688" i="3"/>
  <c r="J688" i="3" s="1"/>
  <c r="I689" i="3"/>
  <c r="J689" i="3" s="1"/>
  <c r="I690" i="3"/>
  <c r="J690" i="3" s="1"/>
  <c r="I691" i="3"/>
  <c r="J691" i="3" s="1"/>
  <c r="I692" i="3"/>
  <c r="J692" i="3" s="1"/>
  <c r="I693" i="3"/>
  <c r="J693" i="3" s="1"/>
  <c r="I694" i="3"/>
  <c r="J694" i="3" s="1"/>
  <c r="I695" i="3"/>
  <c r="J695" i="3" s="1"/>
  <c r="M681" i="3"/>
  <c r="N681" i="3" s="1"/>
  <c r="M686" i="3"/>
  <c r="N686" i="3" s="1"/>
  <c r="M687" i="3"/>
  <c r="N687" i="3" s="1"/>
  <c r="M689" i="3"/>
  <c r="N689" i="3" s="1"/>
  <c r="M692" i="3"/>
  <c r="N692" i="3" s="1"/>
  <c r="M693" i="3"/>
  <c r="N693" i="3" s="1"/>
  <c r="M694" i="3"/>
  <c r="N694" i="3" s="1"/>
  <c r="D681" i="5"/>
  <c r="E681" i="5"/>
  <c r="G681" i="5"/>
  <c r="H681" i="5"/>
  <c r="I681" i="5"/>
  <c r="M679" i="3" s="1"/>
  <c r="N679" i="3" s="1"/>
  <c r="K679" i="3" s="1"/>
  <c r="E679" i="3"/>
  <c r="F681" i="5" s="1"/>
  <c r="I679" i="3"/>
  <c r="J679" i="3" s="1"/>
  <c r="D603" i="5"/>
  <c r="E603" i="5"/>
  <c r="G603" i="5"/>
  <c r="H603" i="5"/>
  <c r="I603" i="5"/>
  <c r="K687" i="3" l="1"/>
  <c r="L687" i="3" s="1"/>
  <c r="K686" i="3"/>
  <c r="L686" i="3" s="1"/>
  <c r="K693" i="3"/>
  <c r="L693" i="3" s="1"/>
  <c r="K681" i="3"/>
  <c r="L681" i="3" s="1"/>
  <c r="L695" i="3"/>
  <c r="L684" i="3"/>
  <c r="L683" i="3"/>
  <c r="K685" i="3"/>
  <c r="L685" i="3" s="1"/>
  <c r="K689" i="3"/>
  <c r="L689" i="3" s="1"/>
  <c r="K688" i="3"/>
  <c r="L688" i="3" s="1"/>
  <c r="K691" i="3"/>
  <c r="L691" i="3" s="1"/>
  <c r="L690" i="3"/>
  <c r="K694" i="3"/>
  <c r="L694" i="3" s="1"/>
  <c r="K682" i="3"/>
  <c r="L682" i="3" s="1"/>
  <c r="K692" i="3"/>
  <c r="L692" i="3" s="1"/>
  <c r="K680" i="3"/>
  <c r="L680" i="3" s="1"/>
  <c r="L679" i="3"/>
  <c r="D556" i="5" l="1"/>
  <c r="E556" i="5"/>
  <c r="G556" i="5"/>
  <c r="H556" i="5"/>
  <c r="I556" i="5"/>
  <c r="D559" i="5"/>
  <c r="E559" i="5"/>
  <c r="G559" i="5"/>
  <c r="H559" i="5"/>
  <c r="I559" i="5"/>
  <c r="D558" i="5" l="1"/>
  <c r="E558" i="5"/>
  <c r="G558" i="5"/>
  <c r="H558" i="5"/>
  <c r="I558" i="5"/>
  <c r="D680" i="5"/>
  <c r="E680" i="5"/>
  <c r="F680" i="5"/>
  <c r="G680" i="5"/>
  <c r="H680" i="5"/>
  <c r="I680" i="5"/>
  <c r="M678" i="3" s="1"/>
  <c r="N678" i="3" s="1"/>
  <c r="K678" i="3" s="1"/>
  <c r="D677" i="5"/>
  <c r="E677" i="5"/>
  <c r="F677" i="5"/>
  <c r="G677" i="5"/>
  <c r="H677" i="5"/>
  <c r="I677" i="5"/>
  <c r="M675" i="3" s="1"/>
  <c r="N675" i="3" s="1"/>
  <c r="K675" i="3" s="1"/>
  <c r="D666" i="5"/>
  <c r="D667" i="5"/>
  <c r="D668" i="5"/>
  <c r="D669" i="5"/>
  <c r="D670" i="5"/>
  <c r="D671" i="5"/>
  <c r="D672" i="5"/>
  <c r="D673" i="5"/>
  <c r="D674" i="5"/>
  <c r="D675" i="5"/>
  <c r="E666" i="5"/>
  <c r="E667" i="5"/>
  <c r="E668" i="5"/>
  <c r="E669" i="5"/>
  <c r="E670" i="5"/>
  <c r="E671" i="5"/>
  <c r="E672" i="5"/>
  <c r="E673" i="5"/>
  <c r="E674" i="5"/>
  <c r="E675" i="5"/>
  <c r="F666" i="5"/>
  <c r="F667" i="5"/>
  <c r="F668" i="5"/>
  <c r="F669" i="5"/>
  <c r="F670" i="5"/>
  <c r="F671" i="5"/>
  <c r="F672" i="5"/>
  <c r="F673" i="5"/>
  <c r="F674" i="5"/>
  <c r="F675" i="5"/>
  <c r="G666" i="5"/>
  <c r="G667" i="5"/>
  <c r="G668" i="5"/>
  <c r="G669" i="5"/>
  <c r="G670" i="5"/>
  <c r="G671" i="5"/>
  <c r="G672" i="5"/>
  <c r="G673" i="5"/>
  <c r="G674" i="5"/>
  <c r="G675" i="5"/>
  <c r="H666" i="5"/>
  <c r="H667" i="5"/>
  <c r="H668" i="5"/>
  <c r="H669" i="5"/>
  <c r="H670" i="5"/>
  <c r="H671" i="5"/>
  <c r="H672" i="5"/>
  <c r="H673" i="5"/>
  <c r="H674" i="5"/>
  <c r="H675" i="5"/>
  <c r="I666" i="5"/>
  <c r="M664" i="3" s="1"/>
  <c r="N664" i="3" s="1"/>
  <c r="K664" i="3" s="1"/>
  <c r="I667" i="5"/>
  <c r="M665" i="3" s="1"/>
  <c r="N665" i="3" s="1"/>
  <c r="K665" i="3" s="1"/>
  <c r="I668" i="5"/>
  <c r="M666" i="3" s="1"/>
  <c r="N666" i="3" s="1"/>
  <c r="I669" i="5"/>
  <c r="M667" i="3" s="1"/>
  <c r="N667" i="3" s="1"/>
  <c r="K667" i="3" s="1"/>
  <c r="I670" i="5"/>
  <c r="M668" i="3" s="1"/>
  <c r="N668" i="3" s="1"/>
  <c r="K668" i="3" s="1"/>
  <c r="I671" i="5"/>
  <c r="M669" i="3" s="1"/>
  <c r="N669" i="3" s="1"/>
  <c r="K669" i="3" s="1"/>
  <c r="I672" i="5"/>
  <c r="M670" i="3" s="1"/>
  <c r="N670" i="3" s="1"/>
  <c r="K670" i="3" s="1"/>
  <c r="I673" i="5"/>
  <c r="M671" i="3" s="1"/>
  <c r="N671" i="3" s="1"/>
  <c r="K671" i="3" s="1"/>
  <c r="I674" i="5"/>
  <c r="M672" i="3" s="1"/>
  <c r="N672" i="3" s="1"/>
  <c r="K672" i="3" s="1"/>
  <c r="I675" i="5"/>
  <c r="M673" i="3" s="1"/>
  <c r="N673" i="3" s="1"/>
  <c r="K673" i="3" s="1"/>
  <c r="D662" i="5"/>
  <c r="D663" i="5"/>
  <c r="D664" i="5"/>
  <c r="E662" i="5"/>
  <c r="E663" i="5"/>
  <c r="E664" i="5"/>
  <c r="F662" i="5"/>
  <c r="F663" i="5"/>
  <c r="F664" i="5"/>
  <c r="G662" i="5"/>
  <c r="G663" i="5"/>
  <c r="G664" i="5"/>
  <c r="H662" i="5"/>
  <c r="H663" i="5"/>
  <c r="H664" i="5"/>
  <c r="I662" i="5"/>
  <c r="M660" i="3" s="1"/>
  <c r="N660" i="3" s="1"/>
  <c r="K660" i="3" s="1"/>
  <c r="I663" i="5"/>
  <c r="M661" i="3" s="1"/>
  <c r="N661" i="3" s="1"/>
  <c r="K661" i="3" s="1"/>
  <c r="I664" i="5"/>
  <c r="M662" i="3" s="1"/>
  <c r="N662" i="3" s="1"/>
  <c r="K662" i="3" s="1"/>
  <c r="D660" i="5"/>
  <c r="E660" i="5"/>
  <c r="F660" i="5"/>
  <c r="G660" i="5"/>
  <c r="H660" i="5"/>
  <c r="I660" i="5"/>
  <c r="M658" i="3" s="1"/>
  <c r="N658" i="3" s="1"/>
  <c r="K658" i="3" s="1"/>
  <c r="D657" i="5"/>
  <c r="D658" i="5"/>
  <c r="E657" i="5"/>
  <c r="E658" i="5"/>
  <c r="F657" i="5"/>
  <c r="F658" i="5"/>
  <c r="G657" i="5"/>
  <c r="G658" i="5"/>
  <c r="H657" i="5"/>
  <c r="H658" i="5"/>
  <c r="I657" i="5"/>
  <c r="M655" i="3" s="1"/>
  <c r="N655" i="3" s="1"/>
  <c r="K655" i="3" s="1"/>
  <c r="I658" i="5"/>
  <c r="M656" i="3" s="1"/>
  <c r="N656" i="3" s="1"/>
  <c r="K656" i="3" s="1"/>
  <c r="I655" i="3"/>
  <c r="J655" i="3" s="1"/>
  <c r="I656" i="3"/>
  <c r="J656" i="3" s="1"/>
  <c r="I657" i="3"/>
  <c r="J657" i="3" s="1"/>
  <c r="I658" i="3"/>
  <c r="J658" i="3" s="1"/>
  <c r="I659" i="3"/>
  <c r="J659" i="3" s="1"/>
  <c r="I660" i="3"/>
  <c r="J660" i="3" s="1"/>
  <c r="I661" i="3"/>
  <c r="J661" i="3" s="1"/>
  <c r="I662" i="3"/>
  <c r="J662" i="3" s="1"/>
  <c r="I663" i="3"/>
  <c r="J663" i="3" s="1"/>
  <c r="I664" i="3"/>
  <c r="J664" i="3" s="1"/>
  <c r="I665" i="3"/>
  <c r="J665" i="3" s="1"/>
  <c r="I666" i="3"/>
  <c r="J666" i="3" s="1"/>
  <c r="I667" i="3"/>
  <c r="J667" i="3" s="1"/>
  <c r="I668" i="3"/>
  <c r="J668" i="3" s="1"/>
  <c r="I669" i="3"/>
  <c r="J669" i="3" s="1"/>
  <c r="I670" i="3"/>
  <c r="J670" i="3" s="1"/>
  <c r="I671" i="3"/>
  <c r="J671" i="3" s="1"/>
  <c r="I672" i="3"/>
  <c r="J672" i="3" s="1"/>
  <c r="I673" i="3"/>
  <c r="J673" i="3" s="1"/>
  <c r="I674" i="3"/>
  <c r="J674" i="3" s="1"/>
  <c r="I675" i="3"/>
  <c r="J675" i="3" s="1"/>
  <c r="I676" i="3"/>
  <c r="J676" i="3" s="1"/>
  <c r="I677" i="3"/>
  <c r="J677" i="3" s="1"/>
  <c r="I678" i="3"/>
  <c r="J678" i="3" s="1"/>
  <c r="M657" i="3"/>
  <c r="N657" i="3" s="1"/>
  <c r="M659" i="3"/>
  <c r="N659" i="3" s="1"/>
  <c r="M663" i="3"/>
  <c r="N663" i="3" s="1"/>
  <c r="M674" i="3"/>
  <c r="N674" i="3" s="1"/>
  <c r="M676" i="3"/>
  <c r="N676" i="3" s="1"/>
  <c r="M677" i="3"/>
  <c r="N677" i="3" s="1"/>
  <c r="I654" i="3"/>
  <c r="J654" i="3" s="1"/>
  <c r="K663" i="3" l="1"/>
  <c r="K659" i="3"/>
  <c r="L659" i="3" s="1"/>
  <c r="K657" i="3"/>
  <c r="L657" i="3" s="1"/>
  <c r="K676" i="3"/>
  <c r="L676" i="3" s="1"/>
  <c r="K677" i="3"/>
  <c r="L677" i="3" s="1"/>
  <c r="K674" i="3"/>
  <c r="L674" i="3" s="1"/>
  <c r="K666" i="3"/>
  <c r="L678" i="3"/>
  <c r="L666" i="3"/>
  <c r="L665" i="3"/>
  <c r="L664" i="3"/>
  <c r="L662" i="3"/>
  <c r="L673" i="3"/>
  <c r="L661" i="3"/>
  <c r="L675" i="3"/>
  <c r="L672" i="3"/>
  <c r="L660" i="3"/>
  <c r="L671" i="3"/>
  <c r="L670" i="3"/>
  <c r="L658" i="3"/>
  <c r="L663" i="3"/>
  <c r="L669" i="3"/>
  <c r="L668" i="3"/>
  <c r="L656" i="3"/>
  <c r="L667" i="3"/>
  <c r="L655" i="3"/>
  <c r="F269" i="2"/>
  <c r="D656" i="5" l="1"/>
  <c r="E656" i="5"/>
  <c r="F656" i="5"/>
  <c r="G656" i="5"/>
  <c r="H656" i="5"/>
  <c r="I656" i="5"/>
  <c r="M654" i="3" s="1"/>
  <c r="N654" i="3" s="1"/>
  <c r="D654" i="5"/>
  <c r="E654" i="5"/>
  <c r="G654" i="5"/>
  <c r="H654" i="5"/>
  <c r="I654" i="5"/>
  <c r="F268" i="2"/>
  <c r="K654" i="3" l="1"/>
  <c r="L654" i="3"/>
  <c r="E650" i="3"/>
  <c r="F652" i="5" s="1"/>
  <c r="E651" i="3"/>
  <c r="F653" i="5" s="1"/>
  <c r="E652" i="3"/>
  <c r="F654" i="5" s="1"/>
  <c r="E653" i="3"/>
  <c r="F655" i="5" s="1"/>
  <c r="I650" i="3"/>
  <c r="J650" i="3" s="1"/>
  <c r="I651" i="3"/>
  <c r="J651" i="3" s="1"/>
  <c r="I652" i="3"/>
  <c r="I653" i="3"/>
  <c r="J653" i="3" s="1"/>
  <c r="M651" i="3"/>
  <c r="N651" i="3" s="1"/>
  <c r="M652" i="3"/>
  <c r="N652" i="3" s="1"/>
  <c r="M653" i="3"/>
  <c r="N653" i="3" s="1"/>
  <c r="D652" i="5"/>
  <c r="E652" i="5"/>
  <c r="G652" i="5"/>
  <c r="H652" i="5"/>
  <c r="I652" i="5"/>
  <c r="M650" i="3" s="1"/>
  <c r="N650" i="3" s="1"/>
  <c r="K650" i="3" s="1"/>
  <c r="L650" i="3" s="1"/>
  <c r="D645" i="5"/>
  <c r="E645" i="5"/>
  <c r="G645" i="5"/>
  <c r="H645" i="5"/>
  <c r="I645" i="5"/>
  <c r="D600" i="5"/>
  <c r="E600" i="5"/>
  <c r="G600" i="5"/>
  <c r="H600" i="5"/>
  <c r="I600" i="5"/>
  <c r="D607" i="5"/>
  <c r="E607" i="5"/>
  <c r="G607" i="5"/>
  <c r="H607" i="5"/>
  <c r="I607" i="5"/>
  <c r="D629" i="5"/>
  <c r="E629" i="5"/>
  <c r="G629" i="5"/>
  <c r="H629" i="5"/>
  <c r="I629" i="5"/>
  <c r="D604" i="5"/>
  <c r="E604" i="5"/>
  <c r="G604" i="5"/>
  <c r="H604" i="5"/>
  <c r="I604" i="5"/>
  <c r="K653" i="3" l="1"/>
  <c r="L653" i="3" s="1"/>
  <c r="K651" i="3"/>
  <c r="L651" i="3" s="1"/>
  <c r="J652" i="3"/>
  <c r="K652" i="3" s="1"/>
  <c r="L652" i="3" s="1"/>
  <c r="D599" i="5"/>
  <c r="E599" i="5"/>
  <c r="G599" i="5"/>
  <c r="H599" i="5"/>
  <c r="I599" i="5"/>
  <c r="E649" i="3"/>
  <c r="F651" i="5" s="1"/>
  <c r="I649" i="3"/>
  <c r="M649" i="3"/>
  <c r="N649" i="3" s="1"/>
  <c r="D549" i="5"/>
  <c r="E549" i="5"/>
  <c r="G549" i="5"/>
  <c r="H549" i="5"/>
  <c r="I549" i="5"/>
  <c r="D650" i="5"/>
  <c r="E650" i="5"/>
  <c r="G650" i="5"/>
  <c r="H650" i="5"/>
  <c r="I650" i="5"/>
  <c r="M648" i="3" s="1"/>
  <c r="N648" i="3" s="1"/>
  <c r="K648" i="3" s="1"/>
  <c r="D647" i="5"/>
  <c r="D648" i="5"/>
  <c r="E647" i="5"/>
  <c r="E648" i="5"/>
  <c r="G647" i="5"/>
  <c r="G648" i="5"/>
  <c r="H647" i="5"/>
  <c r="H648" i="5"/>
  <c r="I647" i="5"/>
  <c r="M645" i="3" s="1"/>
  <c r="N645" i="3" s="1"/>
  <c r="K645" i="3" s="1"/>
  <c r="I648" i="5"/>
  <c r="M646" i="3" s="1"/>
  <c r="N646" i="3" s="1"/>
  <c r="K646" i="3" s="1"/>
  <c r="F265" i="2"/>
  <c r="F266" i="2"/>
  <c r="F267" i="2"/>
  <c r="E642" i="3"/>
  <c r="F644" i="5" s="1"/>
  <c r="E643" i="3"/>
  <c r="F645" i="5" s="1"/>
  <c r="E644" i="3"/>
  <c r="F646" i="5" s="1"/>
  <c r="E645" i="3"/>
  <c r="F647" i="5" s="1"/>
  <c r="E646" i="3"/>
  <c r="F648" i="5" s="1"/>
  <c r="E647" i="3"/>
  <c r="F649" i="5" s="1"/>
  <c r="E648" i="3"/>
  <c r="F650" i="5" s="1"/>
  <c r="I642" i="3"/>
  <c r="J642" i="3" s="1"/>
  <c r="I643" i="3"/>
  <c r="J643" i="3" s="1"/>
  <c r="I644" i="3"/>
  <c r="J644" i="3" s="1"/>
  <c r="I645" i="3"/>
  <c r="J645" i="3" s="1"/>
  <c r="I646" i="3"/>
  <c r="J646" i="3" s="1"/>
  <c r="I647" i="3"/>
  <c r="J647" i="3" s="1"/>
  <c r="I648" i="3"/>
  <c r="J648" i="3" s="1"/>
  <c r="M642" i="3"/>
  <c r="N642" i="3" s="1"/>
  <c r="M643" i="3"/>
  <c r="N643" i="3" s="1"/>
  <c r="M647" i="3"/>
  <c r="N647" i="3" s="1"/>
  <c r="E641" i="3"/>
  <c r="F643" i="5" s="1"/>
  <c r="I641" i="3"/>
  <c r="J641" i="3" s="1"/>
  <c r="M641" i="3"/>
  <c r="N641" i="3" s="1"/>
  <c r="D646" i="5"/>
  <c r="E646" i="5"/>
  <c r="G646" i="5"/>
  <c r="H646" i="5"/>
  <c r="I646" i="5"/>
  <c r="M644" i="3" s="1"/>
  <c r="N644" i="3" s="1"/>
  <c r="K644" i="3" s="1"/>
  <c r="K642" i="3" l="1"/>
  <c r="K641" i="3"/>
  <c r="L641" i="3" s="1"/>
  <c r="K643" i="3"/>
  <c r="L643" i="3" s="1"/>
  <c r="J649" i="3"/>
  <c r="K649" i="3" s="1"/>
  <c r="L649" i="3" s="1"/>
  <c r="K647" i="3"/>
  <c r="L647" i="3" s="1"/>
  <c r="L648" i="3"/>
  <c r="L646" i="3"/>
  <c r="L645" i="3"/>
  <c r="L644" i="3"/>
  <c r="L642" i="3"/>
  <c r="D583" i="5"/>
  <c r="E583" i="5"/>
  <c r="G583" i="5"/>
  <c r="H583" i="5"/>
  <c r="I583" i="5"/>
  <c r="D586" i="5"/>
  <c r="E586" i="5"/>
  <c r="G586" i="5"/>
  <c r="H586" i="5"/>
  <c r="I586" i="5"/>
  <c r="D585" i="5"/>
  <c r="E585" i="5"/>
  <c r="G585" i="5"/>
  <c r="H585" i="5"/>
  <c r="I585" i="5"/>
  <c r="D584" i="5" l="1"/>
  <c r="E584" i="5"/>
  <c r="G584" i="5"/>
  <c r="H584" i="5"/>
  <c r="I584" i="5"/>
  <c r="D638" i="5"/>
  <c r="D639" i="5"/>
  <c r="D640" i="5"/>
  <c r="E638" i="5"/>
  <c r="E639" i="5"/>
  <c r="E640" i="5"/>
  <c r="G638" i="5"/>
  <c r="G639" i="5"/>
  <c r="G640" i="5"/>
  <c r="H638" i="5"/>
  <c r="H639" i="5"/>
  <c r="H640" i="5"/>
  <c r="I638" i="5"/>
  <c r="M636" i="3" s="1"/>
  <c r="N636" i="3" s="1"/>
  <c r="I639" i="5"/>
  <c r="M637" i="3" s="1"/>
  <c r="N637" i="3" s="1"/>
  <c r="I640" i="5"/>
  <c r="M638" i="3" s="1"/>
  <c r="N638" i="3" s="1"/>
  <c r="F264" i="2"/>
  <c r="E636" i="3"/>
  <c r="F638" i="5" s="1"/>
  <c r="E637" i="3"/>
  <c r="F639" i="5" s="1"/>
  <c r="E638" i="3"/>
  <c r="F640" i="5" s="1"/>
  <c r="E639" i="3"/>
  <c r="F641" i="5" s="1"/>
  <c r="E640" i="3"/>
  <c r="F642" i="5" s="1"/>
  <c r="I636" i="3"/>
  <c r="J636" i="3" s="1"/>
  <c r="I637" i="3"/>
  <c r="J637" i="3" s="1"/>
  <c r="I638" i="3"/>
  <c r="J638" i="3" s="1"/>
  <c r="I639" i="3"/>
  <c r="J639" i="3" s="1"/>
  <c r="I640" i="3"/>
  <c r="M639" i="3"/>
  <c r="N639" i="3" s="1"/>
  <c r="K639" i="3" s="1"/>
  <c r="M640" i="3"/>
  <c r="N640" i="3" s="1"/>
  <c r="E635" i="3"/>
  <c r="I635" i="3"/>
  <c r="J635" i="3" s="1"/>
  <c r="K636" i="3" l="1"/>
  <c r="L636" i="3" s="1"/>
  <c r="L639" i="3"/>
  <c r="K637" i="3"/>
  <c r="L637" i="3" s="1"/>
  <c r="K638" i="3"/>
  <c r="L638" i="3" s="1"/>
  <c r="J640" i="3"/>
  <c r="K640" i="3" s="1"/>
  <c r="L640" i="3" s="1"/>
  <c r="D637" i="5" l="1"/>
  <c r="E637" i="5"/>
  <c r="F637" i="5"/>
  <c r="G637" i="5"/>
  <c r="H637" i="5"/>
  <c r="I637" i="5"/>
  <c r="M635" i="3" s="1"/>
  <c r="N635" i="3" s="1"/>
  <c r="D636" i="5"/>
  <c r="E636" i="5"/>
  <c r="G636" i="5"/>
  <c r="H636" i="5"/>
  <c r="I636" i="5"/>
  <c r="M634" i="3" s="1"/>
  <c r="N634" i="3" s="1"/>
  <c r="K634" i="3" s="1"/>
  <c r="D631" i="5"/>
  <c r="D632" i="5"/>
  <c r="D633" i="5"/>
  <c r="D634" i="5"/>
  <c r="D635" i="5"/>
  <c r="E631" i="5"/>
  <c r="E632" i="5"/>
  <c r="E633" i="5"/>
  <c r="E634" i="5"/>
  <c r="E635" i="5"/>
  <c r="G631" i="5"/>
  <c r="G632" i="5"/>
  <c r="G633" i="5"/>
  <c r="G634" i="5"/>
  <c r="G635" i="5"/>
  <c r="H631" i="5"/>
  <c r="H632" i="5"/>
  <c r="H633" i="5"/>
  <c r="H634" i="5"/>
  <c r="H635" i="5"/>
  <c r="I631" i="5"/>
  <c r="M629" i="3" s="1"/>
  <c r="N629" i="3" s="1"/>
  <c r="K629" i="3" s="1"/>
  <c r="I632" i="5"/>
  <c r="M630" i="3" s="1"/>
  <c r="N630" i="3" s="1"/>
  <c r="K630" i="3" s="1"/>
  <c r="I633" i="5"/>
  <c r="M631" i="3" s="1"/>
  <c r="N631" i="3" s="1"/>
  <c r="K631" i="3" s="1"/>
  <c r="I634" i="5"/>
  <c r="M632" i="3" s="1"/>
  <c r="N632" i="3" s="1"/>
  <c r="K632" i="3" s="1"/>
  <c r="I635" i="5"/>
  <c r="M633" i="3" s="1"/>
  <c r="N633" i="3" s="1"/>
  <c r="K633" i="3" s="1"/>
  <c r="F259" i="2"/>
  <c r="F260" i="2"/>
  <c r="F261" i="2"/>
  <c r="F262" i="2"/>
  <c r="F263" i="2"/>
  <c r="F258" i="2"/>
  <c r="E628" i="3"/>
  <c r="E629" i="3"/>
  <c r="F631" i="5" s="1"/>
  <c r="E630" i="3"/>
  <c r="F632" i="5" s="1"/>
  <c r="E631" i="3"/>
  <c r="F633" i="5" s="1"/>
  <c r="E632" i="3"/>
  <c r="F634" i="5" s="1"/>
  <c r="E633" i="3"/>
  <c r="F635" i="5" s="1"/>
  <c r="E634" i="3"/>
  <c r="F636" i="5" s="1"/>
  <c r="I628" i="3"/>
  <c r="J628" i="3" s="1"/>
  <c r="I629" i="3"/>
  <c r="J629" i="3" s="1"/>
  <c r="I630" i="3"/>
  <c r="J630" i="3" s="1"/>
  <c r="I631" i="3"/>
  <c r="J631" i="3" s="1"/>
  <c r="I632" i="3"/>
  <c r="J632" i="3" s="1"/>
  <c r="I633" i="3"/>
  <c r="J633" i="3" s="1"/>
  <c r="I634" i="3"/>
  <c r="J634" i="3" s="1"/>
  <c r="E627" i="3"/>
  <c r="F629" i="5" s="1"/>
  <c r="I627" i="3"/>
  <c r="M627" i="3"/>
  <c r="N627" i="3" s="1"/>
  <c r="K635" i="3" l="1"/>
  <c r="L635" i="3"/>
  <c r="J627" i="3"/>
  <c r="L629" i="3"/>
  <c r="L634" i="3"/>
  <c r="K627" i="3"/>
  <c r="L627" i="3" s="1"/>
  <c r="L633" i="3"/>
  <c r="L632" i="3"/>
  <c r="L631" i="3"/>
  <c r="L630" i="3"/>
  <c r="D630" i="5" l="1"/>
  <c r="E630" i="5"/>
  <c r="F630" i="5"/>
  <c r="G630" i="5"/>
  <c r="H630" i="5"/>
  <c r="I630" i="5"/>
  <c r="M628" i="3" s="1"/>
  <c r="N628" i="3" s="1"/>
  <c r="D606" i="5"/>
  <c r="E606" i="5"/>
  <c r="G606" i="5"/>
  <c r="H606" i="5"/>
  <c r="I606" i="5"/>
  <c r="D483" i="5"/>
  <c r="E483" i="5"/>
  <c r="G483" i="5"/>
  <c r="H483" i="5"/>
  <c r="D576" i="5"/>
  <c r="E576" i="5"/>
  <c r="G576" i="5"/>
  <c r="H576" i="5"/>
  <c r="I576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I615" i="5"/>
  <c r="M613" i="3" s="1"/>
  <c r="N613" i="3" s="1"/>
  <c r="I616" i="5"/>
  <c r="M614" i="3" s="1"/>
  <c r="N614" i="3" s="1"/>
  <c r="K614" i="3" s="1"/>
  <c r="I617" i="5"/>
  <c r="M615" i="3" s="1"/>
  <c r="N615" i="3" s="1"/>
  <c r="I618" i="5"/>
  <c r="M616" i="3" s="1"/>
  <c r="N616" i="3" s="1"/>
  <c r="I619" i="5"/>
  <c r="M617" i="3" s="1"/>
  <c r="N617" i="3" s="1"/>
  <c r="I620" i="5"/>
  <c r="M618" i="3" s="1"/>
  <c r="N618" i="3" s="1"/>
  <c r="I621" i="5"/>
  <c r="M619" i="3" s="1"/>
  <c r="N619" i="3" s="1"/>
  <c r="I622" i="5"/>
  <c r="M620" i="3" s="1"/>
  <c r="N620" i="3" s="1"/>
  <c r="K620" i="3" s="1"/>
  <c r="I623" i="5"/>
  <c r="M621" i="3" s="1"/>
  <c r="N621" i="3" s="1"/>
  <c r="I624" i="5"/>
  <c r="M622" i="3" s="1"/>
  <c r="N622" i="3" s="1"/>
  <c r="I625" i="5"/>
  <c r="M623" i="3" s="1"/>
  <c r="N623" i="3" s="1"/>
  <c r="I626" i="5"/>
  <c r="M624" i="3" s="1"/>
  <c r="N624" i="3" s="1"/>
  <c r="K624" i="3" s="1"/>
  <c r="I627" i="5"/>
  <c r="M625" i="3" s="1"/>
  <c r="N625" i="3" s="1"/>
  <c r="I628" i="5"/>
  <c r="M626" i="3" s="1"/>
  <c r="N626" i="3" s="1"/>
  <c r="F254" i="2"/>
  <c r="F255" i="2"/>
  <c r="F256" i="2"/>
  <c r="F257" i="2"/>
  <c r="F253" i="2"/>
  <c r="E614" i="3"/>
  <c r="F616" i="5" s="1"/>
  <c r="E615" i="3"/>
  <c r="F617" i="5" s="1"/>
  <c r="E616" i="3"/>
  <c r="F618" i="5" s="1"/>
  <c r="E617" i="3"/>
  <c r="F619" i="5" s="1"/>
  <c r="E618" i="3"/>
  <c r="F620" i="5" s="1"/>
  <c r="E619" i="3"/>
  <c r="F621" i="5" s="1"/>
  <c r="E620" i="3"/>
  <c r="F622" i="5" s="1"/>
  <c r="E621" i="3"/>
  <c r="F623" i="5" s="1"/>
  <c r="E622" i="3"/>
  <c r="F624" i="5" s="1"/>
  <c r="E623" i="3"/>
  <c r="F625" i="5" s="1"/>
  <c r="E624" i="3"/>
  <c r="F626" i="5" s="1"/>
  <c r="E625" i="3"/>
  <c r="F627" i="5" s="1"/>
  <c r="E626" i="3"/>
  <c r="F628" i="5" s="1"/>
  <c r="I614" i="3"/>
  <c r="J614" i="3" s="1"/>
  <c r="I615" i="3"/>
  <c r="I616" i="3"/>
  <c r="I617" i="3"/>
  <c r="J617" i="3" s="1"/>
  <c r="I618" i="3"/>
  <c r="J618" i="3" s="1"/>
  <c r="I619" i="3"/>
  <c r="I620" i="3"/>
  <c r="J620" i="3" s="1"/>
  <c r="I621" i="3"/>
  <c r="J621" i="3" s="1"/>
  <c r="I622" i="3"/>
  <c r="I623" i="3"/>
  <c r="I624" i="3"/>
  <c r="J624" i="3" s="1"/>
  <c r="I625" i="3"/>
  <c r="J625" i="3" s="1"/>
  <c r="I626" i="3"/>
  <c r="J626" i="3" s="1"/>
  <c r="E613" i="3"/>
  <c r="F615" i="5" s="1"/>
  <c r="I613" i="3"/>
  <c r="K628" i="3" l="1"/>
  <c r="L628" i="3"/>
  <c r="L620" i="3"/>
  <c r="L614" i="3"/>
  <c r="K618" i="3"/>
  <c r="L618" i="3" s="1"/>
  <c r="J619" i="3"/>
  <c r="J615" i="3"/>
  <c r="K615" i="3" s="1"/>
  <c r="L615" i="3" s="1"/>
  <c r="K626" i="3"/>
  <c r="L626" i="3" s="1"/>
  <c r="K621" i="3"/>
  <c r="L621" i="3" s="1"/>
  <c r="K619" i="3"/>
  <c r="L619" i="3" s="1"/>
  <c r="J622" i="3"/>
  <c r="K622" i="3" s="1"/>
  <c r="L622" i="3" s="1"/>
  <c r="J616" i="3"/>
  <c r="K616" i="3" s="1"/>
  <c r="L616" i="3" s="1"/>
  <c r="K617" i="3"/>
  <c r="L617" i="3" s="1"/>
  <c r="J623" i="3"/>
  <c r="K623" i="3" s="1"/>
  <c r="L623" i="3" s="1"/>
  <c r="K625" i="3"/>
  <c r="L625" i="3" s="1"/>
  <c r="J613" i="3"/>
  <c r="K613" i="3" s="1"/>
  <c r="L613" i="3" s="1"/>
  <c r="L624" i="3"/>
  <c r="D545" i="5" l="1"/>
  <c r="E545" i="5"/>
  <c r="G545" i="5"/>
  <c r="H545" i="5"/>
  <c r="I545" i="5"/>
  <c r="D550" i="5" l="1"/>
  <c r="E550" i="5"/>
  <c r="G550" i="5"/>
  <c r="H550" i="5"/>
  <c r="I550" i="5"/>
  <c r="D538" i="5"/>
  <c r="E538" i="5"/>
  <c r="G538" i="5"/>
  <c r="H538" i="5"/>
  <c r="I538" i="5"/>
  <c r="D534" i="5"/>
  <c r="E534" i="5"/>
  <c r="G534" i="5"/>
  <c r="H534" i="5"/>
  <c r="I534" i="5"/>
  <c r="D543" i="5"/>
  <c r="E543" i="5"/>
  <c r="G543" i="5"/>
  <c r="H543" i="5"/>
  <c r="I543" i="5"/>
  <c r="D517" i="5"/>
  <c r="E517" i="5"/>
  <c r="G517" i="5"/>
  <c r="H517" i="5"/>
  <c r="I517" i="5"/>
  <c r="D485" i="5"/>
  <c r="E485" i="5"/>
  <c r="G485" i="5"/>
  <c r="H485" i="5"/>
  <c r="D482" i="5"/>
  <c r="E482" i="5"/>
  <c r="G482" i="5"/>
  <c r="H482" i="5"/>
  <c r="D481" i="5" l="1"/>
  <c r="E481" i="5"/>
  <c r="G481" i="5"/>
  <c r="H481" i="5"/>
  <c r="D504" i="5"/>
  <c r="E504" i="5"/>
  <c r="G504" i="5"/>
  <c r="H504" i="5"/>
  <c r="I504" i="5"/>
  <c r="D515" i="5"/>
  <c r="E515" i="5"/>
  <c r="G515" i="5"/>
  <c r="H515" i="5"/>
  <c r="I515" i="5"/>
  <c r="D601" i="5"/>
  <c r="E601" i="5"/>
  <c r="G601" i="5"/>
  <c r="H601" i="5"/>
  <c r="I601" i="5"/>
  <c r="M599" i="3" s="1"/>
  <c r="N599" i="3" s="1"/>
  <c r="D614" i="5"/>
  <c r="E614" i="5"/>
  <c r="G614" i="5"/>
  <c r="H614" i="5"/>
  <c r="I614" i="5"/>
  <c r="M612" i="3" s="1"/>
  <c r="N612" i="3" s="1"/>
  <c r="K612" i="3" s="1"/>
  <c r="D608" i="5"/>
  <c r="D609" i="5"/>
  <c r="D610" i="5"/>
  <c r="E608" i="5"/>
  <c r="E609" i="5"/>
  <c r="E610" i="5"/>
  <c r="G608" i="5"/>
  <c r="G609" i="5"/>
  <c r="G610" i="5"/>
  <c r="H608" i="5"/>
  <c r="H609" i="5"/>
  <c r="H610" i="5"/>
  <c r="I608" i="5"/>
  <c r="M606" i="3" s="1"/>
  <c r="N606" i="3" s="1"/>
  <c r="K606" i="3" s="1"/>
  <c r="I609" i="5"/>
  <c r="M607" i="3" s="1"/>
  <c r="N607" i="3" s="1"/>
  <c r="K607" i="3" s="1"/>
  <c r="I610" i="5"/>
  <c r="M608" i="3" s="1"/>
  <c r="N608" i="3" s="1"/>
  <c r="D605" i="5"/>
  <c r="E605" i="5"/>
  <c r="G605" i="5"/>
  <c r="H605" i="5"/>
  <c r="I605" i="5"/>
  <c r="M603" i="3" s="1"/>
  <c r="N603" i="3" s="1"/>
  <c r="K603" i="3" s="1"/>
  <c r="D602" i="5"/>
  <c r="E602" i="5"/>
  <c r="G602" i="5"/>
  <c r="H602" i="5"/>
  <c r="I602" i="5"/>
  <c r="M600" i="3" s="1"/>
  <c r="N600" i="3" s="1"/>
  <c r="K600" i="3" s="1"/>
  <c r="F248" i="2"/>
  <c r="F249" i="2"/>
  <c r="F250" i="2"/>
  <c r="F251" i="2"/>
  <c r="F252" i="2"/>
  <c r="F247" i="2"/>
  <c r="E597" i="3"/>
  <c r="F599" i="5" s="1"/>
  <c r="E598" i="3"/>
  <c r="F600" i="5" s="1"/>
  <c r="E599" i="3"/>
  <c r="F601" i="5" s="1"/>
  <c r="E600" i="3"/>
  <c r="F602" i="5" s="1"/>
  <c r="E601" i="3"/>
  <c r="F603" i="5" s="1"/>
  <c r="E602" i="3"/>
  <c r="F604" i="5" s="1"/>
  <c r="E603" i="3"/>
  <c r="F605" i="5" s="1"/>
  <c r="E604" i="3"/>
  <c r="F606" i="5" s="1"/>
  <c r="E605" i="3"/>
  <c r="F607" i="5" s="1"/>
  <c r="E606" i="3"/>
  <c r="F608" i="5" s="1"/>
  <c r="E607" i="3"/>
  <c r="F609" i="5" s="1"/>
  <c r="E608" i="3"/>
  <c r="F610" i="5" s="1"/>
  <c r="E609" i="3"/>
  <c r="F611" i="5" s="1"/>
  <c r="E610" i="3"/>
  <c r="F612" i="5" s="1"/>
  <c r="E611" i="3"/>
  <c r="F613" i="5" s="1"/>
  <c r="E612" i="3"/>
  <c r="F614" i="5" s="1"/>
  <c r="I597" i="3"/>
  <c r="I598" i="3"/>
  <c r="I599" i="3"/>
  <c r="J599" i="3" s="1"/>
  <c r="I600" i="3"/>
  <c r="J600" i="3" s="1"/>
  <c r="I601" i="3"/>
  <c r="J601" i="3" s="1"/>
  <c r="I602" i="3"/>
  <c r="J602" i="3" s="1"/>
  <c r="I603" i="3"/>
  <c r="J603" i="3" s="1"/>
  <c r="I604" i="3"/>
  <c r="J604" i="3" s="1"/>
  <c r="I605" i="3"/>
  <c r="J605" i="3" s="1"/>
  <c r="I606" i="3"/>
  <c r="J606" i="3" s="1"/>
  <c r="I607" i="3"/>
  <c r="J607" i="3" s="1"/>
  <c r="I608" i="3"/>
  <c r="I609" i="3"/>
  <c r="J609" i="3" s="1"/>
  <c r="I610" i="3"/>
  <c r="I611" i="3"/>
  <c r="J611" i="3" s="1"/>
  <c r="I612" i="3"/>
  <c r="J612" i="3" s="1"/>
  <c r="M597" i="3"/>
  <c r="N597" i="3" s="1"/>
  <c r="M598" i="3"/>
  <c r="N598" i="3" s="1"/>
  <c r="M601" i="3"/>
  <c r="N601" i="3" s="1"/>
  <c r="M602" i="3"/>
  <c r="N602" i="3" s="1"/>
  <c r="M604" i="3"/>
  <c r="N604" i="3" s="1"/>
  <c r="M605" i="3"/>
  <c r="N605" i="3" s="1"/>
  <c r="M609" i="3"/>
  <c r="N609" i="3" s="1"/>
  <c r="M610" i="3"/>
  <c r="N610" i="3" s="1"/>
  <c r="M611" i="3"/>
  <c r="N611" i="3" s="1"/>
  <c r="E596" i="3"/>
  <c r="F598" i="5" s="1"/>
  <c r="I596" i="3"/>
  <c r="J596" i="3" s="1"/>
  <c r="D598" i="5"/>
  <c r="E598" i="5"/>
  <c r="G598" i="5"/>
  <c r="H598" i="5"/>
  <c r="I598" i="5"/>
  <c r="M596" i="3" s="1"/>
  <c r="N596" i="3" s="1"/>
  <c r="D596" i="5"/>
  <c r="D597" i="5"/>
  <c r="E596" i="5"/>
  <c r="E597" i="5"/>
  <c r="G596" i="5"/>
  <c r="G597" i="5"/>
  <c r="H596" i="5"/>
  <c r="H597" i="5"/>
  <c r="I596" i="5"/>
  <c r="M594" i="3" s="1"/>
  <c r="N594" i="3" s="1"/>
  <c r="K594" i="3" s="1"/>
  <c r="I597" i="5"/>
  <c r="M595" i="3" s="1"/>
  <c r="N595" i="3" s="1"/>
  <c r="K595" i="3" s="1"/>
  <c r="F246" i="2"/>
  <c r="E594" i="3"/>
  <c r="F596" i="5" s="1"/>
  <c r="E595" i="3"/>
  <c r="F597" i="5" s="1"/>
  <c r="I594" i="3"/>
  <c r="J594" i="3" s="1"/>
  <c r="I595" i="3"/>
  <c r="J595" i="3" s="1"/>
  <c r="E593" i="3"/>
  <c r="F595" i="5" s="1"/>
  <c r="I593" i="3"/>
  <c r="J593" i="3" s="1"/>
  <c r="D595" i="5"/>
  <c r="E595" i="5"/>
  <c r="G595" i="5"/>
  <c r="H595" i="5"/>
  <c r="I595" i="5"/>
  <c r="M593" i="3" s="1"/>
  <c r="N593" i="3" s="1"/>
  <c r="K593" i="3" s="1"/>
  <c r="D528" i="5"/>
  <c r="E528" i="5"/>
  <c r="G528" i="5"/>
  <c r="H528" i="5"/>
  <c r="I528" i="5"/>
  <c r="D527" i="5"/>
  <c r="E527" i="5"/>
  <c r="G527" i="5"/>
  <c r="H527" i="5"/>
  <c r="I527" i="5"/>
  <c r="L607" i="3" l="1"/>
  <c r="K605" i="3"/>
  <c r="L605" i="3" s="1"/>
  <c r="K604" i="3"/>
  <c r="L604" i="3" s="1"/>
  <c r="K602" i="3"/>
  <c r="L602" i="3" s="1"/>
  <c r="K601" i="3"/>
  <c r="L601" i="3" s="1"/>
  <c r="K599" i="3"/>
  <c r="L599" i="3" s="1"/>
  <c r="K596" i="3"/>
  <c r="L596" i="3" s="1"/>
  <c r="L606" i="3"/>
  <c r="J610" i="3"/>
  <c r="K610" i="3" s="1"/>
  <c r="L610" i="3" s="1"/>
  <c r="J608" i="3"/>
  <c r="K608" i="3" s="1"/>
  <c r="L608" i="3" s="1"/>
  <c r="K611" i="3"/>
  <c r="L611" i="3" s="1"/>
  <c r="L603" i="3"/>
  <c r="K609" i="3"/>
  <c r="L609" i="3" s="1"/>
  <c r="L612" i="3"/>
  <c r="L600" i="3"/>
  <c r="J598" i="3"/>
  <c r="K598" i="3" s="1"/>
  <c r="L598" i="3" s="1"/>
  <c r="J597" i="3"/>
  <c r="K597" i="3" s="1"/>
  <c r="L597" i="3" s="1"/>
  <c r="L595" i="3"/>
  <c r="L594" i="3"/>
  <c r="L593" i="3"/>
  <c r="D588" i="5"/>
  <c r="D589" i="5"/>
  <c r="D590" i="5"/>
  <c r="D591" i="5"/>
  <c r="D592" i="5"/>
  <c r="D593" i="5"/>
  <c r="D594" i="5"/>
  <c r="E588" i="5"/>
  <c r="E589" i="5"/>
  <c r="E590" i="5"/>
  <c r="E591" i="5"/>
  <c r="E592" i="5"/>
  <c r="E593" i="5"/>
  <c r="E594" i="5"/>
  <c r="G588" i="5"/>
  <c r="G589" i="5"/>
  <c r="G590" i="5"/>
  <c r="G591" i="5"/>
  <c r="G592" i="5"/>
  <c r="G593" i="5"/>
  <c r="G594" i="5"/>
  <c r="H588" i="5"/>
  <c r="H589" i="5"/>
  <c r="H590" i="5"/>
  <c r="H591" i="5"/>
  <c r="H592" i="5"/>
  <c r="H593" i="5"/>
  <c r="H594" i="5"/>
  <c r="I588" i="5"/>
  <c r="M586" i="3" s="1"/>
  <c r="N586" i="3" s="1"/>
  <c r="I589" i="5"/>
  <c r="M587" i="3" s="1"/>
  <c r="N587" i="3" s="1"/>
  <c r="I590" i="5"/>
  <c r="M588" i="3" s="1"/>
  <c r="N588" i="3" s="1"/>
  <c r="I591" i="5"/>
  <c r="M589" i="3" s="1"/>
  <c r="N589" i="3" s="1"/>
  <c r="I592" i="5"/>
  <c r="M590" i="3" s="1"/>
  <c r="N590" i="3" s="1"/>
  <c r="I593" i="5"/>
  <c r="M591" i="3" s="1"/>
  <c r="N591" i="3" s="1"/>
  <c r="K591" i="3" s="1"/>
  <c r="I594" i="5"/>
  <c r="M592" i="3" s="1"/>
  <c r="N592" i="3" s="1"/>
  <c r="F242" i="2"/>
  <c r="F243" i="2"/>
  <c r="F244" i="2"/>
  <c r="F245" i="2"/>
  <c r="E581" i="3"/>
  <c r="F583" i="5" s="1"/>
  <c r="E582" i="3"/>
  <c r="F584" i="5" s="1"/>
  <c r="E583" i="3"/>
  <c r="F585" i="5" s="1"/>
  <c r="E584" i="3"/>
  <c r="F586" i="5" s="1"/>
  <c r="E585" i="3"/>
  <c r="F587" i="5" s="1"/>
  <c r="E586" i="3"/>
  <c r="F588" i="5" s="1"/>
  <c r="E587" i="3"/>
  <c r="F589" i="5" s="1"/>
  <c r="E588" i="3"/>
  <c r="F590" i="5" s="1"/>
  <c r="E589" i="3"/>
  <c r="F591" i="5" s="1"/>
  <c r="E590" i="3"/>
  <c r="F592" i="5" s="1"/>
  <c r="E591" i="3"/>
  <c r="F593" i="5" s="1"/>
  <c r="E592" i="3"/>
  <c r="F594" i="5" s="1"/>
  <c r="I582" i="3"/>
  <c r="I583" i="3"/>
  <c r="J583" i="3" s="1"/>
  <c r="I584" i="3"/>
  <c r="J584" i="3" s="1"/>
  <c r="I585" i="3"/>
  <c r="I586" i="3"/>
  <c r="I587" i="3"/>
  <c r="I588" i="3"/>
  <c r="I589" i="3"/>
  <c r="I590" i="3"/>
  <c r="I591" i="3"/>
  <c r="J591" i="3" s="1"/>
  <c r="I592" i="3"/>
  <c r="M582" i="3"/>
  <c r="N582" i="3" s="1"/>
  <c r="M583" i="3"/>
  <c r="N583" i="3" s="1"/>
  <c r="M584" i="3"/>
  <c r="N584" i="3" s="1"/>
  <c r="I581" i="3"/>
  <c r="J581" i="3" s="1"/>
  <c r="M581" i="3"/>
  <c r="N581" i="3" s="1"/>
  <c r="D587" i="5"/>
  <c r="E587" i="5"/>
  <c r="G587" i="5"/>
  <c r="H587" i="5"/>
  <c r="I587" i="5"/>
  <c r="M585" i="3" s="1"/>
  <c r="N585" i="3" s="1"/>
  <c r="D579" i="5"/>
  <c r="E579" i="5"/>
  <c r="G579" i="5"/>
  <c r="H579" i="5"/>
  <c r="I579" i="5"/>
  <c r="M577" i="3" s="1"/>
  <c r="N577" i="3" s="1"/>
  <c r="D525" i="5"/>
  <c r="E525" i="5"/>
  <c r="G525" i="5"/>
  <c r="H525" i="5"/>
  <c r="I525" i="5"/>
  <c r="D520" i="5"/>
  <c r="E520" i="5"/>
  <c r="G520" i="5"/>
  <c r="H520" i="5"/>
  <c r="I520" i="5"/>
  <c r="D518" i="5"/>
  <c r="E518" i="5"/>
  <c r="G518" i="5"/>
  <c r="H518" i="5"/>
  <c r="I518" i="5"/>
  <c r="E580" i="3"/>
  <c r="F582" i="5" s="1"/>
  <c r="I580" i="3"/>
  <c r="J580" i="3" s="1"/>
  <c r="M580" i="3"/>
  <c r="N580" i="3" s="1"/>
  <c r="D486" i="5"/>
  <c r="E486" i="5"/>
  <c r="G486" i="5"/>
  <c r="H486" i="5"/>
  <c r="I486" i="5"/>
  <c r="D581" i="5"/>
  <c r="E581" i="5"/>
  <c r="G581" i="5"/>
  <c r="H581" i="5"/>
  <c r="I581" i="5"/>
  <c r="M579" i="3" s="1"/>
  <c r="N579" i="3" s="1"/>
  <c r="D580" i="5"/>
  <c r="E580" i="5"/>
  <c r="G580" i="5"/>
  <c r="H580" i="5"/>
  <c r="I580" i="5"/>
  <c r="M578" i="3" s="1"/>
  <c r="N578" i="3" s="1"/>
  <c r="D577" i="5"/>
  <c r="D578" i="5"/>
  <c r="E577" i="5"/>
  <c r="E578" i="5"/>
  <c r="G577" i="5"/>
  <c r="G578" i="5"/>
  <c r="H577" i="5"/>
  <c r="H578" i="5"/>
  <c r="I577" i="5"/>
  <c r="M575" i="3" s="1"/>
  <c r="N575" i="3" s="1"/>
  <c r="K575" i="3" s="1"/>
  <c r="I578" i="5"/>
  <c r="M576" i="3" s="1"/>
  <c r="N576" i="3" s="1"/>
  <c r="K576" i="3" s="1"/>
  <c r="D573" i="5"/>
  <c r="D574" i="5"/>
  <c r="D575" i="5"/>
  <c r="E573" i="5"/>
  <c r="E574" i="5"/>
  <c r="E575" i="5"/>
  <c r="G573" i="5"/>
  <c r="G574" i="5"/>
  <c r="G575" i="5"/>
  <c r="H573" i="5"/>
  <c r="H574" i="5"/>
  <c r="H575" i="5"/>
  <c r="I573" i="5"/>
  <c r="M571" i="3" s="1"/>
  <c r="N571" i="3" s="1"/>
  <c r="K571" i="3" s="1"/>
  <c r="I574" i="5"/>
  <c r="M572" i="3" s="1"/>
  <c r="N572" i="3" s="1"/>
  <c r="I575" i="5"/>
  <c r="M573" i="3" s="1"/>
  <c r="N573" i="3" s="1"/>
  <c r="K573" i="3" s="1"/>
  <c r="F238" i="2"/>
  <c r="F239" i="2"/>
  <c r="F240" i="2"/>
  <c r="F241" i="2"/>
  <c r="E571" i="3"/>
  <c r="F573" i="5" s="1"/>
  <c r="E572" i="3"/>
  <c r="F574" i="5" s="1"/>
  <c r="E573" i="3"/>
  <c r="F575" i="5" s="1"/>
  <c r="E574" i="3"/>
  <c r="F576" i="5" s="1"/>
  <c r="E575" i="3"/>
  <c r="F577" i="5" s="1"/>
  <c r="E576" i="3"/>
  <c r="F578" i="5" s="1"/>
  <c r="E577" i="3"/>
  <c r="F579" i="5" s="1"/>
  <c r="E578" i="3"/>
  <c r="F580" i="5" s="1"/>
  <c r="E579" i="3"/>
  <c r="F581" i="5" s="1"/>
  <c r="I571" i="3"/>
  <c r="J571" i="3" s="1"/>
  <c r="I572" i="3"/>
  <c r="J572" i="3" s="1"/>
  <c r="I573" i="3"/>
  <c r="J573" i="3" s="1"/>
  <c r="I574" i="3"/>
  <c r="J574" i="3" s="1"/>
  <c r="I575" i="3"/>
  <c r="J575" i="3" s="1"/>
  <c r="I576" i="3"/>
  <c r="J576" i="3" s="1"/>
  <c r="I577" i="3"/>
  <c r="J577" i="3" s="1"/>
  <c r="I578" i="3"/>
  <c r="J578" i="3" s="1"/>
  <c r="I579" i="3"/>
  <c r="J579" i="3" s="1"/>
  <c r="M574" i="3"/>
  <c r="N574" i="3" s="1"/>
  <c r="K584" i="3" l="1"/>
  <c r="L584" i="3" s="1"/>
  <c r="K581" i="3"/>
  <c r="L581" i="3" s="1"/>
  <c r="K587" i="3"/>
  <c r="L587" i="3" s="1"/>
  <c r="K586" i="3"/>
  <c r="L586" i="3" s="1"/>
  <c r="K585" i="3"/>
  <c r="L585" i="3" s="1"/>
  <c r="J589" i="3"/>
  <c r="J588" i="3"/>
  <c r="K583" i="3"/>
  <c r="L583" i="3" s="1"/>
  <c r="J587" i="3"/>
  <c r="J586" i="3"/>
  <c r="J585" i="3"/>
  <c r="K592" i="3"/>
  <c r="K590" i="3"/>
  <c r="L590" i="3" s="1"/>
  <c r="L592" i="3"/>
  <c r="K589" i="3"/>
  <c r="L589" i="3" s="1"/>
  <c r="L591" i="3"/>
  <c r="K588" i="3"/>
  <c r="L588" i="3" s="1"/>
  <c r="J582" i="3"/>
  <c r="K582" i="3" s="1"/>
  <c r="L582" i="3" s="1"/>
  <c r="J592" i="3"/>
  <c r="J590" i="3"/>
  <c r="K574" i="3"/>
  <c r="L574" i="3" s="1"/>
  <c r="K580" i="3"/>
  <c r="L580" i="3" s="1"/>
  <c r="K572" i="3"/>
  <c r="K577" i="3"/>
  <c r="L577" i="3" s="1"/>
  <c r="K579" i="3"/>
  <c r="L579" i="3" s="1"/>
  <c r="L576" i="3"/>
  <c r="K578" i="3"/>
  <c r="L578" i="3" s="1"/>
  <c r="L575" i="3"/>
  <c r="L573" i="3"/>
  <c r="L572" i="3"/>
  <c r="L571" i="3"/>
  <c r="E570" i="3" l="1"/>
  <c r="F572" i="5" s="1"/>
  <c r="I570" i="3"/>
  <c r="J570" i="3" s="1"/>
  <c r="D572" i="5"/>
  <c r="E572" i="5"/>
  <c r="G572" i="5"/>
  <c r="H572" i="5"/>
  <c r="I572" i="5"/>
  <c r="M570" i="3" s="1"/>
  <c r="N570" i="3" s="1"/>
  <c r="K570" i="3" s="1"/>
  <c r="D432" i="5"/>
  <c r="E432" i="5"/>
  <c r="G432" i="5"/>
  <c r="H432" i="5"/>
  <c r="I432" i="5"/>
  <c r="L570" i="3" l="1"/>
  <c r="D497" i="5"/>
  <c r="E497" i="5"/>
  <c r="G497" i="5"/>
  <c r="H497" i="5"/>
  <c r="I497" i="5"/>
  <c r="D562" i="5"/>
  <c r="E562" i="5"/>
  <c r="G562" i="5"/>
  <c r="H562" i="5"/>
  <c r="I562" i="5"/>
  <c r="M560" i="3" s="1"/>
  <c r="N560" i="3" s="1"/>
  <c r="K560" i="3" s="1"/>
  <c r="D563" i="5"/>
  <c r="D564" i="5"/>
  <c r="D565" i="5"/>
  <c r="D566" i="5"/>
  <c r="D567" i="5"/>
  <c r="D568" i="5"/>
  <c r="D569" i="5"/>
  <c r="D570" i="5"/>
  <c r="D571" i="5"/>
  <c r="E563" i="5"/>
  <c r="E564" i="5"/>
  <c r="E565" i="5"/>
  <c r="E566" i="5"/>
  <c r="E567" i="5"/>
  <c r="E568" i="5"/>
  <c r="E569" i="5"/>
  <c r="E570" i="5"/>
  <c r="E571" i="5"/>
  <c r="G563" i="5"/>
  <c r="G564" i="5"/>
  <c r="G565" i="5"/>
  <c r="G566" i="5"/>
  <c r="G567" i="5"/>
  <c r="G568" i="5"/>
  <c r="G569" i="5"/>
  <c r="G570" i="5"/>
  <c r="G571" i="5"/>
  <c r="H563" i="5"/>
  <c r="H564" i="5"/>
  <c r="H565" i="5"/>
  <c r="H566" i="5"/>
  <c r="H567" i="5"/>
  <c r="H568" i="5"/>
  <c r="H569" i="5"/>
  <c r="H570" i="5"/>
  <c r="H571" i="5"/>
  <c r="I563" i="5"/>
  <c r="M561" i="3" s="1"/>
  <c r="N561" i="3" s="1"/>
  <c r="I564" i="5"/>
  <c r="M562" i="3" s="1"/>
  <c r="N562" i="3" s="1"/>
  <c r="I565" i="5"/>
  <c r="M563" i="3" s="1"/>
  <c r="N563" i="3" s="1"/>
  <c r="K563" i="3" s="1"/>
  <c r="I566" i="5"/>
  <c r="M564" i="3" s="1"/>
  <c r="N564" i="3" s="1"/>
  <c r="I567" i="5"/>
  <c r="M565" i="3" s="1"/>
  <c r="N565" i="3" s="1"/>
  <c r="K565" i="3" s="1"/>
  <c r="I568" i="5"/>
  <c r="M566" i="3" s="1"/>
  <c r="N566" i="3" s="1"/>
  <c r="K566" i="3" s="1"/>
  <c r="I569" i="5"/>
  <c r="M567" i="3" s="1"/>
  <c r="N567" i="3" s="1"/>
  <c r="K567" i="3" s="1"/>
  <c r="I570" i="5"/>
  <c r="M568" i="3" s="1"/>
  <c r="N568" i="3" s="1"/>
  <c r="K568" i="3" s="1"/>
  <c r="I571" i="5"/>
  <c r="M569" i="3" s="1"/>
  <c r="N569" i="3" s="1"/>
  <c r="K569" i="3" s="1"/>
  <c r="D560" i="5"/>
  <c r="D561" i="5"/>
  <c r="E560" i="5"/>
  <c r="E561" i="5"/>
  <c r="G560" i="5"/>
  <c r="G561" i="5"/>
  <c r="H560" i="5"/>
  <c r="H561" i="5"/>
  <c r="I560" i="5"/>
  <c r="M558" i="3" s="1"/>
  <c r="N558" i="3" s="1"/>
  <c r="I561" i="5"/>
  <c r="M559" i="3" s="1"/>
  <c r="N559" i="3" s="1"/>
  <c r="K559" i="3" s="1"/>
  <c r="D554" i="5"/>
  <c r="E554" i="5"/>
  <c r="G554" i="5"/>
  <c r="H554" i="5"/>
  <c r="I554" i="5"/>
  <c r="M552" i="3" s="1"/>
  <c r="N552" i="3" s="1"/>
  <c r="F231" i="2"/>
  <c r="F232" i="2"/>
  <c r="F233" i="2"/>
  <c r="F234" i="2"/>
  <c r="F235" i="2"/>
  <c r="F236" i="2"/>
  <c r="F237" i="2"/>
  <c r="F230" i="2"/>
  <c r="E552" i="3"/>
  <c r="F554" i="5" s="1"/>
  <c r="E553" i="3"/>
  <c r="F555" i="5" s="1"/>
  <c r="E554" i="3"/>
  <c r="F556" i="5" s="1"/>
  <c r="E555" i="3"/>
  <c r="F557" i="5" s="1"/>
  <c r="E556" i="3"/>
  <c r="F558" i="5" s="1"/>
  <c r="E557" i="3"/>
  <c r="F559" i="5" s="1"/>
  <c r="E558" i="3"/>
  <c r="F560" i="5" s="1"/>
  <c r="E559" i="3"/>
  <c r="F561" i="5" s="1"/>
  <c r="E560" i="3"/>
  <c r="F562" i="5" s="1"/>
  <c r="E561" i="3"/>
  <c r="F563" i="5" s="1"/>
  <c r="E562" i="3"/>
  <c r="F564" i="5" s="1"/>
  <c r="E563" i="3"/>
  <c r="F565" i="5" s="1"/>
  <c r="E564" i="3"/>
  <c r="F566" i="5" s="1"/>
  <c r="E565" i="3"/>
  <c r="F567" i="5" s="1"/>
  <c r="E566" i="3"/>
  <c r="F568" i="5" s="1"/>
  <c r="E567" i="3"/>
  <c r="F569" i="5" s="1"/>
  <c r="E568" i="3"/>
  <c r="F570" i="5" s="1"/>
  <c r="E569" i="3"/>
  <c r="F571" i="5" s="1"/>
  <c r="I552" i="3"/>
  <c r="J552" i="3" s="1"/>
  <c r="I553" i="3"/>
  <c r="J553" i="3" s="1"/>
  <c r="I554" i="3"/>
  <c r="J554" i="3" s="1"/>
  <c r="I555" i="3"/>
  <c r="J555" i="3" s="1"/>
  <c r="I556" i="3"/>
  <c r="J556" i="3" s="1"/>
  <c r="I557" i="3"/>
  <c r="J557" i="3" s="1"/>
  <c r="I558" i="3"/>
  <c r="J558" i="3" s="1"/>
  <c r="I559" i="3"/>
  <c r="J559" i="3" s="1"/>
  <c r="I560" i="3"/>
  <c r="J560" i="3" s="1"/>
  <c r="I561" i="3"/>
  <c r="J561" i="3" s="1"/>
  <c r="I562" i="3"/>
  <c r="J562" i="3" s="1"/>
  <c r="I563" i="3"/>
  <c r="J563" i="3" s="1"/>
  <c r="I564" i="3"/>
  <c r="J564" i="3" s="1"/>
  <c r="I565" i="3"/>
  <c r="J565" i="3" s="1"/>
  <c r="I566" i="3"/>
  <c r="J566" i="3" s="1"/>
  <c r="I567" i="3"/>
  <c r="J567" i="3" s="1"/>
  <c r="I568" i="3"/>
  <c r="J568" i="3" s="1"/>
  <c r="I569" i="3"/>
  <c r="J569" i="3" s="1"/>
  <c r="M553" i="3"/>
  <c r="N553" i="3" s="1"/>
  <c r="M554" i="3"/>
  <c r="N554" i="3" s="1"/>
  <c r="M555" i="3"/>
  <c r="N555" i="3" s="1"/>
  <c r="M556" i="3"/>
  <c r="N556" i="3" s="1"/>
  <c r="M557" i="3"/>
  <c r="N557" i="3" s="1"/>
  <c r="E551" i="3"/>
  <c r="I551" i="3"/>
  <c r="J551" i="3" s="1"/>
  <c r="K557" i="3" l="1"/>
  <c r="L557" i="3" s="1"/>
  <c r="K556" i="3"/>
  <c r="L556" i="3" s="1"/>
  <c r="K555" i="3"/>
  <c r="L555" i="3" s="1"/>
  <c r="K554" i="3"/>
  <c r="L554" i="3" s="1"/>
  <c r="K553" i="3"/>
  <c r="L553" i="3" s="1"/>
  <c r="K558" i="3"/>
  <c r="K552" i="3"/>
  <c r="K564" i="3"/>
  <c r="K562" i="3"/>
  <c r="L562" i="3" s="1"/>
  <c r="K561" i="3"/>
  <c r="L560" i="3"/>
  <c r="L559" i="3"/>
  <c r="L558" i="3"/>
  <c r="L552" i="3"/>
  <c r="L561" i="3"/>
  <c r="L566" i="3"/>
  <c r="L565" i="3"/>
  <c r="L564" i="3"/>
  <c r="L563" i="3"/>
  <c r="L569" i="3"/>
  <c r="L568" i="3"/>
  <c r="L567" i="3"/>
  <c r="D553" i="5"/>
  <c r="E553" i="5"/>
  <c r="F553" i="5"/>
  <c r="G553" i="5"/>
  <c r="H553" i="5"/>
  <c r="I553" i="5"/>
  <c r="M551" i="3" s="1"/>
  <c r="N551" i="3" s="1"/>
  <c r="K551" i="3" s="1"/>
  <c r="D496" i="5"/>
  <c r="E496" i="5"/>
  <c r="G496" i="5"/>
  <c r="H496" i="5"/>
  <c r="I496" i="5"/>
  <c r="L551" i="3" l="1"/>
  <c r="D489" i="5"/>
  <c r="E489" i="5"/>
  <c r="G489" i="5"/>
  <c r="H489" i="5"/>
  <c r="I489" i="5"/>
  <c r="D444" i="5"/>
  <c r="E444" i="5"/>
  <c r="G444" i="5"/>
  <c r="H444" i="5"/>
  <c r="I444" i="5"/>
  <c r="D443" i="5"/>
  <c r="E443" i="5"/>
  <c r="G443" i="5"/>
  <c r="H443" i="5"/>
  <c r="I443" i="5"/>
  <c r="D491" i="5"/>
  <c r="E491" i="5"/>
  <c r="G491" i="5"/>
  <c r="H491" i="5"/>
  <c r="I491" i="5"/>
  <c r="D490" i="5"/>
  <c r="E490" i="5"/>
  <c r="G490" i="5"/>
  <c r="H490" i="5"/>
  <c r="I490" i="5"/>
  <c r="D551" i="5"/>
  <c r="D552" i="5"/>
  <c r="E551" i="5"/>
  <c r="E552" i="5"/>
  <c r="G551" i="5"/>
  <c r="G552" i="5"/>
  <c r="H551" i="5"/>
  <c r="H552" i="5"/>
  <c r="I551" i="5"/>
  <c r="M549" i="3" s="1"/>
  <c r="N549" i="3" s="1"/>
  <c r="I552" i="5"/>
  <c r="M550" i="3" s="1"/>
  <c r="N550" i="3" s="1"/>
  <c r="K550" i="3" s="1"/>
  <c r="D546" i="5"/>
  <c r="D547" i="5"/>
  <c r="D548" i="5"/>
  <c r="E546" i="5"/>
  <c r="E547" i="5"/>
  <c r="E548" i="5"/>
  <c r="G546" i="5"/>
  <c r="G547" i="5"/>
  <c r="G548" i="5"/>
  <c r="H546" i="5"/>
  <c r="H547" i="5"/>
  <c r="H548" i="5"/>
  <c r="I546" i="5"/>
  <c r="M544" i="3" s="1"/>
  <c r="N544" i="3" s="1"/>
  <c r="I547" i="5"/>
  <c r="M545" i="3" s="1"/>
  <c r="N545" i="3" s="1"/>
  <c r="K545" i="3" s="1"/>
  <c r="I548" i="5"/>
  <c r="M546" i="3" s="1"/>
  <c r="N546" i="3" s="1"/>
  <c r="F226" i="2"/>
  <c r="F227" i="2"/>
  <c r="F228" i="2"/>
  <c r="F229" i="2"/>
  <c r="E542" i="3"/>
  <c r="E543" i="3"/>
  <c r="F545" i="5" s="1"/>
  <c r="E544" i="3"/>
  <c r="F546" i="5" s="1"/>
  <c r="E545" i="3"/>
  <c r="F547" i="5" s="1"/>
  <c r="E546" i="3"/>
  <c r="F548" i="5" s="1"/>
  <c r="E547" i="3"/>
  <c r="F549" i="5" s="1"/>
  <c r="E548" i="3"/>
  <c r="F550" i="5" s="1"/>
  <c r="E549" i="3"/>
  <c r="F551" i="5" s="1"/>
  <c r="E550" i="3"/>
  <c r="F552" i="5" s="1"/>
  <c r="I542" i="3"/>
  <c r="J542" i="3" s="1"/>
  <c r="I543" i="3"/>
  <c r="J543" i="3" s="1"/>
  <c r="I544" i="3"/>
  <c r="I545" i="3"/>
  <c r="J545" i="3" s="1"/>
  <c r="I546" i="3"/>
  <c r="J546" i="3" s="1"/>
  <c r="I547" i="3"/>
  <c r="J547" i="3" s="1"/>
  <c r="I548" i="3"/>
  <c r="J548" i="3" s="1"/>
  <c r="I549" i="3"/>
  <c r="J549" i="3" s="1"/>
  <c r="I550" i="3"/>
  <c r="J550" i="3" s="1"/>
  <c r="M543" i="3"/>
  <c r="N543" i="3" s="1"/>
  <c r="M547" i="3"/>
  <c r="N547" i="3" s="1"/>
  <c r="M548" i="3"/>
  <c r="N548" i="3" s="1"/>
  <c r="E541" i="3"/>
  <c r="F543" i="5" s="1"/>
  <c r="I541" i="3"/>
  <c r="J541" i="3" s="1"/>
  <c r="M541" i="3"/>
  <c r="N541" i="3" s="1"/>
  <c r="K543" i="3" l="1"/>
  <c r="L543" i="3" s="1"/>
  <c r="K541" i="3"/>
  <c r="L541" i="3" s="1"/>
  <c r="L550" i="3"/>
  <c r="K549" i="3"/>
  <c r="L549" i="3" s="1"/>
  <c r="K548" i="3"/>
  <c r="L548" i="3" s="1"/>
  <c r="L545" i="3"/>
  <c r="K547" i="3"/>
  <c r="L547" i="3" s="1"/>
  <c r="K546" i="3"/>
  <c r="L546" i="3" s="1"/>
  <c r="J544" i="3"/>
  <c r="K544" i="3" s="1"/>
  <c r="L544" i="3" s="1"/>
  <c r="D544" i="5" l="1"/>
  <c r="E544" i="5"/>
  <c r="F544" i="5"/>
  <c r="G544" i="5"/>
  <c r="H544" i="5"/>
  <c r="I544" i="5"/>
  <c r="M542" i="3" s="1"/>
  <c r="N542" i="3" s="1"/>
  <c r="K542" i="3" l="1"/>
  <c r="L542" i="3"/>
  <c r="D537" i="5"/>
  <c r="E537" i="5"/>
  <c r="G537" i="5"/>
  <c r="H537" i="5"/>
  <c r="I537" i="5"/>
  <c r="M535" i="3" s="1"/>
  <c r="N535" i="3" s="1"/>
  <c r="D535" i="5"/>
  <c r="E535" i="5"/>
  <c r="G535" i="5"/>
  <c r="H535" i="5"/>
  <c r="I535" i="5"/>
  <c r="M533" i="3" s="1"/>
  <c r="N533" i="3" s="1"/>
  <c r="D539" i="5"/>
  <c r="D540" i="5"/>
  <c r="D541" i="5"/>
  <c r="D542" i="5"/>
  <c r="E539" i="5"/>
  <c r="E540" i="5"/>
  <c r="E541" i="5"/>
  <c r="E542" i="5"/>
  <c r="G539" i="5"/>
  <c r="G540" i="5"/>
  <c r="G541" i="5"/>
  <c r="G542" i="5"/>
  <c r="H539" i="5"/>
  <c r="H540" i="5"/>
  <c r="H541" i="5"/>
  <c r="H542" i="5"/>
  <c r="I539" i="5"/>
  <c r="M537" i="3" s="1"/>
  <c r="N537" i="3" s="1"/>
  <c r="K537" i="3" s="1"/>
  <c r="I540" i="5"/>
  <c r="M538" i="3" s="1"/>
  <c r="N538" i="3" s="1"/>
  <c r="I541" i="5"/>
  <c r="M539" i="3" s="1"/>
  <c r="N539" i="3" s="1"/>
  <c r="I542" i="5"/>
  <c r="M540" i="3" s="1"/>
  <c r="N540" i="3" s="1"/>
  <c r="D536" i="5"/>
  <c r="E536" i="5"/>
  <c r="G536" i="5"/>
  <c r="H536" i="5"/>
  <c r="I536" i="5"/>
  <c r="M534" i="3" s="1"/>
  <c r="N534" i="3" s="1"/>
  <c r="D529" i="5"/>
  <c r="D530" i="5"/>
  <c r="D531" i="5"/>
  <c r="D532" i="5"/>
  <c r="D533" i="5"/>
  <c r="E529" i="5"/>
  <c r="E530" i="5"/>
  <c r="E531" i="5"/>
  <c r="E532" i="5"/>
  <c r="E533" i="5"/>
  <c r="G529" i="5"/>
  <c r="G530" i="5"/>
  <c r="G531" i="5"/>
  <c r="G532" i="5"/>
  <c r="G533" i="5"/>
  <c r="H529" i="5"/>
  <c r="H530" i="5"/>
  <c r="H531" i="5"/>
  <c r="H532" i="5"/>
  <c r="H533" i="5"/>
  <c r="I529" i="5"/>
  <c r="M527" i="3" s="1"/>
  <c r="N527" i="3" s="1"/>
  <c r="I530" i="5"/>
  <c r="M528" i="3" s="1"/>
  <c r="N528" i="3" s="1"/>
  <c r="I531" i="5"/>
  <c r="M529" i="3" s="1"/>
  <c r="N529" i="3" s="1"/>
  <c r="I532" i="5"/>
  <c r="M530" i="3" s="1"/>
  <c r="N530" i="3" s="1"/>
  <c r="K530" i="3" s="1"/>
  <c r="I533" i="5"/>
  <c r="M531" i="3" s="1"/>
  <c r="N531" i="3" s="1"/>
  <c r="K531" i="3" s="1"/>
  <c r="D526" i="5"/>
  <c r="E526" i="5"/>
  <c r="G526" i="5"/>
  <c r="H526" i="5"/>
  <c r="I526" i="5"/>
  <c r="M524" i="3" s="1"/>
  <c r="N524" i="3" s="1"/>
  <c r="D523" i="5"/>
  <c r="D524" i="5"/>
  <c r="E523" i="5"/>
  <c r="E524" i="5"/>
  <c r="G523" i="5"/>
  <c r="G524" i="5"/>
  <c r="H523" i="5"/>
  <c r="H524" i="5"/>
  <c r="I523" i="5"/>
  <c r="M521" i="3" s="1"/>
  <c r="N521" i="3" s="1"/>
  <c r="I524" i="5"/>
  <c r="M522" i="3" s="1"/>
  <c r="N522" i="3" s="1"/>
  <c r="F219" i="2"/>
  <c r="F220" i="2"/>
  <c r="F221" i="2"/>
  <c r="F222" i="2"/>
  <c r="F223" i="2"/>
  <c r="F224" i="2"/>
  <c r="F225" i="2"/>
  <c r="E539" i="3"/>
  <c r="F541" i="5" s="1"/>
  <c r="E540" i="3"/>
  <c r="F542" i="5" s="1"/>
  <c r="I539" i="3"/>
  <c r="J539" i="3" s="1"/>
  <c r="I540" i="3"/>
  <c r="J540" i="3" s="1"/>
  <c r="E538" i="3"/>
  <c r="F540" i="5" s="1"/>
  <c r="I538" i="3"/>
  <c r="J538" i="3" s="1"/>
  <c r="E521" i="3"/>
  <c r="F523" i="5" s="1"/>
  <c r="E522" i="3"/>
  <c r="F524" i="5" s="1"/>
  <c r="E523" i="3"/>
  <c r="F525" i="5" s="1"/>
  <c r="E524" i="3"/>
  <c r="F526" i="5" s="1"/>
  <c r="E525" i="3"/>
  <c r="F527" i="5" s="1"/>
  <c r="E526" i="3"/>
  <c r="F528" i="5" s="1"/>
  <c r="E527" i="3"/>
  <c r="F529" i="5" s="1"/>
  <c r="E528" i="3"/>
  <c r="F530" i="5" s="1"/>
  <c r="E529" i="3"/>
  <c r="F531" i="5" s="1"/>
  <c r="E530" i="3"/>
  <c r="F532" i="5" s="1"/>
  <c r="E531" i="3"/>
  <c r="F533" i="5" s="1"/>
  <c r="E532" i="3"/>
  <c r="F534" i="5" s="1"/>
  <c r="E533" i="3"/>
  <c r="F535" i="5" s="1"/>
  <c r="E534" i="3"/>
  <c r="F536" i="5" s="1"/>
  <c r="E535" i="3"/>
  <c r="F537" i="5" s="1"/>
  <c r="E536" i="3"/>
  <c r="F538" i="5" s="1"/>
  <c r="E537" i="3"/>
  <c r="F539" i="5" s="1"/>
  <c r="I521" i="3"/>
  <c r="J521" i="3" s="1"/>
  <c r="I522" i="3"/>
  <c r="I523" i="3"/>
  <c r="J523" i="3" s="1"/>
  <c r="I524" i="3"/>
  <c r="J524" i="3" s="1"/>
  <c r="I525" i="3"/>
  <c r="J525" i="3" s="1"/>
  <c r="I526" i="3"/>
  <c r="J526" i="3" s="1"/>
  <c r="I527" i="3"/>
  <c r="J527" i="3" s="1"/>
  <c r="I528" i="3"/>
  <c r="I529" i="3"/>
  <c r="I530" i="3"/>
  <c r="J530" i="3" s="1"/>
  <c r="I531" i="3"/>
  <c r="J531" i="3" s="1"/>
  <c r="I532" i="3"/>
  <c r="J532" i="3" s="1"/>
  <c r="I533" i="3"/>
  <c r="I534" i="3"/>
  <c r="J534" i="3" s="1"/>
  <c r="I535" i="3"/>
  <c r="J535" i="3" s="1"/>
  <c r="I536" i="3"/>
  <c r="J536" i="3" s="1"/>
  <c r="I537" i="3"/>
  <c r="J537" i="3" s="1"/>
  <c r="M523" i="3"/>
  <c r="N523" i="3" s="1"/>
  <c r="M525" i="3"/>
  <c r="N525" i="3" s="1"/>
  <c r="M526" i="3"/>
  <c r="N526" i="3" s="1"/>
  <c r="M532" i="3"/>
  <c r="N532" i="3" s="1"/>
  <c r="M536" i="3"/>
  <c r="N536" i="3" s="1"/>
  <c r="E520" i="3"/>
  <c r="F522" i="5" s="1"/>
  <c r="I520" i="3"/>
  <c r="D522" i="5"/>
  <c r="E522" i="5"/>
  <c r="G522" i="5"/>
  <c r="H522" i="5"/>
  <c r="I522" i="5"/>
  <c r="M520" i="3" s="1"/>
  <c r="N520" i="3" s="1"/>
  <c r="D521" i="5"/>
  <c r="E521" i="5"/>
  <c r="G521" i="5"/>
  <c r="H521" i="5"/>
  <c r="I521" i="5"/>
  <c r="M519" i="3" s="1"/>
  <c r="N519" i="3" s="1"/>
  <c r="D519" i="5"/>
  <c r="E519" i="5"/>
  <c r="G519" i="5"/>
  <c r="H519" i="5"/>
  <c r="I519" i="5"/>
  <c r="M517" i="3" s="1"/>
  <c r="N517" i="3" s="1"/>
  <c r="D516" i="5"/>
  <c r="E516" i="5"/>
  <c r="G516" i="5"/>
  <c r="H516" i="5"/>
  <c r="I516" i="5"/>
  <c r="M514" i="3" s="1"/>
  <c r="N514" i="3" s="1"/>
  <c r="D512" i="5"/>
  <c r="D513" i="5"/>
  <c r="D514" i="5"/>
  <c r="E512" i="5"/>
  <c r="E513" i="5"/>
  <c r="E514" i="5"/>
  <c r="G512" i="5"/>
  <c r="G513" i="5"/>
  <c r="G514" i="5"/>
  <c r="H512" i="5"/>
  <c r="H513" i="5"/>
  <c r="H514" i="5"/>
  <c r="I512" i="5"/>
  <c r="M510" i="3" s="1"/>
  <c r="N510" i="3" s="1"/>
  <c r="I513" i="5"/>
  <c r="M511" i="3" s="1"/>
  <c r="N511" i="3" s="1"/>
  <c r="I514" i="5"/>
  <c r="M512" i="3" s="1"/>
  <c r="N512" i="3" s="1"/>
  <c r="D511" i="5"/>
  <c r="E511" i="5"/>
  <c r="G511" i="5"/>
  <c r="H511" i="5"/>
  <c r="I511" i="5"/>
  <c r="M509" i="3" s="1"/>
  <c r="N509" i="3" s="1"/>
  <c r="F217" i="2"/>
  <c r="F218" i="2"/>
  <c r="F216" i="2"/>
  <c r="E510" i="3"/>
  <c r="F512" i="5" s="1"/>
  <c r="E511" i="3"/>
  <c r="F513" i="5" s="1"/>
  <c r="E512" i="3"/>
  <c r="F514" i="5" s="1"/>
  <c r="E513" i="3"/>
  <c r="F515" i="5" s="1"/>
  <c r="E514" i="3"/>
  <c r="F516" i="5" s="1"/>
  <c r="E515" i="3"/>
  <c r="F517" i="5" s="1"/>
  <c r="E516" i="3"/>
  <c r="F518" i="5" s="1"/>
  <c r="E517" i="3"/>
  <c r="F519" i="5" s="1"/>
  <c r="E518" i="3"/>
  <c r="F520" i="5" s="1"/>
  <c r="E519" i="3"/>
  <c r="F521" i="5" s="1"/>
  <c r="I510" i="3"/>
  <c r="J510" i="3" s="1"/>
  <c r="I511" i="3"/>
  <c r="I512" i="3"/>
  <c r="J512" i="3" s="1"/>
  <c r="I513" i="3"/>
  <c r="J513" i="3" s="1"/>
  <c r="I514" i="3"/>
  <c r="I515" i="3"/>
  <c r="I516" i="3"/>
  <c r="I517" i="3"/>
  <c r="I518" i="3"/>
  <c r="I519" i="3"/>
  <c r="M513" i="3"/>
  <c r="N513" i="3" s="1"/>
  <c r="M515" i="3"/>
  <c r="N515" i="3" s="1"/>
  <c r="M516" i="3"/>
  <c r="N516" i="3" s="1"/>
  <c r="M518" i="3"/>
  <c r="N518" i="3" s="1"/>
  <c r="E509" i="3"/>
  <c r="F511" i="5" s="1"/>
  <c r="I509" i="3"/>
  <c r="J509" i="3" s="1"/>
  <c r="K525" i="3" l="1"/>
  <c r="L525" i="3" s="1"/>
  <c r="K539" i="3"/>
  <c r="K536" i="3"/>
  <c r="K534" i="3"/>
  <c r="K540" i="3"/>
  <c r="L540" i="3" s="1"/>
  <c r="K526" i="3"/>
  <c r="L526" i="3" s="1"/>
  <c r="K538" i="3"/>
  <c r="L538" i="3" s="1"/>
  <c r="K527" i="3"/>
  <c r="L527" i="3" s="1"/>
  <c r="K524" i="3"/>
  <c r="L524" i="3" s="1"/>
  <c r="K535" i="3"/>
  <c r="L535" i="3" s="1"/>
  <c r="K523" i="3"/>
  <c r="L523" i="3" s="1"/>
  <c r="K521" i="3"/>
  <c r="L521" i="3" s="1"/>
  <c r="K532" i="3"/>
  <c r="L532" i="3" s="1"/>
  <c r="J528" i="3"/>
  <c r="K528" i="3" s="1"/>
  <c r="L528" i="3" s="1"/>
  <c r="J529" i="3"/>
  <c r="K529" i="3" s="1"/>
  <c r="L529" i="3" s="1"/>
  <c r="J533" i="3"/>
  <c r="K533" i="3" s="1"/>
  <c r="L533" i="3" s="1"/>
  <c r="J522" i="3"/>
  <c r="K522" i="3" s="1"/>
  <c r="L522" i="3" s="1"/>
  <c r="L539" i="3"/>
  <c r="L537" i="3"/>
  <c r="L531" i="3"/>
  <c r="L530" i="3"/>
  <c r="L536" i="3"/>
  <c r="L534" i="3"/>
  <c r="J520" i="3"/>
  <c r="K520" i="3" s="1"/>
  <c r="L520" i="3" s="1"/>
  <c r="K512" i="3"/>
  <c r="L512" i="3" s="1"/>
  <c r="K509" i="3"/>
  <c r="L509" i="3" s="1"/>
  <c r="J514" i="3"/>
  <c r="K514" i="3" s="1"/>
  <c r="L514" i="3" s="1"/>
  <c r="J519" i="3"/>
  <c r="K519" i="3" s="1"/>
  <c r="L519" i="3" s="1"/>
  <c r="K513" i="3"/>
  <c r="L513" i="3" s="1"/>
  <c r="K510" i="3"/>
  <c r="L510" i="3" s="1"/>
  <c r="J517" i="3"/>
  <c r="K517" i="3" s="1"/>
  <c r="L517" i="3" s="1"/>
  <c r="J516" i="3"/>
  <c r="K516" i="3" s="1"/>
  <c r="L516" i="3" s="1"/>
  <c r="J518" i="3"/>
  <c r="K518" i="3" s="1"/>
  <c r="L518" i="3" s="1"/>
  <c r="J515" i="3"/>
  <c r="K515" i="3" s="1"/>
  <c r="L515" i="3" s="1"/>
  <c r="J511" i="3"/>
  <c r="K511" i="3" s="1"/>
  <c r="L511" i="3" s="1"/>
  <c r="D471" i="5" l="1"/>
  <c r="E471" i="5"/>
  <c r="G471" i="5"/>
  <c r="H471" i="5"/>
  <c r="I471" i="5"/>
  <c r="D503" i="5"/>
  <c r="E503" i="5"/>
  <c r="G503" i="5"/>
  <c r="H503" i="5"/>
  <c r="I503" i="5"/>
  <c r="D501" i="5"/>
  <c r="E501" i="5"/>
  <c r="G501" i="5"/>
  <c r="H501" i="5"/>
  <c r="I501" i="5"/>
  <c r="D506" i="5"/>
  <c r="E506" i="5"/>
  <c r="G506" i="5"/>
  <c r="H506" i="5"/>
  <c r="I506" i="5"/>
  <c r="D418" i="5"/>
  <c r="E418" i="5"/>
  <c r="G418" i="5"/>
  <c r="H418" i="5"/>
  <c r="I418" i="5"/>
  <c r="D479" i="5" l="1"/>
  <c r="E479" i="5"/>
  <c r="G479" i="5"/>
  <c r="H479" i="5"/>
  <c r="I479" i="5"/>
  <c r="D478" i="5" l="1"/>
  <c r="E478" i="5"/>
  <c r="G478" i="5"/>
  <c r="H478" i="5"/>
  <c r="I478" i="5"/>
  <c r="D447" i="5"/>
  <c r="E447" i="5"/>
  <c r="G447" i="5"/>
  <c r="H447" i="5"/>
  <c r="I447" i="5"/>
  <c r="D449" i="5"/>
  <c r="E449" i="5"/>
  <c r="G449" i="5"/>
  <c r="H449" i="5"/>
  <c r="I449" i="5"/>
  <c r="D408" i="5"/>
  <c r="D409" i="5"/>
  <c r="E408" i="5"/>
  <c r="E409" i="5"/>
  <c r="G408" i="5"/>
  <c r="G409" i="5"/>
  <c r="H408" i="5"/>
  <c r="H409" i="5"/>
  <c r="I408" i="5"/>
  <c r="I409" i="5"/>
  <c r="D407" i="5"/>
  <c r="E407" i="5"/>
  <c r="G407" i="5"/>
  <c r="H407" i="5"/>
  <c r="I407" i="5"/>
  <c r="D508" i="5"/>
  <c r="D509" i="5"/>
  <c r="D510" i="5"/>
  <c r="E508" i="5"/>
  <c r="E509" i="5"/>
  <c r="E510" i="5"/>
  <c r="G508" i="5"/>
  <c r="G509" i="5"/>
  <c r="G510" i="5"/>
  <c r="H508" i="5"/>
  <c r="H509" i="5"/>
  <c r="H510" i="5"/>
  <c r="I508" i="5"/>
  <c r="M506" i="3" s="1"/>
  <c r="N506" i="3" s="1"/>
  <c r="K506" i="3" s="1"/>
  <c r="I509" i="5"/>
  <c r="M507" i="3" s="1"/>
  <c r="N507" i="3" s="1"/>
  <c r="I510" i="5"/>
  <c r="M508" i="3" s="1"/>
  <c r="N508" i="3" s="1"/>
  <c r="K508" i="3" s="1"/>
  <c r="E508" i="3"/>
  <c r="F510" i="5" s="1"/>
  <c r="I508" i="3"/>
  <c r="J508" i="3" s="1"/>
  <c r="E507" i="3"/>
  <c r="F509" i="5" s="1"/>
  <c r="I507" i="3"/>
  <c r="J507" i="3" s="1"/>
  <c r="E506" i="3"/>
  <c r="F508" i="5" s="1"/>
  <c r="I506" i="3"/>
  <c r="J506" i="3" s="1"/>
  <c r="E505" i="3"/>
  <c r="I505" i="3"/>
  <c r="J505" i="3" s="1"/>
  <c r="L508" i="3" l="1"/>
  <c r="K507" i="3"/>
  <c r="L507" i="3" s="1"/>
  <c r="L506" i="3"/>
  <c r="D507" i="5" l="1"/>
  <c r="E507" i="5"/>
  <c r="F507" i="5"/>
  <c r="G507" i="5"/>
  <c r="H507" i="5"/>
  <c r="I507" i="5"/>
  <c r="M505" i="3" s="1"/>
  <c r="N505" i="3" s="1"/>
  <c r="D500" i="5"/>
  <c r="E500" i="5"/>
  <c r="G500" i="5"/>
  <c r="H500" i="5"/>
  <c r="I500" i="5"/>
  <c r="M498" i="3" s="1"/>
  <c r="N498" i="3" s="1"/>
  <c r="D505" i="5"/>
  <c r="E505" i="5"/>
  <c r="G505" i="5"/>
  <c r="H505" i="5"/>
  <c r="I505" i="5"/>
  <c r="M503" i="3" s="1"/>
  <c r="N503" i="3" s="1"/>
  <c r="K503" i="3" s="1"/>
  <c r="D502" i="5"/>
  <c r="E502" i="5"/>
  <c r="G502" i="5"/>
  <c r="H502" i="5"/>
  <c r="I502" i="5"/>
  <c r="M500" i="3" s="1"/>
  <c r="N500" i="3" s="1"/>
  <c r="K500" i="3" s="1"/>
  <c r="D498" i="5"/>
  <c r="D499" i="5"/>
  <c r="E498" i="5"/>
  <c r="E499" i="5"/>
  <c r="G498" i="5"/>
  <c r="G499" i="5"/>
  <c r="H498" i="5"/>
  <c r="H499" i="5"/>
  <c r="I498" i="5"/>
  <c r="M496" i="3" s="1"/>
  <c r="N496" i="3" s="1"/>
  <c r="K496" i="3" s="1"/>
  <c r="I499" i="5"/>
  <c r="M497" i="3" s="1"/>
  <c r="N497" i="3" s="1"/>
  <c r="K497" i="3" s="1"/>
  <c r="D493" i="5"/>
  <c r="D494" i="5"/>
  <c r="D495" i="5"/>
  <c r="E493" i="5"/>
  <c r="E494" i="5"/>
  <c r="E495" i="5"/>
  <c r="G493" i="5"/>
  <c r="G494" i="5"/>
  <c r="G495" i="5"/>
  <c r="H493" i="5"/>
  <c r="H494" i="5"/>
  <c r="H495" i="5"/>
  <c r="I493" i="5"/>
  <c r="M491" i="3" s="1"/>
  <c r="N491" i="3" s="1"/>
  <c r="K491" i="3" s="1"/>
  <c r="I494" i="5"/>
  <c r="M492" i="3" s="1"/>
  <c r="N492" i="3" s="1"/>
  <c r="I495" i="5"/>
  <c r="M493" i="3" s="1"/>
  <c r="N493" i="3" s="1"/>
  <c r="K493" i="3" s="1"/>
  <c r="F215" i="2"/>
  <c r="F213" i="2"/>
  <c r="F214" i="2"/>
  <c r="F212" i="2"/>
  <c r="E488" i="3"/>
  <c r="F490" i="5" s="1"/>
  <c r="E489" i="3"/>
  <c r="F491" i="5" s="1"/>
  <c r="E490" i="3"/>
  <c r="E491" i="3"/>
  <c r="F493" i="5" s="1"/>
  <c r="E492" i="3"/>
  <c r="F494" i="5" s="1"/>
  <c r="E493" i="3"/>
  <c r="F495" i="5" s="1"/>
  <c r="E494" i="3"/>
  <c r="F496" i="5" s="1"/>
  <c r="E495" i="3"/>
  <c r="F497" i="5" s="1"/>
  <c r="E496" i="3"/>
  <c r="F498" i="5" s="1"/>
  <c r="E497" i="3"/>
  <c r="F499" i="5" s="1"/>
  <c r="E498" i="3"/>
  <c r="F500" i="5" s="1"/>
  <c r="E499" i="3"/>
  <c r="F501" i="5" s="1"/>
  <c r="E500" i="3"/>
  <c r="F502" i="5" s="1"/>
  <c r="E501" i="3"/>
  <c r="F503" i="5" s="1"/>
  <c r="E502" i="3"/>
  <c r="F504" i="5" s="1"/>
  <c r="E503" i="3"/>
  <c r="F505" i="5" s="1"/>
  <c r="E504" i="3"/>
  <c r="F506" i="5" s="1"/>
  <c r="I488" i="3"/>
  <c r="J488" i="3" s="1"/>
  <c r="I489" i="3"/>
  <c r="I490" i="3"/>
  <c r="I491" i="3"/>
  <c r="J491" i="3" s="1"/>
  <c r="I492" i="3"/>
  <c r="I493" i="3"/>
  <c r="J493" i="3" s="1"/>
  <c r="I494" i="3"/>
  <c r="I495" i="3"/>
  <c r="J495" i="3" s="1"/>
  <c r="I496" i="3"/>
  <c r="J496" i="3" s="1"/>
  <c r="I497" i="3"/>
  <c r="J497" i="3" s="1"/>
  <c r="I498" i="3"/>
  <c r="J498" i="3" s="1"/>
  <c r="I499" i="3"/>
  <c r="J499" i="3" s="1"/>
  <c r="I500" i="3"/>
  <c r="J500" i="3" s="1"/>
  <c r="I501" i="3"/>
  <c r="J501" i="3" s="1"/>
  <c r="I502" i="3"/>
  <c r="J502" i="3" s="1"/>
  <c r="I503" i="3"/>
  <c r="J503" i="3" s="1"/>
  <c r="I504" i="3"/>
  <c r="M488" i="3"/>
  <c r="N488" i="3" s="1"/>
  <c r="M489" i="3"/>
  <c r="N489" i="3" s="1"/>
  <c r="M494" i="3"/>
  <c r="N494" i="3" s="1"/>
  <c r="M495" i="3"/>
  <c r="N495" i="3" s="1"/>
  <c r="M499" i="3"/>
  <c r="N499" i="3" s="1"/>
  <c r="M501" i="3"/>
  <c r="N501" i="3" s="1"/>
  <c r="M502" i="3"/>
  <c r="N502" i="3" s="1"/>
  <c r="M504" i="3"/>
  <c r="N504" i="3" s="1"/>
  <c r="E487" i="3"/>
  <c r="F489" i="5" s="1"/>
  <c r="I487" i="3"/>
  <c r="J487" i="3" s="1"/>
  <c r="M487" i="3"/>
  <c r="N487" i="3" s="1"/>
  <c r="K495" i="3" l="1"/>
  <c r="L495" i="3" s="1"/>
  <c r="K487" i="3"/>
  <c r="L487" i="3" s="1"/>
  <c r="K505" i="3"/>
  <c r="L505" i="3"/>
  <c r="K499" i="3"/>
  <c r="L499" i="3" s="1"/>
  <c r="K488" i="3"/>
  <c r="L488" i="3" s="1"/>
  <c r="K498" i="3"/>
  <c r="L498" i="3" s="1"/>
  <c r="L500" i="3"/>
  <c r="L497" i="3"/>
  <c r="L496" i="3"/>
  <c r="J490" i="3"/>
  <c r="J489" i="3"/>
  <c r="K489" i="3" s="1"/>
  <c r="L489" i="3" s="1"/>
  <c r="L493" i="3"/>
  <c r="K502" i="3"/>
  <c r="L502" i="3" s="1"/>
  <c r="K501" i="3"/>
  <c r="L501" i="3" s="1"/>
  <c r="L503" i="3"/>
  <c r="L491" i="3"/>
  <c r="J494" i="3"/>
  <c r="K494" i="3" s="1"/>
  <c r="L494" i="3" s="1"/>
  <c r="J504" i="3"/>
  <c r="K504" i="3" s="1"/>
  <c r="L504" i="3" s="1"/>
  <c r="J492" i="3"/>
  <c r="K492" i="3" s="1"/>
  <c r="L492" i="3" s="1"/>
  <c r="D492" i="5" l="1"/>
  <c r="E492" i="5"/>
  <c r="F492" i="5"/>
  <c r="G492" i="5"/>
  <c r="H492" i="5"/>
  <c r="I492" i="5"/>
  <c r="M490" i="3" s="1"/>
  <c r="N490" i="3" s="1"/>
  <c r="K490" i="3" s="1"/>
  <c r="L490" i="3" s="1"/>
  <c r="D477" i="5" l="1"/>
  <c r="E477" i="5"/>
  <c r="G477" i="5"/>
  <c r="H477" i="5"/>
  <c r="I477" i="5"/>
  <c r="D476" i="5"/>
  <c r="E476" i="5"/>
  <c r="G476" i="5"/>
  <c r="H476" i="5"/>
  <c r="I476" i="5"/>
  <c r="D468" i="5"/>
  <c r="E468" i="5"/>
  <c r="G468" i="5"/>
  <c r="H468" i="5"/>
  <c r="I468" i="5"/>
  <c r="D469" i="5"/>
  <c r="E469" i="5"/>
  <c r="G469" i="5"/>
  <c r="H469" i="5"/>
  <c r="I469" i="5"/>
  <c r="D452" i="5" l="1"/>
  <c r="E452" i="5"/>
  <c r="G452" i="5"/>
  <c r="H452" i="5"/>
  <c r="I452" i="5"/>
  <c r="D424" i="5"/>
  <c r="E424" i="5"/>
  <c r="G424" i="5"/>
  <c r="H424" i="5"/>
  <c r="I424" i="5"/>
  <c r="D423" i="5"/>
  <c r="E423" i="5"/>
  <c r="G423" i="5"/>
  <c r="H423" i="5"/>
  <c r="I423" i="5"/>
  <c r="F211" i="2"/>
  <c r="D488" i="5" l="1"/>
  <c r="E488" i="5"/>
  <c r="G488" i="5"/>
  <c r="H488" i="5"/>
  <c r="I488" i="5"/>
  <c r="M486" i="3" s="1"/>
  <c r="N486" i="3" s="1"/>
  <c r="D487" i="5"/>
  <c r="E487" i="5"/>
  <c r="G487" i="5"/>
  <c r="H487" i="5"/>
  <c r="I487" i="5"/>
  <c r="M485" i="3" s="1"/>
  <c r="N485" i="3" s="1"/>
  <c r="E486" i="3"/>
  <c r="F488" i="5" s="1"/>
  <c r="I486" i="3"/>
  <c r="D484" i="5"/>
  <c r="E484" i="5"/>
  <c r="G484" i="5"/>
  <c r="H484" i="5"/>
  <c r="I484" i="5"/>
  <c r="F210" i="2"/>
  <c r="F209" i="2"/>
  <c r="E483" i="3"/>
  <c r="F485" i="5" s="1"/>
  <c r="E484" i="3"/>
  <c r="F486" i="5" s="1"/>
  <c r="E485" i="3"/>
  <c r="F487" i="5" s="1"/>
  <c r="I483" i="3"/>
  <c r="J483" i="3" s="1"/>
  <c r="I484" i="3"/>
  <c r="J484" i="3" s="1"/>
  <c r="I485" i="3"/>
  <c r="J485" i="3" s="1"/>
  <c r="M483" i="3"/>
  <c r="N483" i="3" s="1"/>
  <c r="M484" i="3"/>
  <c r="N484" i="3" s="1"/>
  <c r="D436" i="5"/>
  <c r="E436" i="5"/>
  <c r="G436" i="5"/>
  <c r="H436" i="5"/>
  <c r="I436" i="5"/>
  <c r="K484" i="3" l="1"/>
  <c r="L484" i="3" s="1"/>
  <c r="K483" i="3"/>
  <c r="L483" i="3" s="1"/>
  <c r="J486" i="3"/>
  <c r="K486" i="3" s="1"/>
  <c r="L486" i="3" s="1"/>
  <c r="K485" i="3"/>
  <c r="L485" i="3"/>
  <c r="D433" i="5" l="1"/>
  <c r="E433" i="5"/>
  <c r="G433" i="5"/>
  <c r="H433" i="5"/>
  <c r="I433" i="5"/>
  <c r="D434" i="5"/>
  <c r="E434" i="5"/>
  <c r="G434" i="5"/>
  <c r="H434" i="5"/>
  <c r="I434" i="5"/>
  <c r="E419" i="3"/>
  <c r="E482" i="3"/>
  <c r="F484" i="5" s="1"/>
  <c r="I482" i="3"/>
  <c r="M482" i="3"/>
  <c r="N482" i="3" s="1"/>
  <c r="J482" i="3" l="1"/>
  <c r="K482" i="3" s="1"/>
  <c r="L482" i="3" s="1"/>
  <c r="E481" i="3"/>
  <c r="F483" i="5" s="1"/>
  <c r="I481" i="3"/>
  <c r="J481" i="3" s="1"/>
  <c r="M481" i="3"/>
  <c r="N481" i="3" s="1"/>
  <c r="F208" i="2"/>
  <c r="E480" i="3"/>
  <c r="F480" i="5" s="1"/>
  <c r="I480" i="3"/>
  <c r="J480" i="3" s="1"/>
  <c r="E479" i="3"/>
  <c r="F479" i="5" s="1"/>
  <c r="I479" i="3"/>
  <c r="J479" i="3" s="1"/>
  <c r="M479" i="3"/>
  <c r="N479" i="3" s="1"/>
  <c r="E478" i="3"/>
  <c r="F478" i="5" s="1"/>
  <c r="I478" i="3"/>
  <c r="J478" i="3" s="1"/>
  <c r="M478" i="3"/>
  <c r="N478" i="3" s="1"/>
  <c r="E477" i="3"/>
  <c r="F477" i="5" s="1"/>
  <c r="I477" i="3"/>
  <c r="J477" i="3" s="1"/>
  <c r="M477" i="3"/>
  <c r="N477" i="3" s="1"/>
  <c r="K477" i="3" s="1"/>
  <c r="E476" i="3"/>
  <c r="F476" i="5" s="1"/>
  <c r="I476" i="3"/>
  <c r="J476" i="3" s="1"/>
  <c r="M476" i="3"/>
  <c r="N476" i="3" s="1"/>
  <c r="D480" i="5"/>
  <c r="E480" i="5"/>
  <c r="G480" i="5"/>
  <c r="H480" i="5"/>
  <c r="I480" i="5"/>
  <c r="M480" i="3" s="1"/>
  <c r="N480" i="3" s="1"/>
  <c r="K480" i="3" s="1"/>
  <c r="E475" i="3"/>
  <c r="F475" i="5" s="1"/>
  <c r="I475" i="3"/>
  <c r="J475" i="3" s="1"/>
  <c r="D475" i="5"/>
  <c r="E475" i="5"/>
  <c r="G475" i="5"/>
  <c r="H475" i="5"/>
  <c r="I475" i="5"/>
  <c r="M475" i="3" s="1"/>
  <c r="N475" i="3" s="1"/>
  <c r="K475" i="3" s="1"/>
  <c r="F207" i="2"/>
  <c r="E474" i="3"/>
  <c r="F474" i="5" s="1"/>
  <c r="I474" i="3"/>
  <c r="J474" i="3" s="1"/>
  <c r="D474" i="5"/>
  <c r="E474" i="5"/>
  <c r="G474" i="5"/>
  <c r="H474" i="5"/>
  <c r="I474" i="5"/>
  <c r="D406" i="5"/>
  <c r="E406" i="5"/>
  <c r="G406" i="5"/>
  <c r="H406" i="5"/>
  <c r="I406" i="5"/>
  <c r="D411" i="5"/>
  <c r="E411" i="5"/>
  <c r="G411" i="5"/>
  <c r="H411" i="5"/>
  <c r="I411" i="5"/>
  <c r="D427" i="5"/>
  <c r="E427" i="5"/>
  <c r="G427" i="5"/>
  <c r="H427" i="5"/>
  <c r="I427" i="5"/>
  <c r="F482" i="5" l="1"/>
  <c r="F481" i="5"/>
  <c r="K479" i="3"/>
  <c r="L479" i="3" s="1"/>
  <c r="K478" i="3"/>
  <c r="L478" i="3" s="1"/>
  <c r="K476" i="3"/>
  <c r="L476" i="3" s="1"/>
  <c r="K481" i="3"/>
  <c r="L481" i="3" s="1"/>
  <c r="L480" i="3"/>
  <c r="L477" i="3"/>
  <c r="L475" i="3"/>
  <c r="D196" i="5" l="1"/>
  <c r="E196" i="5"/>
  <c r="G196" i="5"/>
  <c r="H196" i="5"/>
  <c r="I196" i="5"/>
  <c r="D195" i="5"/>
  <c r="E195" i="5"/>
  <c r="G195" i="5"/>
  <c r="H195" i="5"/>
  <c r="I195" i="5"/>
  <c r="D194" i="5"/>
  <c r="E194" i="5"/>
  <c r="G194" i="5"/>
  <c r="H194" i="5"/>
  <c r="I194" i="5"/>
  <c r="D473" i="5" l="1"/>
  <c r="E473" i="5"/>
  <c r="G473" i="5"/>
  <c r="H473" i="5"/>
  <c r="I473" i="5"/>
  <c r="M473" i="3" s="1"/>
  <c r="N473" i="3" s="1"/>
  <c r="D410" i="5"/>
  <c r="E410" i="5"/>
  <c r="G410" i="5"/>
  <c r="H410" i="5"/>
  <c r="I410" i="5"/>
  <c r="E473" i="3"/>
  <c r="F473" i="5" s="1"/>
  <c r="I473" i="3"/>
  <c r="J473" i="3" s="1"/>
  <c r="D417" i="5"/>
  <c r="E417" i="5"/>
  <c r="G417" i="5"/>
  <c r="H417" i="5"/>
  <c r="I417" i="5"/>
  <c r="F206" i="2"/>
  <c r="E472" i="3"/>
  <c r="F472" i="5" s="1"/>
  <c r="I472" i="3"/>
  <c r="J472" i="3" s="1"/>
  <c r="D472" i="5"/>
  <c r="E472" i="5"/>
  <c r="G472" i="5"/>
  <c r="H472" i="5"/>
  <c r="I472" i="5"/>
  <c r="M472" i="3" s="1"/>
  <c r="N472" i="3" s="1"/>
  <c r="D467" i="5"/>
  <c r="E467" i="5"/>
  <c r="G467" i="5"/>
  <c r="H467" i="5"/>
  <c r="I467" i="5"/>
  <c r="D466" i="5"/>
  <c r="E466" i="5"/>
  <c r="G466" i="5"/>
  <c r="H466" i="5"/>
  <c r="I466" i="5"/>
  <c r="E471" i="3"/>
  <c r="F471" i="5" s="1"/>
  <c r="I471" i="3"/>
  <c r="J471" i="3" s="1"/>
  <c r="M471" i="3"/>
  <c r="N471" i="3" s="1"/>
  <c r="K471" i="3" s="1"/>
  <c r="E470" i="3"/>
  <c r="I470" i="3"/>
  <c r="J470" i="3" s="1"/>
  <c r="K473" i="3" l="1"/>
  <c r="L473" i="3" s="1"/>
  <c r="K472" i="3"/>
  <c r="L472" i="3"/>
  <c r="L471" i="3"/>
  <c r="E469" i="3" l="1"/>
  <c r="F469" i="5" s="1"/>
  <c r="I469" i="3"/>
  <c r="J469" i="3" s="1"/>
  <c r="M469" i="3"/>
  <c r="N469" i="3" s="1"/>
  <c r="K469" i="3" s="1"/>
  <c r="E468" i="3"/>
  <c r="F468" i="5" s="1"/>
  <c r="I468" i="3"/>
  <c r="J468" i="3" s="1"/>
  <c r="M468" i="3"/>
  <c r="N468" i="3" s="1"/>
  <c r="D470" i="5"/>
  <c r="E470" i="5"/>
  <c r="F470" i="5"/>
  <c r="G470" i="5"/>
  <c r="H470" i="5"/>
  <c r="I470" i="5"/>
  <c r="M470" i="3" s="1"/>
  <c r="N470" i="3" s="1"/>
  <c r="K470" i="3" s="1"/>
  <c r="L470" i="3" s="1"/>
  <c r="D454" i="5"/>
  <c r="D455" i="5"/>
  <c r="D456" i="5"/>
  <c r="D457" i="5"/>
  <c r="D458" i="5"/>
  <c r="D459" i="5"/>
  <c r="D460" i="5"/>
  <c r="D461" i="5"/>
  <c r="D462" i="5"/>
  <c r="D463" i="5"/>
  <c r="D464" i="5"/>
  <c r="D465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I454" i="5"/>
  <c r="M454" i="3" s="1"/>
  <c r="N454" i="3" s="1"/>
  <c r="I455" i="5"/>
  <c r="M455" i="3" s="1"/>
  <c r="N455" i="3" s="1"/>
  <c r="I456" i="5"/>
  <c r="M456" i="3" s="1"/>
  <c r="N456" i="3" s="1"/>
  <c r="K456" i="3" s="1"/>
  <c r="I457" i="5"/>
  <c r="M457" i="3" s="1"/>
  <c r="N457" i="3" s="1"/>
  <c r="I458" i="5"/>
  <c r="M458" i="3" s="1"/>
  <c r="N458" i="3" s="1"/>
  <c r="K458" i="3" s="1"/>
  <c r="I459" i="5"/>
  <c r="M459" i="3" s="1"/>
  <c r="N459" i="3" s="1"/>
  <c r="K459" i="3" s="1"/>
  <c r="I460" i="5"/>
  <c r="M460" i="3" s="1"/>
  <c r="N460" i="3" s="1"/>
  <c r="K460" i="3" s="1"/>
  <c r="I461" i="5"/>
  <c r="M461" i="3" s="1"/>
  <c r="N461" i="3" s="1"/>
  <c r="K461" i="3" s="1"/>
  <c r="I462" i="5"/>
  <c r="M462" i="3" s="1"/>
  <c r="N462" i="3" s="1"/>
  <c r="K462" i="3" s="1"/>
  <c r="I463" i="5"/>
  <c r="M463" i="3" s="1"/>
  <c r="N463" i="3" s="1"/>
  <c r="K463" i="3" s="1"/>
  <c r="I464" i="5"/>
  <c r="M464" i="3" s="1"/>
  <c r="N464" i="3" s="1"/>
  <c r="K464" i="3" s="1"/>
  <c r="I465" i="5"/>
  <c r="M465" i="3" s="1"/>
  <c r="N465" i="3" s="1"/>
  <c r="F200" i="2"/>
  <c r="F201" i="2"/>
  <c r="F202" i="2"/>
  <c r="F203" i="2"/>
  <c r="F204" i="2"/>
  <c r="F205" i="2"/>
  <c r="E453" i="3"/>
  <c r="F453" i="5" s="1"/>
  <c r="E454" i="3"/>
  <c r="F454" i="5" s="1"/>
  <c r="E455" i="3"/>
  <c r="F455" i="5" s="1"/>
  <c r="E456" i="3"/>
  <c r="F456" i="5" s="1"/>
  <c r="E457" i="3"/>
  <c r="F457" i="5" s="1"/>
  <c r="E458" i="3"/>
  <c r="F458" i="5" s="1"/>
  <c r="E459" i="3"/>
  <c r="F459" i="5" s="1"/>
  <c r="E460" i="3"/>
  <c r="F460" i="5" s="1"/>
  <c r="E461" i="3"/>
  <c r="F461" i="5" s="1"/>
  <c r="E462" i="3"/>
  <c r="F462" i="5" s="1"/>
  <c r="E463" i="3"/>
  <c r="F463" i="5" s="1"/>
  <c r="E464" i="3"/>
  <c r="F464" i="5" s="1"/>
  <c r="E465" i="3"/>
  <c r="F465" i="5" s="1"/>
  <c r="E466" i="3"/>
  <c r="F466" i="5" s="1"/>
  <c r="E467" i="3"/>
  <c r="F467" i="5" s="1"/>
  <c r="I453" i="3"/>
  <c r="J453" i="3" s="1"/>
  <c r="I454" i="3"/>
  <c r="J454" i="3" s="1"/>
  <c r="I455" i="3"/>
  <c r="J455" i="3" s="1"/>
  <c r="I456" i="3"/>
  <c r="J456" i="3" s="1"/>
  <c r="I457" i="3"/>
  <c r="I458" i="3"/>
  <c r="J458" i="3" s="1"/>
  <c r="I459" i="3"/>
  <c r="J459" i="3" s="1"/>
  <c r="I460" i="3"/>
  <c r="J460" i="3" s="1"/>
  <c r="I461" i="3"/>
  <c r="J461" i="3" s="1"/>
  <c r="I462" i="3"/>
  <c r="J462" i="3" s="1"/>
  <c r="I463" i="3"/>
  <c r="J463" i="3" s="1"/>
  <c r="I464" i="3"/>
  <c r="J464" i="3" s="1"/>
  <c r="I465" i="3"/>
  <c r="I466" i="3"/>
  <c r="I467" i="3"/>
  <c r="M466" i="3"/>
  <c r="N466" i="3" s="1"/>
  <c r="M467" i="3"/>
  <c r="N467" i="3" s="1"/>
  <c r="D453" i="5"/>
  <c r="E453" i="5"/>
  <c r="G453" i="5"/>
  <c r="H453" i="5"/>
  <c r="I453" i="5"/>
  <c r="M453" i="3" s="1"/>
  <c r="N453" i="3" s="1"/>
  <c r="D202" i="5"/>
  <c r="E202" i="5"/>
  <c r="G202" i="5"/>
  <c r="H202" i="5"/>
  <c r="I202" i="5"/>
  <c r="L456" i="3" l="1"/>
  <c r="L469" i="3"/>
  <c r="K468" i="3"/>
  <c r="L468" i="3" s="1"/>
  <c r="K455" i="3"/>
  <c r="L455" i="3" s="1"/>
  <c r="K454" i="3"/>
  <c r="L454" i="3" s="1"/>
  <c r="K465" i="3"/>
  <c r="L465" i="3" s="1"/>
  <c r="K453" i="3"/>
  <c r="L453" i="3" s="1"/>
  <c r="J467" i="3"/>
  <c r="K467" i="3" s="1"/>
  <c r="L467" i="3" s="1"/>
  <c r="J466" i="3"/>
  <c r="K466" i="3" s="1"/>
  <c r="L466" i="3" s="1"/>
  <c r="J465" i="3"/>
  <c r="L464" i="3"/>
  <c r="L463" i="3"/>
  <c r="L458" i="3"/>
  <c r="L462" i="3"/>
  <c r="L460" i="3"/>
  <c r="J457" i="3"/>
  <c r="K457" i="3" s="1"/>
  <c r="L457" i="3" s="1"/>
  <c r="L461" i="3"/>
  <c r="L459" i="3"/>
  <c r="D369" i="5"/>
  <c r="E369" i="5"/>
  <c r="G369" i="5"/>
  <c r="H369" i="5"/>
  <c r="I369" i="5"/>
  <c r="D440" i="5"/>
  <c r="E440" i="5"/>
  <c r="G440" i="5"/>
  <c r="H440" i="5"/>
  <c r="I440" i="5"/>
  <c r="D448" i="5" l="1"/>
  <c r="E448" i="5"/>
  <c r="G448" i="5"/>
  <c r="H448" i="5"/>
  <c r="I448" i="5"/>
  <c r="E452" i="3"/>
  <c r="F452" i="5" s="1"/>
  <c r="I452" i="3"/>
  <c r="M452" i="3"/>
  <c r="N452" i="3" s="1"/>
  <c r="E451" i="3"/>
  <c r="F451" i="5" s="1"/>
  <c r="I451" i="3"/>
  <c r="J451" i="3" s="1"/>
  <c r="D451" i="5"/>
  <c r="E451" i="5"/>
  <c r="G451" i="5"/>
  <c r="H451" i="5"/>
  <c r="I451" i="5"/>
  <c r="M451" i="3" s="1"/>
  <c r="N451" i="3" s="1"/>
  <c r="K451" i="3" s="1"/>
  <c r="E450" i="3"/>
  <c r="F450" i="5" s="1"/>
  <c r="I450" i="3"/>
  <c r="J450" i="3" s="1"/>
  <c r="F199" i="2"/>
  <c r="E449" i="3"/>
  <c r="F449" i="5" s="1"/>
  <c r="I449" i="3"/>
  <c r="J449" i="3" s="1"/>
  <c r="M449" i="3"/>
  <c r="N449" i="3" s="1"/>
  <c r="D450" i="5"/>
  <c r="E450" i="5"/>
  <c r="G450" i="5"/>
  <c r="H450" i="5"/>
  <c r="I450" i="5"/>
  <c r="M450" i="3" s="1"/>
  <c r="N450" i="3" s="1"/>
  <c r="D393" i="5"/>
  <c r="E393" i="5"/>
  <c r="G393" i="5"/>
  <c r="H393" i="5"/>
  <c r="I393" i="5"/>
  <c r="D392" i="5"/>
  <c r="E392" i="5"/>
  <c r="G392" i="5"/>
  <c r="H392" i="5"/>
  <c r="I392" i="5"/>
  <c r="J452" i="3" l="1"/>
  <c r="K452" i="3" s="1"/>
  <c r="L452" i="3" s="1"/>
  <c r="L451" i="3"/>
  <c r="K450" i="3"/>
  <c r="L450" i="3" s="1"/>
  <c r="K449" i="3"/>
  <c r="L449" i="3" s="1"/>
  <c r="D341" i="5"/>
  <c r="E341" i="5"/>
  <c r="G341" i="5"/>
  <c r="H341" i="5"/>
  <c r="I341" i="5"/>
  <c r="D426" i="5"/>
  <c r="E426" i="5"/>
  <c r="G426" i="5"/>
  <c r="H426" i="5"/>
  <c r="I426" i="5"/>
  <c r="D204" i="5"/>
  <c r="E204" i="5"/>
  <c r="G204" i="5"/>
  <c r="H204" i="5"/>
  <c r="I204" i="5"/>
  <c r="D428" i="5" l="1"/>
  <c r="E428" i="5"/>
  <c r="G428" i="5"/>
  <c r="H428" i="5"/>
  <c r="I428" i="5"/>
  <c r="D351" i="5"/>
  <c r="E351" i="5"/>
  <c r="G351" i="5"/>
  <c r="H351" i="5"/>
  <c r="I351" i="5"/>
  <c r="D345" i="5"/>
  <c r="E345" i="5"/>
  <c r="G345" i="5"/>
  <c r="H345" i="5"/>
  <c r="I345" i="5"/>
  <c r="E448" i="3"/>
  <c r="F448" i="5" s="1"/>
  <c r="I448" i="3"/>
  <c r="J448" i="3" s="1"/>
  <c r="M448" i="3"/>
  <c r="N448" i="3" s="1"/>
  <c r="K448" i="3" s="1"/>
  <c r="E447" i="3"/>
  <c r="F447" i="5" s="1"/>
  <c r="I447" i="3"/>
  <c r="J447" i="3" s="1"/>
  <c r="M447" i="3"/>
  <c r="N447" i="3" s="1"/>
  <c r="D344" i="5"/>
  <c r="E344" i="5"/>
  <c r="G344" i="5"/>
  <c r="H344" i="5"/>
  <c r="I344" i="5"/>
  <c r="E446" i="3"/>
  <c r="F446" i="5" s="1"/>
  <c r="I446" i="3"/>
  <c r="J446" i="3" s="1"/>
  <c r="D446" i="5"/>
  <c r="E446" i="5"/>
  <c r="G446" i="5"/>
  <c r="H446" i="5"/>
  <c r="I446" i="5"/>
  <c r="M446" i="3" s="1"/>
  <c r="N446" i="3" s="1"/>
  <c r="K446" i="3" s="1"/>
  <c r="D445" i="5"/>
  <c r="E445" i="5"/>
  <c r="G445" i="5"/>
  <c r="H445" i="5"/>
  <c r="I445" i="5"/>
  <c r="M445" i="3" s="1"/>
  <c r="N445" i="3" s="1"/>
  <c r="K445" i="3" s="1"/>
  <c r="D442" i="5"/>
  <c r="E442" i="5"/>
  <c r="G442" i="5"/>
  <c r="H442" i="5"/>
  <c r="I442" i="5"/>
  <c r="M442" i="3" s="1"/>
  <c r="N442" i="3" s="1"/>
  <c r="F198" i="2"/>
  <c r="F197" i="2"/>
  <c r="F196" i="2"/>
  <c r="E441" i="3"/>
  <c r="F441" i="5" s="1"/>
  <c r="E442" i="3"/>
  <c r="F442" i="5" s="1"/>
  <c r="E443" i="3"/>
  <c r="F443" i="5" s="1"/>
  <c r="E444" i="3"/>
  <c r="F444" i="5" s="1"/>
  <c r="E445" i="3"/>
  <c r="F445" i="5" s="1"/>
  <c r="I441" i="3"/>
  <c r="J441" i="3" s="1"/>
  <c r="I442" i="3"/>
  <c r="J442" i="3" s="1"/>
  <c r="I443" i="3"/>
  <c r="J443" i="3" s="1"/>
  <c r="I444" i="3"/>
  <c r="J444" i="3" s="1"/>
  <c r="I445" i="3"/>
  <c r="J445" i="3" s="1"/>
  <c r="M443" i="3"/>
  <c r="N443" i="3" s="1"/>
  <c r="M444" i="3"/>
  <c r="N444" i="3" s="1"/>
  <c r="E440" i="3"/>
  <c r="F440" i="5" s="1"/>
  <c r="I440" i="3"/>
  <c r="J440" i="3" s="1"/>
  <c r="M440" i="3"/>
  <c r="N440" i="3" s="1"/>
  <c r="I401" i="3"/>
  <c r="D441" i="5"/>
  <c r="E441" i="5"/>
  <c r="G441" i="5"/>
  <c r="H441" i="5"/>
  <c r="I441" i="5"/>
  <c r="M441" i="3" s="1"/>
  <c r="N441" i="3" s="1"/>
  <c r="D394" i="5"/>
  <c r="E394" i="5"/>
  <c r="G394" i="5"/>
  <c r="H394" i="5"/>
  <c r="I394" i="5"/>
  <c r="K447" i="3" l="1"/>
  <c r="L447" i="3" s="1"/>
  <c r="L448" i="3"/>
  <c r="L446" i="3"/>
  <c r="K440" i="3"/>
  <c r="L440" i="3" s="1"/>
  <c r="L445" i="3"/>
  <c r="K441" i="3"/>
  <c r="L441" i="3" s="1"/>
  <c r="K444" i="3"/>
  <c r="L444" i="3" s="1"/>
  <c r="K443" i="3"/>
  <c r="L443" i="3" s="1"/>
  <c r="K442" i="3"/>
  <c r="L442" i="3" s="1"/>
  <c r="D303" i="5" l="1"/>
  <c r="E303" i="5"/>
  <c r="G303" i="5"/>
  <c r="H303" i="5"/>
  <c r="I303" i="5"/>
  <c r="D360" i="5"/>
  <c r="E360" i="5"/>
  <c r="G360" i="5"/>
  <c r="H360" i="5"/>
  <c r="I360" i="5"/>
  <c r="D203" i="5"/>
  <c r="E203" i="5"/>
  <c r="G203" i="5"/>
  <c r="H203" i="5"/>
  <c r="I203" i="5"/>
  <c r="D354" i="5"/>
  <c r="D355" i="5"/>
  <c r="D356" i="5"/>
  <c r="E354" i="5"/>
  <c r="E355" i="5"/>
  <c r="E356" i="5"/>
  <c r="G354" i="5"/>
  <c r="G355" i="5"/>
  <c r="G356" i="5"/>
  <c r="H354" i="5"/>
  <c r="H355" i="5"/>
  <c r="H356" i="5"/>
  <c r="I354" i="5"/>
  <c r="I355" i="5"/>
  <c r="I356" i="5"/>
  <c r="D353" i="5"/>
  <c r="E353" i="5"/>
  <c r="G353" i="5"/>
  <c r="H353" i="5"/>
  <c r="I353" i="5"/>
  <c r="D439" i="5"/>
  <c r="E439" i="5"/>
  <c r="G439" i="5"/>
  <c r="H439" i="5"/>
  <c r="I439" i="5"/>
  <c r="M439" i="3" s="1"/>
  <c r="N439" i="3" s="1"/>
  <c r="K439" i="3" s="1"/>
  <c r="E439" i="3"/>
  <c r="F439" i="5" s="1"/>
  <c r="I439" i="3"/>
  <c r="J439" i="3" s="1"/>
  <c r="D229" i="5"/>
  <c r="E229" i="5"/>
  <c r="G229" i="5"/>
  <c r="H229" i="5"/>
  <c r="I229" i="5"/>
  <c r="E438" i="3"/>
  <c r="F438" i="5" s="1"/>
  <c r="I438" i="3"/>
  <c r="J438" i="3" s="1"/>
  <c r="D438" i="5"/>
  <c r="E438" i="5"/>
  <c r="G438" i="5"/>
  <c r="H438" i="5"/>
  <c r="I438" i="5"/>
  <c r="M438" i="3" s="1"/>
  <c r="N438" i="3" s="1"/>
  <c r="F195" i="2"/>
  <c r="E437" i="3"/>
  <c r="F437" i="5" s="1"/>
  <c r="I437" i="3"/>
  <c r="D437" i="5"/>
  <c r="E437" i="5"/>
  <c r="G437" i="5"/>
  <c r="H437" i="5"/>
  <c r="I437" i="5"/>
  <c r="M437" i="3" s="1"/>
  <c r="N437" i="3" s="1"/>
  <c r="D368" i="5"/>
  <c r="E368" i="5"/>
  <c r="G368" i="5"/>
  <c r="H368" i="5"/>
  <c r="I368" i="5"/>
  <c r="L439" i="3" l="1"/>
  <c r="K438" i="3"/>
  <c r="L438" i="3" s="1"/>
  <c r="J437" i="3"/>
  <c r="K437" i="3" s="1"/>
  <c r="L437" i="3" s="1"/>
  <c r="D87" i="5" l="1"/>
  <c r="E87" i="5"/>
  <c r="G87" i="5"/>
  <c r="H87" i="5"/>
  <c r="I87" i="5"/>
  <c r="D435" i="5"/>
  <c r="E435" i="5"/>
  <c r="G435" i="5"/>
  <c r="H435" i="5"/>
  <c r="I435" i="5"/>
  <c r="M435" i="3" s="1"/>
  <c r="N435" i="3" s="1"/>
  <c r="D430" i="5"/>
  <c r="D431" i="5"/>
  <c r="E430" i="5"/>
  <c r="E431" i="5"/>
  <c r="G430" i="5"/>
  <c r="G431" i="5"/>
  <c r="H430" i="5"/>
  <c r="H431" i="5"/>
  <c r="I430" i="5"/>
  <c r="M430" i="3" s="1"/>
  <c r="N430" i="3" s="1"/>
  <c r="K430" i="3" s="1"/>
  <c r="I431" i="5"/>
  <c r="M431" i="3" s="1"/>
  <c r="N431" i="3" s="1"/>
  <c r="K431" i="3" s="1"/>
  <c r="F193" i="2"/>
  <c r="F194" i="2"/>
  <c r="F192" i="2"/>
  <c r="E429" i="3"/>
  <c r="F429" i="5" s="1"/>
  <c r="E430" i="3"/>
  <c r="F430" i="5" s="1"/>
  <c r="E431" i="3"/>
  <c r="F431" i="5" s="1"/>
  <c r="E432" i="3"/>
  <c r="F432" i="5" s="1"/>
  <c r="E433" i="3"/>
  <c r="F433" i="5" s="1"/>
  <c r="E434" i="3"/>
  <c r="F434" i="5" s="1"/>
  <c r="E435" i="3"/>
  <c r="F435" i="5" s="1"/>
  <c r="E436" i="3"/>
  <c r="F436" i="5" s="1"/>
  <c r="I429" i="3"/>
  <c r="I430" i="3"/>
  <c r="J430" i="3" s="1"/>
  <c r="I431" i="3"/>
  <c r="J431" i="3" s="1"/>
  <c r="I432" i="3"/>
  <c r="J432" i="3" s="1"/>
  <c r="I433" i="3"/>
  <c r="J433" i="3" s="1"/>
  <c r="I434" i="3"/>
  <c r="J434" i="3" s="1"/>
  <c r="I435" i="3"/>
  <c r="I436" i="3"/>
  <c r="J436" i="3" s="1"/>
  <c r="M432" i="3"/>
  <c r="N432" i="3" s="1"/>
  <c r="M433" i="3"/>
  <c r="N433" i="3" s="1"/>
  <c r="M434" i="3"/>
  <c r="N434" i="3" s="1"/>
  <c r="M436" i="3"/>
  <c r="N436" i="3" s="1"/>
  <c r="E428" i="3"/>
  <c r="F428" i="5" s="1"/>
  <c r="I428" i="3"/>
  <c r="J428" i="3" s="1"/>
  <c r="M428" i="3"/>
  <c r="N428" i="3" s="1"/>
  <c r="D429" i="5"/>
  <c r="E429" i="5"/>
  <c r="G429" i="5"/>
  <c r="H429" i="5"/>
  <c r="I429" i="5"/>
  <c r="M429" i="3" s="1"/>
  <c r="N429" i="3" s="1"/>
  <c r="D309" i="5"/>
  <c r="E309" i="5"/>
  <c r="G309" i="5"/>
  <c r="H309" i="5"/>
  <c r="I309" i="5"/>
  <c r="D324" i="5"/>
  <c r="E324" i="5"/>
  <c r="G324" i="5"/>
  <c r="H324" i="5"/>
  <c r="I324" i="5"/>
  <c r="D313" i="5"/>
  <c r="E313" i="5"/>
  <c r="G313" i="5"/>
  <c r="H313" i="5"/>
  <c r="I313" i="5"/>
  <c r="D214" i="5"/>
  <c r="E214" i="5"/>
  <c r="G214" i="5"/>
  <c r="H214" i="5"/>
  <c r="I214" i="5"/>
  <c r="D321" i="5"/>
  <c r="E321" i="5"/>
  <c r="G321" i="5"/>
  <c r="H321" i="5"/>
  <c r="I321" i="5"/>
  <c r="D305" i="5"/>
  <c r="E305" i="5"/>
  <c r="G305" i="5"/>
  <c r="H305" i="5"/>
  <c r="I305" i="5"/>
  <c r="D114" i="5"/>
  <c r="E114" i="5"/>
  <c r="G114" i="5"/>
  <c r="H114" i="5"/>
  <c r="I114" i="5"/>
  <c r="D240" i="5"/>
  <c r="E240" i="5"/>
  <c r="G240" i="5"/>
  <c r="H240" i="5"/>
  <c r="I240" i="5"/>
  <c r="D225" i="5"/>
  <c r="D226" i="5"/>
  <c r="D227" i="5"/>
  <c r="D228" i="5"/>
  <c r="E225" i="5"/>
  <c r="E226" i="5"/>
  <c r="E227" i="5"/>
  <c r="E228" i="5"/>
  <c r="G225" i="5"/>
  <c r="G226" i="5"/>
  <c r="G227" i="5"/>
  <c r="G228" i="5"/>
  <c r="H225" i="5"/>
  <c r="H226" i="5"/>
  <c r="H227" i="5"/>
  <c r="H228" i="5"/>
  <c r="I225" i="5"/>
  <c r="I226" i="5"/>
  <c r="I227" i="5"/>
  <c r="I228" i="5"/>
  <c r="D224" i="5"/>
  <c r="E224" i="5"/>
  <c r="G224" i="5"/>
  <c r="H224" i="5"/>
  <c r="I224" i="5"/>
  <c r="D314" i="5"/>
  <c r="E314" i="5"/>
  <c r="G314" i="5"/>
  <c r="H314" i="5"/>
  <c r="I314" i="5"/>
  <c r="D318" i="5"/>
  <c r="E318" i="5"/>
  <c r="G318" i="5"/>
  <c r="H318" i="5"/>
  <c r="I318" i="5"/>
  <c r="D315" i="5"/>
  <c r="E315" i="5"/>
  <c r="G315" i="5"/>
  <c r="H315" i="5"/>
  <c r="I315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D273" i="5"/>
  <c r="D274" i="5"/>
  <c r="D275" i="5"/>
  <c r="D276" i="5"/>
  <c r="D277" i="5"/>
  <c r="E273" i="5"/>
  <c r="E274" i="5"/>
  <c r="E275" i="5"/>
  <c r="E276" i="5"/>
  <c r="E277" i="5"/>
  <c r="G273" i="5"/>
  <c r="G274" i="5"/>
  <c r="G275" i="5"/>
  <c r="G276" i="5"/>
  <c r="G277" i="5"/>
  <c r="H273" i="5"/>
  <c r="H274" i="5"/>
  <c r="H275" i="5"/>
  <c r="H276" i="5"/>
  <c r="H277" i="5"/>
  <c r="I273" i="5"/>
  <c r="I274" i="5"/>
  <c r="I275" i="5"/>
  <c r="I276" i="5"/>
  <c r="I277" i="5"/>
  <c r="D268" i="5"/>
  <c r="D269" i="5"/>
  <c r="D270" i="5"/>
  <c r="D271" i="5"/>
  <c r="E268" i="5"/>
  <c r="E269" i="5"/>
  <c r="E270" i="5"/>
  <c r="E271" i="5"/>
  <c r="G268" i="5"/>
  <c r="G269" i="5"/>
  <c r="G270" i="5"/>
  <c r="G271" i="5"/>
  <c r="H268" i="5"/>
  <c r="H269" i="5"/>
  <c r="H270" i="5"/>
  <c r="H271" i="5"/>
  <c r="I268" i="5"/>
  <c r="I269" i="5"/>
  <c r="I270" i="5"/>
  <c r="I271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D248" i="5"/>
  <c r="E248" i="5"/>
  <c r="G248" i="5"/>
  <c r="H248" i="5"/>
  <c r="I248" i="5"/>
  <c r="D247" i="5"/>
  <c r="E247" i="5"/>
  <c r="G247" i="5"/>
  <c r="H247" i="5"/>
  <c r="I247" i="5"/>
  <c r="D307" i="5"/>
  <c r="E307" i="5"/>
  <c r="G307" i="5"/>
  <c r="H307" i="5"/>
  <c r="I307" i="5"/>
  <c r="D425" i="5"/>
  <c r="E425" i="5"/>
  <c r="G425" i="5"/>
  <c r="H425" i="5"/>
  <c r="I425" i="5"/>
  <c r="M425" i="3" s="1"/>
  <c r="N425" i="3" s="1"/>
  <c r="D419" i="5"/>
  <c r="D420" i="5"/>
  <c r="D421" i="5"/>
  <c r="D422" i="5"/>
  <c r="E419" i="5"/>
  <c r="E420" i="5"/>
  <c r="E421" i="5"/>
  <c r="E422" i="5"/>
  <c r="G419" i="5"/>
  <c r="G420" i="5"/>
  <c r="G421" i="5"/>
  <c r="G422" i="5"/>
  <c r="H419" i="5"/>
  <c r="H420" i="5"/>
  <c r="H421" i="5"/>
  <c r="H422" i="5"/>
  <c r="I419" i="5"/>
  <c r="M419" i="3" s="1"/>
  <c r="N419" i="3" s="1"/>
  <c r="I420" i="5"/>
  <c r="M420" i="3" s="1"/>
  <c r="N420" i="3" s="1"/>
  <c r="I421" i="5"/>
  <c r="M421" i="3" s="1"/>
  <c r="N421" i="3" s="1"/>
  <c r="K421" i="3" s="1"/>
  <c r="I422" i="5"/>
  <c r="M422" i="3" s="1"/>
  <c r="N422" i="3" s="1"/>
  <c r="K422" i="3" s="1"/>
  <c r="D416" i="5"/>
  <c r="E416" i="5"/>
  <c r="G416" i="5"/>
  <c r="H416" i="5"/>
  <c r="I416" i="5"/>
  <c r="M416" i="3" s="1"/>
  <c r="N416" i="3" s="1"/>
  <c r="K416" i="3" s="1"/>
  <c r="F185" i="2"/>
  <c r="F186" i="2"/>
  <c r="F187" i="2"/>
  <c r="F188" i="2"/>
  <c r="F189" i="2"/>
  <c r="F190" i="2"/>
  <c r="F191" i="2"/>
  <c r="F184" i="2"/>
  <c r="E416" i="3"/>
  <c r="F416" i="5" s="1"/>
  <c r="E417" i="3"/>
  <c r="F417" i="5" s="1"/>
  <c r="E418" i="3"/>
  <c r="F418" i="5" s="1"/>
  <c r="F419" i="5"/>
  <c r="E420" i="3"/>
  <c r="F420" i="5" s="1"/>
  <c r="E421" i="3"/>
  <c r="F421" i="5" s="1"/>
  <c r="E422" i="3"/>
  <c r="F422" i="5" s="1"/>
  <c r="E423" i="3"/>
  <c r="F423" i="5" s="1"/>
  <c r="E424" i="3"/>
  <c r="F424" i="5" s="1"/>
  <c r="E425" i="3"/>
  <c r="F425" i="5" s="1"/>
  <c r="E426" i="3"/>
  <c r="F426" i="5" s="1"/>
  <c r="E427" i="3"/>
  <c r="F427" i="5" s="1"/>
  <c r="I416" i="3"/>
  <c r="J416" i="3" s="1"/>
  <c r="I417" i="3"/>
  <c r="J417" i="3" s="1"/>
  <c r="I418" i="3"/>
  <c r="J418" i="3" s="1"/>
  <c r="I419" i="3"/>
  <c r="J419" i="3" s="1"/>
  <c r="I420" i="3"/>
  <c r="J420" i="3" s="1"/>
  <c r="I421" i="3"/>
  <c r="J421" i="3" s="1"/>
  <c r="I422" i="3"/>
  <c r="J422" i="3" s="1"/>
  <c r="I423" i="3"/>
  <c r="J423" i="3" s="1"/>
  <c r="I424" i="3"/>
  <c r="J424" i="3" s="1"/>
  <c r="I425" i="3"/>
  <c r="J425" i="3" s="1"/>
  <c r="I426" i="3"/>
  <c r="J426" i="3" s="1"/>
  <c r="I427" i="3"/>
  <c r="J427" i="3" s="1"/>
  <c r="M417" i="3"/>
  <c r="N417" i="3" s="1"/>
  <c r="M418" i="3"/>
  <c r="N418" i="3" s="1"/>
  <c r="M423" i="3"/>
  <c r="N423" i="3" s="1"/>
  <c r="M424" i="3"/>
  <c r="N424" i="3" s="1"/>
  <c r="M426" i="3"/>
  <c r="N426" i="3" s="1"/>
  <c r="M427" i="3"/>
  <c r="N427" i="3" s="1"/>
  <c r="K432" i="3" l="1"/>
  <c r="L432" i="3" s="1"/>
  <c r="K428" i="3"/>
  <c r="L428" i="3" s="1"/>
  <c r="K433" i="3"/>
  <c r="L433" i="3" s="1"/>
  <c r="J435" i="3"/>
  <c r="K435" i="3"/>
  <c r="L435" i="3" s="1"/>
  <c r="K434" i="3"/>
  <c r="L434" i="3" s="1"/>
  <c r="K436" i="3"/>
  <c r="L436" i="3" s="1"/>
  <c r="L430" i="3"/>
  <c r="L431" i="3"/>
  <c r="J429" i="3"/>
  <c r="K429" i="3" s="1"/>
  <c r="L429" i="3" s="1"/>
  <c r="K424" i="3"/>
  <c r="L424" i="3" s="1"/>
  <c r="K423" i="3"/>
  <c r="L423" i="3" s="1"/>
  <c r="L416" i="3"/>
  <c r="K420" i="3"/>
  <c r="K417" i="3"/>
  <c r="L417" i="3" s="1"/>
  <c r="K425" i="3"/>
  <c r="L425" i="3" s="1"/>
  <c r="K418" i="3"/>
  <c r="L418" i="3" s="1"/>
  <c r="K419" i="3"/>
  <c r="L419" i="3" s="1"/>
  <c r="K427" i="3"/>
  <c r="L427" i="3" s="1"/>
  <c r="L420" i="3"/>
  <c r="K426" i="3"/>
  <c r="L426" i="3" s="1"/>
  <c r="L422" i="3"/>
  <c r="L421" i="3"/>
  <c r="D415" i="5" l="1"/>
  <c r="E415" i="5"/>
  <c r="G415" i="5"/>
  <c r="H415" i="5"/>
  <c r="I415" i="5"/>
  <c r="D110" i="5"/>
  <c r="E110" i="5"/>
  <c r="G110" i="5"/>
  <c r="H110" i="5"/>
  <c r="I110" i="5"/>
  <c r="D350" i="5"/>
  <c r="E350" i="5"/>
  <c r="G350" i="5"/>
  <c r="H350" i="5"/>
  <c r="I350" i="5"/>
  <c r="D325" i="5" l="1"/>
  <c r="E325" i="5"/>
  <c r="G325" i="5"/>
  <c r="H325" i="5"/>
  <c r="I325" i="5"/>
  <c r="D304" i="5"/>
  <c r="E304" i="5"/>
  <c r="G304" i="5"/>
  <c r="H304" i="5"/>
  <c r="I304" i="5"/>
  <c r="D125" i="5"/>
  <c r="E125" i="5"/>
  <c r="G125" i="5"/>
  <c r="H125" i="5"/>
  <c r="I125" i="5"/>
  <c r="D117" i="5"/>
  <c r="E117" i="5"/>
  <c r="G117" i="5"/>
  <c r="H117" i="5"/>
  <c r="I117" i="5"/>
  <c r="D104" i="5"/>
  <c r="E104" i="5"/>
  <c r="G104" i="5"/>
  <c r="H104" i="5"/>
  <c r="I104" i="5"/>
  <c r="D395" i="5" l="1"/>
  <c r="E395" i="5"/>
  <c r="G395" i="5"/>
  <c r="H395" i="5"/>
  <c r="I395" i="5"/>
  <c r="D382" i="5"/>
  <c r="E382" i="5"/>
  <c r="G382" i="5"/>
  <c r="H382" i="5"/>
  <c r="I382" i="5"/>
  <c r="D366" i="5"/>
  <c r="E366" i="5"/>
  <c r="G366" i="5"/>
  <c r="H366" i="5"/>
  <c r="I366" i="5"/>
  <c r="D400" i="5"/>
  <c r="E400" i="5"/>
  <c r="G400" i="5"/>
  <c r="H400" i="5"/>
  <c r="I400" i="5"/>
  <c r="D364" i="5" l="1"/>
  <c r="E364" i="5"/>
  <c r="G364" i="5"/>
  <c r="H364" i="5"/>
  <c r="I364" i="5"/>
  <c r="D263" i="5"/>
  <c r="E263" i="5"/>
  <c r="G263" i="5"/>
  <c r="H263" i="5"/>
  <c r="I263" i="5"/>
  <c r="D414" i="5"/>
  <c r="E414" i="5"/>
  <c r="G414" i="5"/>
  <c r="H414" i="5"/>
  <c r="I414" i="5"/>
  <c r="M414" i="3" s="1"/>
  <c r="N414" i="3" s="1"/>
  <c r="K414" i="3" s="1"/>
  <c r="D413" i="5"/>
  <c r="E413" i="5"/>
  <c r="G413" i="5"/>
  <c r="H413" i="5"/>
  <c r="I413" i="5"/>
  <c r="M413" i="3" s="1"/>
  <c r="N413" i="3" s="1"/>
  <c r="K413" i="3" s="1"/>
  <c r="D412" i="5"/>
  <c r="E412" i="5"/>
  <c r="G412" i="5"/>
  <c r="H412" i="5"/>
  <c r="I412" i="5"/>
  <c r="M412" i="3" s="1"/>
  <c r="N412" i="3" s="1"/>
  <c r="K412" i="3" s="1"/>
  <c r="F181" i="2"/>
  <c r="F182" i="2"/>
  <c r="F183" i="2"/>
  <c r="E415" i="3"/>
  <c r="F415" i="5" s="1"/>
  <c r="I415" i="3"/>
  <c r="J415" i="3" s="1"/>
  <c r="M415" i="3"/>
  <c r="N415" i="3" s="1"/>
  <c r="K415" i="3" s="1"/>
  <c r="E406" i="3"/>
  <c r="F406" i="5" s="1"/>
  <c r="E407" i="3"/>
  <c r="F407" i="5" s="1"/>
  <c r="E408" i="3"/>
  <c r="F408" i="5" s="1"/>
  <c r="E409" i="3"/>
  <c r="F409" i="5" s="1"/>
  <c r="E410" i="3"/>
  <c r="F410" i="5" s="1"/>
  <c r="E411" i="3"/>
  <c r="F411" i="5" s="1"/>
  <c r="E412" i="3"/>
  <c r="F412" i="5" s="1"/>
  <c r="E413" i="3"/>
  <c r="F413" i="5" s="1"/>
  <c r="E414" i="3"/>
  <c r="F414" i="5" s="1"/>
  <c r="I406" i="3"/>
  <c r="I407" i="3"/>
  <c r="I408" i="3"/>
  <c r="I409" i="3"/>
  <c r="I410" i="3"/>
  <c r="J410" i="3" s="1"/>
  <c r="I411" i="3"/>
  <c r="J411" i="3" s="1"/>
  <c r="I412" i="3"/>
  <c r="J412" i="3" s="1"/>
  <c r="I413" i="3"/>
  <c r="J413" i="3" s="1"/>
  <c r="I414" i="3"/>
  <c r="J414" i="3" s="1"/>
  <c r="M406" i="3"/>
  <c r="N406" i="3" s="1"/>
  <c r="M407" i="3"/>
  <c r="N407" i="3" s="1"/>
  <c r="M408" i="3"/>
  <c r="N408" i="3" s="1"/>
  <c r="M409" i="3"/>
  <c r="N409" i="3" s="1"/>
  <c r="M410" i="3"/>
  <c r="N410" i="3" s="1"/>
  <c r="M411" i="3"/>
  <c r="N411" i="3" s="1"/>
  <c r="E405" i="3"/>
  <c r="F405" i="5" s="1"/>
  <c r="I405" i="3"/>
  <c r="J405" i="3" s="1"/>
  <c r="D405" i="5"/>
  <c r="E405" i="5"/>
  <c r="G405" i="5"/>
  <c r="H405" i="5"/>
  <c r="I405" i="5"/>
  <c r="M405" i="3" s="1"/>
  <c r="N405" i="3" s="1"/>
  <c r="K405" i="3" s="1"/>
  <c r="D81" i="5"/>
  <c r="E81" i="5"/>
  <c r="G81" i="5"/>
  <c r="H81" i="5"/>
  <c r="I81" i="5"/>
  <c r="D401" i="5"/>
  <c r="D402" i="5"/>
  <c r="D403" i="5"/>
  <c r="D404" i="5"/>
  <c r="E401" i="5"/>
  <c r="E402" i="5"/>
  <c r="E403" i="5"/>
  <c r="E404" i="5"/>
  <c r="G401" i="5"/>
  <c r="G402" i="5"/>
  <c r="G403" i="5"/>
  <c r="G404" i="5"/>
  <c r="H401" i="5"/>
  <c r="H402" i="5"/>
  <c r="H403" i="5"/>
  <c r="H404" i="5"/>
  <c r="I401" i="5"/>
  <c r="M401" i="3" s="1"/>
  <c r="N401" i="3" s="1"/>
  <c r="K401" i="3" s="1"/>
  <c r="I402" i="5"/>
  <c r="M402" i="3" s="1"/>
  <c r="N402" i="3" s="1"/>
  <c r="K402" i="3" s="1"/>
  <c r="I403" i="5"/>
  <c r="M403" i="3" s="1"/>
  <c r="N403" i="3" s="1"/>
  <c r="K403" i="3" s="1"/>
  <c r="I404" i="5"/>
  <c r="M404" i="3" s="1"/>
  <c r="N404" i="3" s="1"/>
  <c r="D396" i="5"/>
  <c r="D397" i="5"/>
  <c r="D398" i="5"/>
  <c r="D399" i="5"/>
  <c r="E396" i="5"/>
  <c r="E397" i="5"/>
  <c r="E398" i="5"/>
  <c r="E399" i="5"/>
  <c r="G396" i="5"/>
  <c r="G397" i="5"/>
  <c r="G398" i="5"/>
  <c r="G399" i="5"/>
  <c r="H396" i="5"/>
  <c r="H397" i="5"/>
  <c r="H398" i="5"/>
  <c r="H399" i="5"/>
  <c r="I396" i="5"/>
  <c r="M396" i="3" s="1"/>
  <c r="N396" i="3" s="1"/>
  <c r="I397" i="5"/>
  <c r="M397" i="3" s="1"/>
  <c r="N397" i="3" s="1"/>
  <c r="I398" i="5"/>
  <c r="M398" i="3" s="1"/>
  <c r="N398" i="3" s="1"/>
  <c r="I399" i="5"/>
  <c r="M399" i="3" s="1"/>
  <c r="N399" i="3" s="1"/>
  <c r="D383" i="5"/>
  <c r="D384" i="5"/>
  <c r="D385" i="5"/>
  <c r="D386" i="5"/>
  <c r="D387" i="5"/>
  <c r="D388" i="5"/>
  <c r="D389" i="5"/>
  <c r="D390" i="5"/>
  <c r="D391" i="5"/>
  <c r="E383" i="5"/>
  <c r="E384" i="5"/>
  <c r="E385" i="5"/>
  <c r="E386" i="5"/>
  <c r="E387" i="5"/>
  <c r="E388" i="5"/>
  <c r="E389" i="5"/>
  <c r="E390" i="5"/>
  <c r="E391" i="5"/>
  <c r="G383" i="5"/>
  <c r="G384" i="5"/>
  <c r="G385" i="5"/>
  <c r="G386" i="5"/>
  <c r="G387" i="5"/>
  <c r="G388" i="5"/>
  <c r="G389" i="5"/>
  <c r="G390" i="5"/>
  <c r="G391" i="5"/>
  <c r="H383" i="5"/>
  <c r="H384" i="5"/>
  <c r="H385" i="5"/>
  <c r="H386" i="5"/>
  <c r="H387" i="5"/>
  <c r="H388" i="5"/>
  <c r="H389" i="5"/>
  <c r="H390" i="5"/>
  <c r="H391" i="5"/>
  <c r="I383" i="5"/>
  <c r="M383" i="3" s="1"/>
  <c r="N383" i="3" s="1"/>
  <c r="I384" i="5"/>
  <c r="M384" i="3" s="1"/>
  <c r="N384" i="3" s="1"/>
  <c r="K384" i="3" s="1"/>
  <c r="I385" i="5"/>
  <c r="M385" i="3" s="1"/>
  <c r="N385" i="3" s="1"/>
  <c r="I386" i="5"/>
  <c r="M386" i="3" s="1"/>
  <c r="N386" i="3" s="1"/>
  <c r="I387" i="5"/>
  <c r="M387" i="3" s="1"/>
  <c r="N387" i="3" s="1"/>
  <c r="I388" i="5"/>
  <c r="M388" i="3" s="1"/>
  <c r="N388" i="3" s="1"/>
  <c r="K388" i="3" s="1"/>
  <c r="I389" i="5"/>
  <c r="M389" i="3" s="1"/>
  <c r="N389" i="3" s="1"/>
  <c r="K389" i="3" s="1"/>
  <c r="I390" i="5"/>
  <c r="M390" i="3" s="1"/>
  <c r="N390" i="3" s="1"/>
  <c r="K390" i="3" s="1"/>
  <c r="I391" i="5"/>
  <c r="M391" i="3" s="1"/>
  <c r="N391" i="3" s="1"/>
  <c r="K391" i="3" s="1"/>
  <c r="D376" i="5"/>
  <c r="D377" i="5"/>
  <c r="D378" i="5"/>
  <c r="D379" i="5"/>
  <c r="D380" i="5"/>
  <c r="D381" i="5"/>
  <c r="E376" i="5"/>
  <c r="E377" i="5"/>
  <c r="E378" i="5"/>
  <c r="E379" i="5"/>
  <c r="E380" i="5"/>
  <c r="E381" i="5"/>
  <c r="G376" i="5"/>
  <c r="G377" i="5"/>
  <c r="G378" i="5"/>
  <c r="G379" i="5"/>
  <c r="G380" i="5"/>
  <c r="G381" i="5"/>
  <c r="H376" i="5"/>
  <c r="H377" i="5"/>
  <c r="H378" i="5"/>
  <c r="H379" i="5"/>
  <c r="H380" i="5"/>
  <c r="H381" i="5"/>
  <c r="I376" i="5"/>
  <c r="M376" i="3" s="1"/>
  <c r="N376" i="3" s="1"/>
  <c r="I377" i="5"/>
  <c r="M377" i="3" s="1"/>
  <c r="N377" i="3" s="1"/>
  <c r="K377" i="3" s="1"/>
  <c r="I378" i="5"/>
  <c r="M378" i="3" s="1"/>
  <c r="N378" i="3" s="1"/>
  <c r="K378" i="3" s="1"/>
  <c r="I379" i="5"/>
  <c r="M379" i="3" s="1"/>
  <c r="N379" i="3" s="1"/>
  <c r="K379" i="3" s="1"/>
  <c r="I380" i="5"/>
  <c r="M380" i="3" s="1"/>
  <c r="N380" i="3" s="1"/>
  <c r="I381" i="5"/>
  <c r="M381" i="3" s="1"/>
  <c r="N381" i="3" s="1"/>
  <c r="K381" i="3" s="1"/>
  <c r="D375" i="5"/>
  <c r="E375" i="5"/>
  <c r="G375" i="5"/>
  <c r="H375" i="5"/>
  <c r="I375" i="5"/>
  <c r="M375" i="3" s="1"/>
  <c r="N375" i="3" s="1"/>
  <c r="F173" i="2"/>
  <c r="F174" i="2"/>
  <c r="F175" i="2"/>
  <c r="F176" i="2"/>
  <c r="F177" i="2"/>
  <c r="F178" i="2"/>
  <c r="F179" i="2"/>
  <c r="F180" i="2"/>
  <c r="E376" i="3"/>
  <c r="F376" i="5" s="1"/>
  <c r="E377" i="3"/>
  <c r="F377" i="5" s="1"/>
  <c r="E378" i="3"/>
  <c r="F378" i="5" s="1"/>
  <c r="E379" i="3"/>
  <c r="F379" i="5" s="1"/>
  <c r="E380" i="3"/>
  <c r="F380" i="5" s="1"/>
  <c r="E381" i="3"/>
  <c r="F381" i="5" s="1"/>
  <c r="E382" i="3"/>
  <c r="F382" i="5" s="1"/>
  <c r="E383" i="3"/>
  <c r="F383" i="5" s="1"/>
  <c r="E384" i="3"/>
  <c r="F384" i="5" s="1"/>
  <c r="E385" i="3"/>
  <c r="F385" i="5" s="1"/>
  <c r="E386" i="3"/>
  <c r="F386" i="5" s="1"/>
  <c r="E387" i="3"/>
  <c r="F387" i="5" s="1"/>
  <c r="E388" i="3"/>
  <c r="F388" i="5" s="1"/>
  <c r="E389" i="3"/>
  <c r="F389" i="5" s="1"/>
  <c r="E390" i="3"/>
  <c r="F390" i="5" s="1"/>
  <c r="E391" i="3"/>
  <c r="F391" i="5" s="1"/>
  <c r="E392" i="3"/>
  <c r="F392" i="5" s="1"/>
  <c r="E393" i="3"/>
  <c r="F393" i="5" s="1"/>
  <c r="E394" i="3"/>
  <c r="F394" i="5" s="1"/>
  <c r="E395" i="3"/>
  <c r="F395" i="5" s="1"/>
  <c r="E396" i="3"/>
  <c r="F396" i="5" s="1"/>
  <c r="E397" i="3"/>
  <c r="F397" i="5" s="1"/>
  <c r="E398" i="3"/>
  <c r="F398" i="5" s="1"/>
  <c r="E399" i="3"/>
  <c r="F399" i="5" s="1"/>
  <c r="E400" i="3"/>
  <c r="F400" i="5" s="1"/>
  <c r="E401" i="3"/>
  <c r="F401" i="5" s="1"/>
  <c r="E402" i="3"/>
  <c r="F402" i="5" s="1"/>
  <c r="E403" i="3"/>
  <c r="F403" i="5" s="1"/>
  <c r="E404" i="3"/>
  <c r="F404" i="5" s="1"/>
  <c r="I376" i="3"/>
  <c r="J376" i="3" s="1"/>
  <c r="I377" i="3"/>
  <c r="J377" i="3" s="1"/>
  <c r="I378" i="3"/>
  <c r="J378" i="3" s="1"/>
  <c r="I379" i="3"/>
  <c r="J379" i="3" s="1"/>
  <c r="I380" i="3"/>
  <c r="I381" i="3"/>
  <c r="J381" i="3" s="1"/>
  <c r="I382" i="3"/>
  <c r="I383" i="3"/>
  <c r="J383" i="3" s="1"/>
  <c r="I384" i="3"/>
  <c r="J384" i="3" s="1"/>
  <c r="I385" i="3"/>
  <c r="J385" i="3" s="1"/>
  <c r="I386" i="3"/>
  <c r="J386" i="3" s="1"/>
  <c r="I387" i="3"/>
  <c r="J387" i="3" s="1"/>
  <c r="I388" i="3"/>
  <c r="J388" i="3" s="1"/>
  <c r="I389" i="3"/>
  <c r="J389" i="3" s="1"/>
  <c r="I390" i="3"/>
  <c r="J390" i="3" s="1"/>
  <c r="I391" i="3"/>
  <c r="J391" i="3" s="1"/>
  <c r="I392" i="3"/>
  <c r="I393" i="3"/>
  <c r="J393" i="3" s="1"/>
  <c r="I394" i="3"/>
  <c r="I395" i="3"/>
  <c r="J395" i="3" s="1"/>
  <c r="I396" i="3"/>
  <c r="J396" i="3" s="1"/>
  <c r="I397" i="3"/>
  <c r="J397" i="3" s="1"/>
  <c r="I398" i="3"/>
  <c r="I399" i="3"/>
  <c r="J399" i="3" s="1"/>
  <c r="I400" i="3"/>
  <c r="J400" i="3" s="1"/>
  <c r="J401" i="3"/>
  <c r="I402" i="3"/>
  <c r="J402" i="3" s="1"/>
  <c r="I403" i="3"/>
  <c r="J403" i="3" s="1"/>
  <c r="I404" i="3"/>
  <c r="M382" i="3"/>
  <c r="N382" i="3" s="1"/>
  <c r="M392" i="3"/>
  <c r="N392" i="3" s="1"/>
  <c r="M393" i="3"/>
  <c r="N393" i="3" s="1"/>
  <c r="M394" i="3"/>
  <c r="N394" i="3" s="1"/>
  <c r="M395" i="3"/>
  <c r="N395" i="3" s="1"/>
  <c r="M400" i="3"/>
  <c r="N400" i="3" s="1"/>
  <c r="E375" i="3"/>
  <c r="F375" i="5" s="1"/>
  <c r="I375" i="3"/>
  <c r="J375" i="3" s="1"/>
  <c r="D330" i="5"/>
  <c r="E330" i="5"/>
  <c r="G330" i="5"/>
  <c r="H330" i="5"/>
  <c r="I330" i="5"/>
  <c r="D316" i="5"/>
  <c r="E316" i="5"/>
  <c r="G316" i="5"/>
  <c r="H316" i="5"/>
  <c r="I316" i="5"/>
  <c r="D249" i="5"/>
  <c r="E249" i="5"/>
  <c r="G249" i="5"/>
  <c r="H249" i="5"/>
  <c r="I249" i="5"/>
  <c r="D319" i="5"/>
  <c r="E319" i="5"/>
  <c r="G319" i="5"/>
  <c r="H319" i="5"/>
  <c r="I319" i="5"/>
  <c r="D302" i="5"/>
  <c r="E302" i="5"/>
  <c r="G302" i="5"/>
  <c r="H302" i="5"/>
  <c r="I302" i="5"/>
  <c r="D301" i="5"/>
  <c r="E301" i="5"/>
  <c r="G301" i="5"/>
  <c r="H301" i="5"/>
  <c r="I301" i="5"/>
  <c r="D167" i="5"/>
  <c r="E167" i="5"/>
  <c r="G167" i="5"/>
  <c r="H167" i="5"/>
  <c r="I167" i="5"/>
  <c r="D102" i="5"/>
  <c r="E102" i="5"/>
  <c r="G102" i="5"/>
  <c r="H102" i="5"/>
  <c r="I102" i="5"/>
  <c r="D108" i="5"/>
  <c r="E108" i="5"/>
  <c r="G108" i="5"/>
  <c r="H108" i="5"/>
  <c r="I108" i="5"/>
  <c r="L415" i="3" l="1"/>
  <c r="K411" i="3"/>
  <c r="L411" i="3" s="1"/>
  <c r="K410" i="3"/>
  <c r="L410" i="3" s="1"/>
  <c r="L414" i="3"/>
  <c r="L413" i="3"/>
  <c r="L412" i="3"/>
  <c r="K393" i="3"/>
  <c r="L393" i="3" s="1"/>
  <c r="J409" i="3"/>
  <c r="K409" i="3" s="1"/>
  <c r="L409" i="3" s="1"/>
  <c r="J407" i="3"/>
  <c r="K407" i="3" s="1"/>
  <c r="L407" i="3" s="1"/>
  <c r="L405" i="3"/>
  <c r="J408" i="3"/>
  <c r="K408" i="3" s="1"/>
  <c r="L408" i="3" s="1"/>
  <c r="J406" i="3"/>
  <c r="K406" i="3" s="1"/>
  <c r="L406" i="3" s="1"/>
  <c r="L377" i="3"/>
  <c r="K400" i="3"/>
  <c r="L400" i="3" s="1"/>
  <c r="L384" i="3"/>
  <c r="L401" i="3"/>
  <c r="K399" i="3"/>
  <c r="L399" i="3" s="1"/>
  <c r="K387" i="3"/>
  <c r="L387" i="3" s="1"/>
  <c r="K383" i="3"/>
  <c r="L383" i="3" s="1"/>
  <c r="K395" i="3"/>
  <c r="L395" i="3" s="1"/>
  <c r="L389" i="3"/>
  <c r="L388" i="3"/>
  <c r="J398" i="3"/>
  <c r="K376" i="3"/>
  <c r="L376" i="3" s="1"/>
  <c r="K398" i="3"/>
  <c r="L398" i="3" s="1"/>
  <c r="K386" i="3"/>
  <c r="L386" i="3" s="1"/>
  <c r="K397" i="3"/>
  <c r="L397" i="3" s="1"/>
  <c r="K385" i="3"/>
  <c r="L385" i="3" s="1"/>
  <c r="K375" i="3"/>
  <c r="L375" i="3" s="1"/>
  <c r="K396" i="3"/>
  <c r="L396" i="3" s="1"/>
  <c r="L381" i="3"/>
  <c r="L403" i="3"/>
  <c r="L391" i="3"/>
  <c r="L379" i="3"/>
  <c r="L402" i="3"/>
  <c r="L390" i="3"/>
  <c r="L378" i="3"/>
  <c r="J394" i="3"/>
  <c r="K394" i="3" s="1"/>
  <c r="L394" i="3" s="1"/>
  <c r="J382" i="3"/>
  <c r="K382" i="3" s="1"/>
  <c r="L382" i="3" s="1"/>
  <c r="J404" i="3"/>
  <c r="K404" i="3" s="1"/>
  <c r="L404" i="3" s="1"/>
  <c r="J392" i="3"/>
  <c r="K392" i="3" s="1"/>
  <c r="L392" i="3" s="1"/>
  <c r="J380" i="3"/>
  <c r="K380" i="3" s="1"/>
  <c r="L380" i="3" s="1"/>
  <c r="D103" i="5"/>
  <c r="E103" i="5"/>
  <c r="G103" i="5"/>
  <c r="H103" i="5"/>
  <c r="I103" i="5"/>
  <c r="D175" i="5"/>
  <c r="E175" i="5"/>
  <c r="G175" i="5"/>
  <c r="H175" i="5"/>
  <c r="I175" i="5"/>
  <c r="D174" i="5"/>
  <c r="E174" i="5"/>
  <c r="G174" i="5"/>
  <c r="H174" i="5"/>
  <c r="I174" i="5"/>
  <c r="D161" i="5"/>
  <c r="E161" i="5"/>
  <c r="G161" i="5"/>
  <c r="H161" i="5"/>
  <c r="I161" i="5"/>
  <c r="D361" i="5"/>
  <c r="E361" i="5"/>
  <c r="G361" i="5"/>
  <c r="H361" i="5"/>
  <c r="I361" i="5"/>
  <c r="M361" i="3" s="1"/>
  <c r="N361" i="3" s="1"/>
  <c r="D206" i="5"/>
  <c r="E206" i="5"/>
  <c r="G206" i="5"/>
  <c r="H206" i="5"/>
  <c r="I206" i="5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51" i="2"/>
  <c r="D370" i="5"/>
  <c r="D371" i="5"/>
  <c r="D372" i="5"/>
  <c r="D373" i="5"/>
  <c r="D374" i="5"/>
  <c r="E370" i="5"/>
  <c r="E371" i="5"/>
  <c r="E372" i="5"/>
  <c r="E373" i="5"/>
  <c r="E374" i="5"/>
  <c r="G370" i="5"/>
  <c r="G371" i="5"/>
  <c r="G372" i="5"/>
  <c r="G373" i="5"/>
  <c r="G374" i="5"/>
  <c r="H370" i="5"/>
  <c r="H371" i="5"/>
  <c r="H372" i="5"/>
  <c r="H373" i="5"/>
  <c r="H374" i="5"/>
  <c r="I370" i="5"/>
  <c r="M370" i="3" s="1"/>
  <c r="N370" i="3" s="1"/>
  <c r="K370" i="3" s="1"/>
  <c r="I371" i="5"/>
  <c r="M371" i="3" s="1"/>
  <c r="N371" i="3" s="1"/>
  <c r="I372" i="5"/>
  <c r="M372" i="3" s="1"/>
  <c r="N372" i="3" s="1"/>
  <c r="K372" i="3" s="1"/>
  <c r="I373" i="5"/>
  <c r="M373" i="3" s="1"/>
  <c r="N373" i="3" s="1"/>
  <c r="I374" i="5"/>
  <c r="M374" i="3" s="1"/>
  <c r="N374" i="3" s="1"/>
  <c r="D367" i="5"/>
  <c r="E367" i="5"/>
  <c r="G367" i="5"/>
  <c r="H367" i="5"/>
  <c r="I367" i="5"/>
  <c r="M367" i="3" s="1"/>
  <c r="N367" i="3" s="1"/>
  <c r="K367" i="3" s="1"/>
  <c r="D365" i="5"/>
  <c r="E365" i="5"/>
  <c r="G365" i="5"/>
  <c r="H365" i="5"/>
  <c r="I365" i="5"/>
  <c r="M365" i="3" s="1"/>
  <c r="N365" i="3" s="1"/>
  <c r="K365" i="3" s="1"/>
  <c r="D362" i="5"/>
  <c r="D363" i="5"/>
  <c r="E362" i="5"/>
  <c r="E363" i="5"/>
  <c r="G362" i="5"/>
  <c r="G363" i="5"/>
  <c r="H362" i="5"/>
  <c r="H363" i="5"/>
  <c r="I362" i="5"/>
  <c r="M362" i="3" s="1"/>
  <c r="N362" i="3" s="1"/>
  <c r="I363" i="5"/>
  <c r="M363" i="3" s="1"/>
  <c r="N363" i="3" s="1"/>
  <c r="D357" i="5"/>
  <c r="D358" i="5"/>
  <c r="D359" i="5"/>
  <c r="E357" i="5"/>
  <c r="E358" i="5"/>
  <c r="E359" i="5"/>
  <c r="G357" i="5"/>
  <c r="G358" i="5"/>
  <c r="G359" i="5"/>
  <c r="H357" i="5"/>
  <c r="H358" i="5"/>
  <c r="H359" i="5"/>
  <c r="I357" i="5"/>
  <c r="M357" i="3" s="1"/>
  <c r="N357" i="3" s="1"/>
  <c r="K357" i="3" s="1"/>
  <c r="I358" i="5"/>
  <c r="M358" i="3" s="1"/>
  <c r="N358" i="3" s="1"/>
  <c r="K358" i="3" s="1"/>
  <c r="I359" i="5"/>
  <c r="M359" i="3" s="1"/>
  <c r="N359" i="3" s="1"/>
  <c r="K359" i="3" s="1"/>
  <c r="D352" i="5"/>
  <c r="E352" i="5"/>
  <c r="G352" i="5"/>
  <c r="H352" i="5"/>
  <c r="I352" i="5"/>
  <c r="M352" i="3" s="1"/>
  <c r="N352" i="3" s="1"/>
  <c r="D346" i="5"/>
  <c r="D347" i="5"/>
  <c r="D348" i="5"/>
  <c r="D349" i="5"/>
  <c r="E346" i="5"/>
  <c r="E347" i="5"/>
  <c r="E348" i="5"/>
  <c r="E349" i="5"/>
  <c r="G346" i="5"/>
  <c r="G347" i="5"/>
  <c r="G348" i="5"/>
  <c r="G349" i="5"/>
  <c r="H346" i="5"/>
  <c r="H347" i="5"/>
  <c r="H348" i="5"/>
  <c r="H349" i="5"/>
  <c r="I346" i="5"/>
  <c r="M346" i="3" s="1"/>
  <c r="N346" i="3" s="1"/>
  <c r="K346" i="3" s="1"/>
  <c r="I347" i="5"/>
  <c r="M347" i="3" s="1"/>
  <c r="N347" i="3" s="1"/>
  <c r="I348" i="5"/>
  <c r="M348" i="3" s="1"/>
  <c r="N348" i="3" s="1"/>
  <c r="K348" i="3" s="1"/>
  <c r="I349" i="5"/>
  <c r="M349" i="3" s="1"/>
  <c r="N349" i="3" s="1"/>
  <c r="D342" i="5"/>
  <c r="D343" i="5"/>
  <c r="E342" i="5"/>
  <c r="E343" i="5"/>
  <c r="G342" i="5"/>
  <c r="G343" i="5"/>
  <c r="H342" i="5"/>
  <c r="H343" i="5"/>
  <c r="I342" i="5"/>
  <c r="M342" i="3" s="1"/>
  <c r="N342" i="3" s="1"/>
  <c r="I343" i="5"/>
  <c r="M343" i="3" s="1"/>
  <c r="N343" i="3" s="1"/>
  <c r="D331" i="5"/>
  <c r="D332" i="5"/>
  <c r="D333" i="5"/>
  <c r="D334" i="5"/>
  <c r="D335" i="5"/>
  <c r="D336" i="5"/>
  <c r="D337" i="5"/>
  <c r="D338" i="5"/>
  <c r="D339" i="5"/>
  <c r="D340" i="5"/>
  <c r="E331" i="5"/>
  <c r="E332" i="5"/>
  <c r="E333" i="5"/>
  <c r="E334" i="5"/>
  <c r="E335" i="5"/>
  <c r="E336" i="5"/>
  <c r="E337" i="5"/>
  <c r="E338" i="5"/>
  <c r="E339" i="5"/>
  <c r="E340" i="5"/>
  <c r="G331" i="5"/>
  <c r="G332" i="5"/>
  <c r="G333" i="5"/>
  <c r="G334" i="5"/>
  <c r="G335" i="5"/>
  <c r="G336" i="5"/>
  <c r="G337" i="5"/>
  <c r="G338" i="5"/>
  <c r="G339" i="5"/>
  <c r="G340" i="5"/>
  <c r="H331" i="5"/>
  <c r="H332" i="5"/>
  <c r="H333" i="5"/>
  <c r="H334" i="5"/>
  <c r="H335" i="5"/>
  <c r="H336" i="5"/>
  <c r="H337" i="5"/>
  <c r="H338" i="5"/>
  <c r="H339" i="5"/>
  <c r="H340" i="5"/>
  <c r="I331" i="5"/>
  <c r="I332" i="5"/>
  <c r="M332" i="3" s="1"/>
  <c r="N332" i="3" s="1"/>
  <c r="I333" i="5"/>
  <c r="M333" i="3" s="1"/>
  <c r="N333" i="3" s="1"/>
  <c r="K333" i="3" s="1"/>
  <c r="I334" i="5"/>
  <c r="M334" i="3" s="1"/>
  <c r="N334" i="3" s="1"/>
  <c r="K334" i="3" s="1"/>
  <c r="I335" i="5"/>
  <c r="M335" i="3" s="1"/>
  <c r="N335" i="3" s="1"/>
  <c r="I336" i="5"/>
  <c r="M336" i="3" s="1"/>
  <c r="N336" i="3" s="1"/>
  <c r="K336" i="3" s="1"/>
  <c r="I337" i="5"/>
  <c r="M337" i="3" s="1"/>
  <c r="N337" i="3" s="1"/>
  <c r="I338" i="5"/>
  <c r="M338" i="3" s="1"/>
  <c r="N338" i="3" s="1"/>
  <c r="I339" i="5"/>
  <c r="M339" i="3" s="1"/>
  <c r="N339" i="3" s="1"/>
  <c r="I340" i="5"/>
  <c r="M340" i="3" s="1"/>
  <c r="N340" i="3" s="1"/>
  <c r="D329" i="5"/>
  <c r="E329" i="5"/>
  <c r="G329" i="5"/>
  <c r="H329" i="5"/>
  <c r="I329" i="5"/>
  <c r="M329" i="3" s="1"/>
  <c r="N329" i="3" s="1"/>
  <c r="K329" i="3" s="1"/>
  <c r="E329" i="3"/>
  <c r="F329" i="5" s="1"/>
  <c r="E330" i="3"/>
  <c r="F330" i="5" s="1"/>
  <c r="E331" i="3"/>
  <c r="F331" i="5" s="1"/>
  <c r="E332" i="3"/>
  <c r="F332" i="5" s="1"/>
  <c r="E333" i="3"/>
  <c r="F333" i="5" s="1"/>
  <c r="E334" i="3"/>
  <c r="F334" i="5" s="1"/>
  <c r="E335" i="3"/>
  <c r="F335" i="5" s="1"/>
  <c r="E336" i="3"/>
  <c r="F336" i="5" s="1"/>
  <c r="E337" i="3"/>
  <c r="F337" i="5" s="1"/>
  <c r="E338" i="3"/>
  <c r="F338" i="5" s="1"/>
  <c r="E339" i="3"/>
  <c r="F339" i="5" s="1"/>
  <c r="E340" i="3"/>
  <c r="F340" i="5" s="1"/>
  <c r="E341" i="3"/>
  <c r="F341" i="5" s="1"/>
  <c r="E342" i="3"/>
  <c r="F342" i="5" s="1"/>
  <c r="E343" i="3"/>
  <c r="F343" i="5" s="1"/>
  <c r="E344" i="3"/>
  <c r="F344" i="5" s="1"/>
  <c r="E345" i="3"/>
  <c r="F345" i="5" s="1"/>
  <c r="E346" i="3"/>
  <c r="F346" i="5" s="1"/>
  <c r="E347" i="3"/>
  <c r="F347" i="5" s="1"/>
  <c r="E348" i="3"/>
  <c r="F348" i="5" s="1"/>
  <c r="E349" i="3"/>
  <c r="F349" i="5" s="1"/>
  <c r="E350" i="3"/>
  <c r="F350" i="5" s="1"/>
  <c r="E351" i="3"/>
  <c r="F351" i="5" s="1"/>
  <c r="E352" i="3"/>
  <c r="F352" i="5" s="1"/>
  <c r="E353" i="3"/>
  <c r="F353" i="5" s="1"/>
  <c r="E354" i="3"/>
  <c r="F354" i="5" s="1"/>
  <c r="E355" i="3"/>
  <c r="F355" i="5" s="1"/>
  <c r="E356" i="3"/>
  <c r="F356" i="5" s="1"/>
  <c r="E357" i="3"/>
  <c r="F357" i="5" s="1"/>
  <c r="E358" i="3"/>
  <c r="F358" i="5" s="1"/>
  <c r="E359" i="3"/>
  <c r="F359" i="5" s="1"/>
  <c r="E360" i="3"/>
  <c r="F360" i="5" s="1"/>
  <c r="E361" i="3"/>
  <c r="F361" i="5" s="1"/>
  <c r="E362" i="3"/>
  <c r="F362" i="5" s="1"/>
  <c r="E363" i="3"/>
  <c r="F363" i="5" s="1"/>
  <c r="E364" i="3"/>
  <c r="F364" i="5" s="1"/>
  <c r="E365" i="3"/>
  <c r="F365" i="5" s="1"/>
  <c r="E366" i="3"/>
  <c r="F366" i="5" s="1"/>
  <c r="E367" i="3"/>
  <c r="F367" i="5" s="1"/>
  <c r="E368" i="3"/>
  <c r="F368" i="5" s="1"/>
  <c r="E369" i="3"/>
  <c r="F369" i="5" s="1"/>
  <c r="E370" i="3"/>
  <c r="F370" i="5" s="1"/>
  <c r="E371" i="3"/>
  <c r="F371" i="5" s="1"/>
  <c r="E372" i="3"/>
  <c r="F372" i="5" s="1"/>
  <c r="E373" i="3"/>
  <c r="F373" i="5" s="1"/>
  <c r="E374" i="3"/>
  <c r="F374" i="5" s="1"/>
  <c r="I329" i="3"/>
  <c r="J329" i="3" s="1"/>
  <c r="I330" i="3"/>
  <c r="I331" i="3"/>
  <c r="J331" i="3" s="1"/>
  <c r="I332" i="3"/>
  <c r="J332" i="3" s="1"/>
  <c r="I333" i="3"/>
  <c r="J333" i="3" s="1"/>
  <c r="I334" i="3"/>
  <c r="J334" i="3" s="1"/>
  <c r="I335" i="3"/>
  <c r="J335" i="3" s="1"/>
  <c r="I336" i="3"/>
  <c r="J336" i="3" s="1"/>
  <c r="I337" i="3"/>
  <c r="J337" i="3" s="1"/>
  <c r="I338" i="3"/>
  <c r="J338" i="3" s="1"/>
  <c r="I339" i="3"/>
  <c r="I340" i="3"/>
  <c r="I341" i="3"/>
  <c r="J341" i="3" s="1"/>
  <c r="I342" i="3"/>
  <c r="I343" i="3"/>
  <c r="J343" i="3" s="1"/>
  <c r="I344" i="3"/>
  <c r="J344" i="3" s="1"/>
  <c r="I345" i="3"/>
  <c r="J345" i="3" s="1"/>
  <c r="I346" i="3"/>
  <c r="J346" i="3" s="1"/>
  <c r="I347" i="3"/>
  <c r="J347" i="3" s="1"/>
  <c r="I348" i="3"/>
  <c r="J348" i="3" s="1"/>
  <c r="I349" i="3"/>
  <c r="I350" i="3"/>
  <c r="J350" i="3" s="1"/>
  <c r="I351" i="3"/>
  <c r="I352" i="3"/>
  <c r="I353" i="3"/>
  <c r="J353" i="3" s="1"/>
  <c r="I354" i="3"/>
  <c r="I355" i="3"/>
  <c r="J355" i="3" s="1"/>
  <c r="I356" i="3"/>
  <c r="J356" i="3" s="1"/>
  <c r="I357" i="3"/>
  <c r="J357" i="3" s="1"/>
  <c r="I358" i="3"/>
  <c r="J358" i="3" s="1"/>
  <c r="I359" i="3"/>
  <c r="J359" i="3" s="1"/>
  <c r="I360" i="3"/>
  <c r="J360" i="3" s="1"/>
  <c r="I361" i="3"/>
  <c r="I362" i="3"/>
  <c r="I363" i="3"/>
  <c r="I364" i="3"/>
  <c r="I365" i="3"/>
  <c r="J365" i="3" s="1"/>
  <c r="I366" i="3"/>
  <c r="J366" i="3" s="1"/>
  <c r="I367" i="3"/>
  <c r="J367" i="3" s="1"/>
  <c r="I368" i="3"/>
  <c r="J368" i="3" s="1"/>
  <c r="I369" i="3"/>
  <c r="J369" i="3" s="1"/>
  <c r="I370" i="3"/>
  <c r="J370" i="3" s="1"/>
  <c r="I371" i="3"/>
  <c r="J371" i="3" s="1"/>
  <c r="I372" i="3"/>
  <c r="J372" i="3" s="1"/>
  <c r="I373" i="3"/>
  <c r="J373" i="3" s="1"/>
  <c r="I374" i="3"/>
  <c r="J374" i="3" s="1"/>
  <c r="M330" i="3"/>
  <c r="N330" i="3" s="1"/>
  <c r="M331" i="3"/>
  <c r="N331" i="3" s="1"/>
  <c r="M341" i="3"/>
  <c r="N341" i="3" s="1"/>
  <c r="M344" i="3"/>
  <c r="N344" i="3" s="1"/>
  <c r="M345" i="3"/>
  <c r="N345" i="3" s="1"/>
  <c r="M350" i="3"/>
  <c r="N350" i="3" s="1"/>
  <c r="M351" i="3"/>
  <c r="N351" i="3" s="1"/>
  <c r="M353" i="3"/>
  <c r="N353" i="3" s="1"/>
  <c r="M354" i="3"/>
  <c r="N354" i="3" s="1"/>
  <c r="M355" i="3"/>
  <c r="N355" i="3" s="1"/>
  <c r="M356" i="3"/>
  <c r="N356" i="3" s="1"/>
  <c r="M360" i="3"/>
  <c r="N360" i="3" s="1"/>
  <c r="M364" i="3"/>
  <c r="N364" i="3" s="1"/>
  <c r="M366" i="3"/>
  <c r="N366" i="3" s="1"/>
  <c r="M368" i="3"/>
  <c r="N368" i="3" s="1"/>
  <c r="M369" i="3"/>
  <c r="N369" i="3" s="1"/>
  <c r="E328" i="3"/>
  <c r="F328" i="5" s="1"/>
  <c r="I328" i="3"/>
  <c r="J328" i="3" s="1"/>
  <c r="D328" i="5"/>
  <c r="E328" i="5"/>
  <c r="G328" i="5"/>
  <c r="H328" i="5"/>
  <c r="I328" i="5"/>
  <c r="M328" i="3" s="1"/>
  <c r="N328" i="3" s="1"/>
  <c r="K328" i="3" s="1"/>
  <c r="D88" i="5"/>
  <c r="E88" i="5"/>
  <c r="G88" i="5"/>
  <c r="H88" i="5"/>
  <c r="I88" i="5"/>
  <c r="D109" i="5"/>
  <c r="E109" i="5"/>
  <c r="G109" i="5"/>
  <c r="H109" i="5"/>
  <c r="I109" i="5"/>
  <c r="K366" i="3" l="1"/>
  <c r="L366" i="3" s="1"/>
  <c r="K345" i="3"/>
  <c r="L345" i="3" s="1"/>
  <c r="K369" i="3"/>
  <c r="L369" i="3" s="1"/>
  <c r="L357" i="3"/>
  <c r="K350" i="3"/>
  <c r="L350" i="3" s="1"/>
  <c r="K353" i="3"/>
  <c r="L353" i="3" s="1"/>
  <c r="K360" i="3"/>
  <c r="L360" i="3" s="1"/>
  <c r="K335" i="3"/>
  <c r="L335" i="3" s="1"/>
  <c r="K371" i="3"/>
  <c r="L371" i="3" s="1"/>
  <c r="K347" i="3"/>
  <c r="L347" i="3" s="1"/>
  <c r="K374" i="3"/>
  <c r="L374" i="3" s="1"/>
  <c r="K368" i="3"/>
  <c r="L368" i="3" s="1"/>
  <c r="K356" i="3"/>
  <c r="L356" i="3" s="1"/>
  <c r="K344" i="3"/>
  <c r="L344" i="3" s="1"/>
  <c r="K332" i="3"/>
  <c r="L332" i="3" s="1"/>
  <c r="L365" i="3"/>
  <c r="L367" i="3"/>
  <c r="K340" i="3"/>
  <c r="L340" i="3" s="1"/>
  <c r="L359" i="3"/>
  <c r="L358" i="3"/>
  <c r="K373" i="3"/>
  <c r="L373" i="3" s="1"/>
  <c r="K337" i="3"/>
  <c r="L337" i="3" s="1"/>
  <c r="J349" i="3"/>
  <c r="K349" i="3" s="1"/>
  <c r="L349" i="3" s="1"/>
  <c r="L370" i="3"/>
  <c r="L336" i="3"/>
  <c r="L328" i="3"/>
  <c r="L372" i="3"/>
  <c r="L334" i="3"/>
  <c r="J362" i="3"/>
  <c r="K362" i="3" s="1"/>
  <c r="L362" i="3" s="1"/>
  <c r="K338" i="3"/>
  <c r="L338" i="3" s="1"/>
  <c r="L348" i="3"/>
  <c r="L333" i="3"/>
  <c r="J361" i="3"/>
  <c r="K361" i="3" s="1"/>
  <c r="L361" i="3" s="1"/>
  <c r="K355" i="3"/>
  <c r="L355" i="3" s="1"/>
  <c r="K343" i="3"/>
  <c r="L343" i="3" s="1"/>
  <c r="K331" i="3"/>
  <c r="L331" i="3" s="1"/>
  <c r="K342" i="3"/>
  <c r="L342" i="3" s="1"/>
  <c r="L346" i="3"/>
  <c r="K341" i="3"/>
  <c r="L341" i="3" s="1"/>
  <c r="L329" i="3"/>
  <c r="J354" i="3"/>
  <c r="K354" i="3" s="1"/>
  <c r="L354" i="3" s="1"/>
  <c r="J342" i="3"/>
  <c r="J330" i="3"/>
  <c r="K330" i="3" s="1"/>
  <c r="L330" i="3" s="1"/>
  <c r="J364" i="3"/>
  <c r="K364" i="3" s="1"/>
  <c r="L364" i="3" s="1"/>
  <c r="J352" i="3"/>
  <c r="K352" i="3" s="1"/>
  <c r="L352" i="3" s="1"/>
  <c r="J340" i="3"/>
  <c r="J363" i="3"/>
  <c r="K363" i="3" s="1"/>
  <c r="L363" i="3" s="1"/>
  <c r="J351" i="3"/>
  <c r="K351" i="3" s="1"/>
  <c r="L351" i="3" s="1"/>
  <c r="J339" i="3"/>
  <c r="K339" i="3" s="1"/>
  <c r="L339" i="3" s="1"/>
  <c r="D107" i="5"/>
  <c r="E107" i="5"/>
  <c r="G107" i="5"/>
  <c r="H107" i="5"/>
  <c r="I107" i="5"/>
  <c r="D56" i="5"/>
  <c r="E56" i="5"/>
  <c r="G56" i="5"/>
  <c r="H56" i="5"/>
  <c r="I56" i="5"/>
  <c r="D55" i="5"/>
  <c r="E55" i="5"/>
  <c r="G55" i="5"/>
  <c r="H55" i="5"/>
  <c r="I55" i="5"/>
  <c r="D120" i="5" l="1"/>
  <c r="E120" i="5"/>
  <c r="G120" i="5"/>
  <c r="H120" i="5"/>
  <c r="I120" i="5"/>
  <c r="D327" i="5"/>
  <c r="E327" i="5"/>
  <c r="G327" i="5"/>
  <c r="H327" i="5"/>
  <c r="I327" i="5"/>
  <c r="D326" i="5"/>
  <c r="E326" i="5"/>
  <c r="G326" i="5"/>
  <c r="H326" i="5"/>
  <c r="I326" i="5"/>
  <c r="D323" i="5"/>
  <c r="E323" i="5"/>
  <c r="G323" i="5"/>
  <c r="H323" i="5"/>
  <c r="I323" i="5"/>
  <c r="D322" i="5"/>
  <c r="E322" i="5"/>
  <c r="G322" i="5"/>
  <c r="H322" i="5"/>
  <c r="I322" i="5"/>
  <c r="F150" i="2"/>
  <c r="F149" i="2"/>
  <c r="D320" i="5" l="1"/>
  <c r="E320" i="5"/>
  <c r="G320" i="5"/>
  <c r="H320" i="5"/>
  <c r="I320" i="5"/>
  <c r="M320" i="3" s="1"/>
  <c r="N320" i="3" s="1"/>
  <c r="K320" i="3" s="1"/>
  <c r="D186" i="5"/>
  <c r="E186" i="5"/>
  <c r="G186" i="5"/>
  <c r="H186" i="5"/>
  <c r="I186" i="5"/>
  <c r="E313" i="3"/>
  <c r="F313" i="5" s="1"/>
  <c r="E314" i="3"/>
  <c r="F314" i="5" s="1"/>
  <c r="E315" i="3"/>
  <c r="F315" i="5" s="1"/>
  <c r="E316" i="3"/>
  <c r="F316" i="5" s="1"/>
  <c r="E317" i="3"/>
  <c r="F317" i="5" s="1"/>
  <c r="E318" i="3"/>
  <c r="F318" i="5" s="1"/>
  <c r="E319" i="3"/>
  <c r="F319" i="5" s="1"/>
  <c r="E320" i="3"/>
  <c r="F320" i="5" s="1"/>
  <c r="E321" i="3"/>
  <c r="F321" i="5" s="1"/>
  <c r="E322" i="3"/>
  <c r="F322" i="5" s="1"/>
  <c r="E323" i="3"/>
  <c r="F323" i="5" s="1"/>
  <c r="E324" i="3"/>
  <c r="F324" i="5" s="1"/>
  <c r="E325" i="3"/>
  <c r="F325" i="5" s="1"/>
  <c r="E326" i="3"/>
  <c r="F326" i="5" s="1"/>
  <c r="E327" i="3"/>
  <c r="F327" i="5" s="1"/>
  <c r="I313" i="3"/>
  <c r="I314" i="3"/>
  <c r="J314" i="3" s="1"/>
  <c r="I315" i="3"/>
  <c r="J315" i="3" s="1"/>
  <c r="I316" i="3"/>
  <c r="J316" i="3" s="1"/>
  <c r="I317" i="3"/>
  <c r="I318" i="3"/>
  <c r="J318" i="3" s="1"/>
  <c r="I319" i="3"/>
  <c r="J319" i="3" s="1"/>
  <c r="I320" i="3"/>
  <c r="J320" i="3" s="1"/>
  <c r="I321" i="3"/>
  <c r="J321" i="3" s="1"/>
  <c r="I322" i="3"/>
  <c r="I323" i="3"/>
  <c r="J323" i="3" s="1"/>
  <c r="I324" i="3"/>
  <c r="J324" i="3" s="1"/>
  <c r="I325" i="3"/>
  <c r="I326" i="3"/>
  <c r="J326" i="3" s="1"/>
  <c r="I327" i="3"/>
  <c r="J327" i="3" s="1"/>
  <c r="M313" i="3"/>
  <c r="N313" i="3" s="1"/>
  <c r="M314" i="3"/>
  <c r="N314" i="3" s="1"/>
  <c r="M315" i="3"/>
  <c r="N315" i="3" s="1"/>
  <c r="M316" i="3"/>
  <c r="N316" i="3" s="1"/>
  <c r="K316" i="3" s="1"/>
  <c r="M318" i="3"/>
  <c r="N318" i="3" s="1"/>
  <c r="M319" i="3"/>
  <c r="N319" i="3" s="1"/>
  <c r="M321" i="3"/>
  <c r="N321" i="3" s="1"/>
  <c r="M322" i="3"/>
  <c r="N322" i="3" s="1"/>
  <c r="M323" i="3"/>
  <c r="N323" i="3" s="1"/>
  <c r="K323" i="3" s="1"/>
  <c r="M324" i="3"/>
  <c r="N324" i="3" s="1"/>
  <c r="M325" i="3"/>
  <c r="N325" i="3" s="1"/>
  <c r="M326" i="3"/>
  <c r="N326" i="3" s="1"/>
  <c r="K326" i="3" s="1"/>
  <c r="M327" i="3"/>
  <c r="N327" i="3" s="1"/>
  <c r="K327" i="3" s="1"/>
  <c r="D317" i="5"/>
  <c r="E317" i="5"/>
  <c r="G317" i="5"/>
  <c r="H317" i="5"/>
  <c r="I317" i="5"/>
  <c r="M317" i="3" s="1"/>
  <c r="N317" i="3" s="1"/>
  <c r="D267" i="5"/>
  <c r="E267" i="5"/>
  <c r="G267" i="5"/>
  <c r="H267" i="5"/>
  <c r="I267" i="5"/>
  <c r="D179" i="5"/>
  <c r="E179" i="5"/>
  <c r="G179" i="5"/>
  <c r="H179" i="5"/>
  <c r="I179" i="5"/>
  <c r="D151" i="5"/>
  <c r="E151" i="5"/>
  <c r="G151" i="5"/>
  <c r="H151" i="5"/>
  <c r="I151" i="5"/>
  <c r="D78" i="5"/>
  <c r="E78" i="5"/>
  <c r="G78" i="5"/>
  <c r="H78" i="5"/>
  <c r="I78" i="5"/>
  <c r="D73" i="5"/>
  <c r="E73" i="5"/>
  <c r="G73" i="5"/>
  <c r="H73" i="5"/>
  <c r="I73" i="5"/>
  <c r="D68" i="5"/>
  <c r="E68" i="5"/>
  <c r="G68" i="5"/>
  <c r="H68" i="5"/>
  <c r="I68" i="5"/>
  <c r="D59" i="5"/>
  <c r="E59" i="5"/>
  <c r="G59" i="5"/>
  <c r="H59" i="5"/>
  <c r="I59" i="5"/>
  <c r="K314" i="3" l="1"/>
  <c r="L314" i="3" s="1"/>
  <c r="K318" i="3"/>
  <c r="L318" i="3" s="1"/>
  <c r="K324" i="3"/>
  <c r="L324" i="3" s="1"/>
  <c r="K321" i="3"/>
  <c r="L321" i="3" s="1"/>
  <c r="K319" i="3"/>
  <c r="L319" i="3" s="1"/>
  <c r="L316" i="3"/>
  <c r="K315" i="3"/>
  <c r="L315" i="3" s="1"/>
  <c r="J322" i="3"/>
  <c r="L327" i="3"/>
  <c r="L326" i="3"/>
  <c r="J317" i="3"/>
  <c r="K317" i="3" s="1"/>
  <c r="L317" i="3" s="1"/>
  <c r="K322" i="3"/>
  <c r="L322" i="3" s="1"/>
  <c r="L323" i="3"/>
  <c r="L320" i="3"/>
  <c r="J325" i="3"/>
  <c r="K325" i="3" s="1"/>
  <c r="L325" i="3" s="1"/>
  <c r="J313" i="3"/>
  <c r="K313" i="3" s="1"/>
  <c r="L313" i="3" s="1"/>
  <c r="D58" i="5"/>
  <c r="E58" i="5"/>
  <c r="G58" i="5"/>
  <c r="H58" i="5"/>
  <c r="I58" i="5"/>
  <c r="D205" i="5"/>
  <c r="E205" i="5"/>
  <c r="G205" i="5"/>
  <c r="H205" i="5"/>
  <c r="I205" i="5"/>
  <c r="D89" i="5"/>
  <c r="E89" i="5"/>
  <c r="G89" i="5"/>
  <c r="H89" i="5"/>
  <c r="I89" i="5"/>
  <c r="D124" i="5"/>
  <c r="E124" i="5"/>
  <c r="G124" i="5"/>
  <c r="H124" i="5"/>
  <c r="I124" i="5"/>
  <c r="D57" i="5"/>
  <c r="E57" i="5"/>
  <c r="G57" i="5"/>
  <c r="H57" i="5"/>
  <c r="I57" i="5"/>
  <c r="D39" i="5"/>
  <c r="E39" i="5"/>
  <c r="G39" i="5"/>
  <c r="H39" i="5"/>
  <c r="I39" i="5"/>
  <c r="D38" i="5"/>
  <c r="E38" i="5"/>
  <c r="G38" i="5"/>
  <c r="H38" i="5"/>
  <c r="I38" i="5"/>
  <c r="D105" i="5"/>
  <c r="E105" i="5"/>
  <c r="G105" i="5"/>
  <c r="H105" i="5"/>
  <c r="I105" i="5"/>
  <c r="D190" i="5"/>
  <c r="E190" i="5"/>
  <c r="G190" i="5"/>
  <c r="H190" i="5"/>
  <c r="I190" i="5"/>
  <c r="D191" i="5" l="1"/>
  <c r="E191" i="5"/>
  <c r="G191" i="5"/>
  <c r="H191" i="5"/>
  <c r="I191" i="5"/>
  <c r="D173" i="5"/>
  <c r="E173" i="5"/>
  <c r="G173" i="5"/>
  <c r="H173" i="5"/>
  <c r="I173" i="5"/>
  <c r="D171" i="5"/>
  <c r="E171" i="5"/>
  <c r="G171" i="5"/>
  <c r="H171" i="5"/>
  <c r="I171" i="5"/>
  <c r="D54" i="5"/>
  <c r="E54" i="5"/>
  <c r="G54" i="5"/>
  <c r="H54" i="5"/>
  <c r="I54" i="5"/>
  <c r="D193" i="5"/>
  <c r="E193" i="5"/>
  <c r="G193" i="5"/>
  <c r="H193" i="5"/>
  <c r="I193" i="5"/>
  <c r="D192" i="5" l="1"/>
  <c r="E192" i="5"/>
  <c r="G192" i="5"/>
  <c r="H192" i="5"/>
  <c r="I192" i="5"/>
  <c r="D46" i="5"/>
  <c r="E46" i="5"/>
  <c r="G46" i="5"/>
  <c r="H46" i="5"/>
  <c r="I46" i="5"/>
  <c r="D40" i="5"/>
  <c r="E40" i="5"/>
  <c r="G40" i="5"/>
  <c r="H40" i="5"/>
  <c r="I40" i="5"/>
  <c r="D145" i="5"/>
  <c r="E145" i="5"/>
  <c r="G145" i="5"/>
  <c r="H145" i="5"/>
  <c r="I145" i="5"/>
  <c r="D37" i="5"/>
  <c r="E37" i="5"/>
  <c r="G37" i="5"/>
  <c r="H37" i="5"/>
  <c r="I37" i="5"/>
  <c r="D36" i="5"/>
  <c r="E36" i="5"/>
  <c r="G36" i="5"/>
  <c r="H36" i="5"/>
  <c r="I36" i="5"/>
  <c r="D27" i="5"/>
  <c r="E27" i="5"/>
  <c r="G27" i="5"/>
  <c r="H27" i="5"/>
  <c r="I27" i="5"/>
  <c r="D26" i="5"/>
  <c r="E26" i="5"/>
  <c r="G26" i="5"/>
  <c r="H26" i="5"/>
  <c r="I26" i="5"/>
  <c r="D25" i="5"/>
  <c r="E25" i="5"/>
  <c r="G25" i="5"/>
  <c r="H25" i="5"/>
  <c r="I25" i="5"/>
  <c r="D127" i="5"/>
  <c r="D128" i="5"/>
  <c r="E127" i="5"/>
  <c r="E128" i="5"/>
  <c r="G127" i="5"/>
  <c r="G128" i="5"/>
  <c r="H127" i="5"/>
  <c r="H128" i="5"/>
  <c r="I127" i="5"/>
  <c r="I128" i="5"/>
  <c r="D126" i="5"/>
  <c r="E126" i="5"/>
  <c r="G126" i="5"/>
  <c r="H126" i="5"/>
  <c r="I126" i="5"/>
  <c r="D123" i="5"/>
  <c r="E123" i="5"/>
  <c r="G123" i="5"/>
  <c r="H123" i="5"/>
  <c r="I123" i="5"/>
  <c r="D122" i="5"/>
  <c r="E122" i="5"/>
  <c r="G122" i="5"/>
  <c r="H122" i="5"/>
  <c r="I122" i="5"/>
  <c r="D119" i="5"/>
  <c r="E119" i="5"/>
  <c r="G119" i="5"/>
  <c r="H119" i="5"/>
  <c r="I119" i="5"/>
  <c r="D118" i="5"/>
  <c r="E118" i="5"/>
  <c r="G118" i="5"/>
  <c r="H118" i="5"/>
  <c r="I118" i="5"/>
  <c r="D116" i="5"/>
  <c r="E116" i="5"/>
  <c r="G116" i="5"/>
  <c r="H116" i="5"/>
  <c r="I116" i="5"/>
  <c r="D115" i="5"/>
  <c r="E115" i="5"/>
  <c r="G115" i="5"/>
  <c r="H115" i="5"/>
  <c r="I115" i="5"/>
  <c r="D112" i="5"/>
  <c r="D113" i="5"/>
  <c r="E112" i="5"/>
  <c r="E113" i="5"/>
  <c r="G112" i="5"/>
  <c r="G113" i="5"/>
  <c r="H112" i="5"/>
  <c r="H113" i="5"/>
  <c r="I112" i="5"/>
  <c r="I113" i="5"/>
  <c r="D111" i="5"/>
  <c r="E111" i="5"/>
  <c r="G111" i="5"/>
  <c r="H111" i="5"/>
  <c r="I111" i="5"/>
  <c r="D106" i="5"/>
  <c r="E106" i="5"/>
  <c r="G106" i="5"/>
  <c r="H106" i="5"/>
  <c r="I106" i="5"/>
  <c r="D91" i="5"/>
  <c r="D92" i="5"/>
  <c r="D93" i="5"/>
  <c r="D94" i="5"/>
  <c r="D95" i="5"/>
  <c r="D96" i="5"/>
  <c r="D97" i="5"/>
  <c r="D98" i="5"/>
  <c r="D99" i="5"/>
  <c r="D100" i="5"/>
  <c r="D101" i="5"/>
  <c r="E91" i="5"/>
  <c r="E92" i="5"/>
  <c r="E93" i="5"/>
  <c r="E94" i="5"/>
  <c r="E95" i="5"/>
  <c r="E96" i="5"/>
  <c r="E97" i="5"/>
  <c r="E98" i="5"/>
  <c r="E99" i="5"/>
  <c r="E100" i="5"/>
  <c r="E101" i="5"/>
  <c r="G91" i="5"/>
  <c r="G92" i="5"/>
  <c r="G93" i="5"/>
  <c r="G94" i="5"/>
  <c r="G95" i="5"/>
  <c r="G96" i="5"/>
  <c r="G97" i="5"/>
  <c r="G98" i="5"/>
  <c r="G99" i="5"/>
  <c r="G100" i="5"/>
  <c r="G101" i="5"/>
  <c r="H91" i="5"/>
  <c r="H92" i="5"/>
  <c r="H93" i="5"/>
  <c r="H94" i="5"/>
  <c r="H95" i="5"/>
  <c r="H96" i="5"/>
  <c r="H97" i="5"/>
  <c r="H98" i="5"/>
  <c r="H99" i="5"/>
  <c r="H100" i="5"/>
  <c r="H101" i="5"/>
  <c r="I91" i="5"/>
  <c r="I92" i="5"/>
  <c r="I93" i="5"/>
  <c r="I94" i="5"/>
  <c r="I95" i="5"/>
  <c r="I96" i="5"/>
  <c r="I97" i="5"/>
  <c r="I98" i="5"/>
  <c r="I99" i="5"/>
  <c r="I100" i="5"/>
  <c r="I101" i="5"/>
  <c r="D90" i="5"/>
  <c r="E90" i="5"/>
  <c r="G90" i="5"/>
  <c r="H90" i="5"/>
  <c r="I90" i="5"/>
  <c r="D85" i="5"/>
  <c r="D86" i="5"/>
  <c r="E85" i="5"/>
  <c r="E86" i="5"/>
  <c r="G85" i="5"/>
  <c r="G86" i="5"/>
  <c r="H85" i="5"/>
  <c r="H86" i="5"/>
  <c r="I85" i="5"/>
  <c r="I86" i="5"/>
  <c r="D84" i="5"/>
  <c r="E84" i="5"/>
  <c r="G84" i="5"/>
  <c r="H84" i="5"/>
  <c r="I84" i="5"/>
  <c r="D83" i="5"/>
  <c r="E83" i="5"/>
  <c r="G83" i="5"/>
  <c r="H83" i="5"/>
  <c r="I83" i="5"/>
  <c r="D82" i="5"/>
  <c r="E82" i="5"/>
  <c r="G82" i="5"/>
  <c r="H82" i="5"/>
  <c r="I82" i="5"/>
  <c r="D80" i="5"/>
  <c r="E80" i="5"/>
  <c r="G80" i="5"/>
  <c r="H80" i="5"/>
  <c r="I80" i="5"/>
  <c r="D79" i="5"/>
  <c r="E79" i="5"/>
  <c r="G79" i="5"/>
  <c r="H79" i="5"/>
  <c r="I79" i="5"/>
  <c r="D75" i="5"/>
  <c r="D76" i="5"/>
  <c r="D77" i="5"/>
  <c r="E75" i="5"/>
  <c r="E76" i="5"/>
  <c r="E77" i="5"/>
  <c r="G75" i="5"/>
  <c r="G76" i="5"/>
  <c r="G77" i="5"/>
  <c r="H75" i="5"/>
  <c r="H76" i="5"/>
  <c r="H77" i="5"/>
  <c r="I75" i="5"/>
  <c r="I76" i="5"/>
  <c r="I77" i="5"/>
  <c r="D74" i="5"/>
  <c r="E74" i="5"/>
  <c r="G74" i="5"/>
  <c r="H74" i="5"/>
  <c r="I74" i="5"/>
  <c r="D70" i="5"/>
  <c r="D71" i="5"/>
  <c r="D72" i="5"/>
  <c r="E70" i="5"/>
  <c r="E71" i="5"/>
  <c r="E72" i="5"/>
  <c r="G70" i="5"/>
  <c r="G71" i="5"/>
  <c r="G72" i="5"/>
  <c r="H70" i="5"/>
  <c r="H71" i="5"/>
  <c r="H72" i="5"/>
  <c r="I70" i="5"/>
  <c r="I71" i="5"/>
  <c r="I72" i="5"/>
  <c r="D69" i="5"/>
  <c r="E69" i="5"/>
  <c r="G69" i="5"/>
  <c r="H69" i="5"/>
  <c r="I69" i="5"/>
  <c r="D61" i="5"/>
  <c r="D62" i="5"/>
  <c r="D63" i="5"/>
  <c r="D64" i="5"/>
  <c r="D65" i="5"/>
  <c r="D66" i="5"/>
  <c r="D67" i="5"/>
  <c r="E61" i="5"/>
  <c r="E62" i="5"/>
  <c r="E63" i="5"/>
  <c r="E64" i="5"/>
  <c r="E65" i="5"/>
  <c r="E66" i="5"/>
  <c r="E67" i="5"/>
  <c r="G61" i="5"/>
  <c r="G62" i="5"/>
  <c r="G63" i="5"/>
  <c r="G64" i="5"/>
  <c r="G65" i="5"/>
  <c r="G66" i="5"/>
  <c r="G67" i="5"/>
  <c r="H61" i="5"/>
  <c r="H62" i="5"/>
  <c r="H63" i="5"/>
  <c r="H64" i="5"/>
  <c r="H65" i="5"/>
  <c r="H66" i="5"/>
  <c r="H67" i="5"/>
  <c r="I61" i="5"/>
  <c r="I62" i="5"/>
  <c r="I63" i="5"/>
  <c r="I64" i="5"/>
  <c r="I65" i="5"/>
  <c r="I66" i="5"/>
  <c r="I67" i="5"/>
  <c r="F139" i="2"/>
  <c r="F140" i="2"/>
  <c r="F141" i="2"/>
  <c r="F142" i="2"/>
  <c r="F143" i="2"/>
  <c r="F144" i="2"/>
  <c r="F145" i="2"/>
  <c r="F146" i="2"/>
  <c r="F147" i="2"/>
  <c r="F148" i="2"/>
  <c r="F138" i="2"/>
  <c r="D60" i="5"/>
  <c r="E60" i="5"/>
  <c r="G60" i="5"/>
  <c r="H60" i="5"/>
  <c r="I60" i="5"/>
  <c r="D48" i="5"/>
  <c r="D49" i="5"/>
  <c r="D50" i="5"/>
  <c r="D51" i="5"/>
  <c r="D52" i="5"/>
  <c r="D53" i="5"/>
  <c r="E48" i="5"/>
  <c r="E49" i="5"/>
  <c r="E50" i="5"/>
  <c r="E51" i="5"/>
  <c r="E52" i="5"/>
  <c r="E53" i="5"/>
  <c r="G48" i="5"/>
  <c r="G49" i="5"/>
  <c r="G50" i="5"/>
  <c r="G51" i="5"/>
  <c r="G52" i="5"/>
  <c r="G53" i="5"/>
  <c r="H48" i="5"/>
  <c r="H49" i="5"/>
  <c r="H50" i="5"/>
  <c r="H51" i="5"/>
  <c r="H52" i="5"/>
  <c r="H53" i="5"/>
  <c r="I48" i="5"/>
  <c r="I49" i="5"/>
  <c r="I50" i="5"/>
  <c r="I51" i="5"/>
  <c r="I52" i="5"/>
  <c r="I53" i="5"/>
  <c r="D47" i="5"/>
  <c r="E47" i="5"/>
  <c r="G47" i="5"/>
  <c r="H47" i="5"/>
  <c r="I47" i="5"/>
  <c r="D42" i="5"/>
  <c r="D43" i="5"/>
  <c r="D44" i="5"/>
  <c r="D45" i="5"/>
  <c r="E42" i="5"/>
  <c r="E43" i="5"/>
  <c r="E44" i="5"/>
  <c r="E45" i="5"/>
  <c r="G42" i="5"/>
  <c r="G43" i="5"/>
  <c r="G44" i="5"/>
  <c r="G45" i="5"/>
  <c r="H42" i="5"/>
  <c r="H43" i="5"/>
  <c r="H44" i="5"/>
  <c r="H45" i="5"/>
  <c r="I42" i="5"/>
  <c r="I43" i="5"/>
  <c r="I44" i="5"/>
  <c r="I45" i="5"/>
  <c r="D41" i="5"/>
  <c r="E41" i="5"/>
  <c r="G41" i="5"/>
  <c r="H41" i="5"/>
  <c r="I41" i="5"/>
  <c r="M474" i="3" s="1"/>
  <c r="N474" i="3" s="1"/>
  <c r="D29" i="5"/>
  <c r="D30" i="5"/>
  <c r="D31" i="5"/>
  <c r="D32" i="5"/>
  <c r="D33" i="5"/>
  <c r="D34" i="5"/>
  <c r="D35" i="5"/>
  <c r="E29" i="5"/>
  <c r="E30" i="5"/>
  <c r="E31" i="5"/>
  <c r="E32" i="5"/>
  <c r="E33" i="5"/>
  <c r="E34" i="5"/>
  <c r="E35" i="5"/>
  <c r="G29" i="5"/>
  <c r="G30" i="5"/>
  <c r="G31" i="5"/>
  <c r="G32" i="5"/>
  <c r="G33" i="5"/>
  <c r="G34" i="5"/>
  <c r="G35" i="5"/>
  <c r="H29" i="5"/>
  <c r="H30" i="5"/>
  <c r="H31" i="5"/>
  <c r="H32" i="5"/>
  <c r="H33" i="5"/>
  <c r="H34" i="5"/>
  <c r="H35" i="5"/>
  <c r="I29" i="5"/>
  <c r="I30" i="5"/>
  <c r="I31" i="5"/>
  <c r="I32" i="5"/>
  <c r="I33" i="5"/>
  <c r="I34" i="5"/>
  <c r="I35" i="5"/>
  <c r="D28" i="5"/>
  <c r="E28" i="5"/>
  <c r="G28" i="5"/>
  <c r="H28" i="5"/>
  <c r="I28" i="5"/>
  <c r="F137" i="2"/>
  <c r="D13" i="5"/>
  <c r="D14" i="5"/>
  <c r="D15" i="5"/>
  <c r="D16" i="5"/>
  <c r="D17" i="5"/>
  <c r="D18" i="5"/>
  <c r="D19" i="5"/>
  <c r="D20" i="5"/>
  <c r="D21" i="5"/>
  <c r="D22" i="5"/>
  <c r="D23" i="5"/>
  <c r="D24" i="5"/>
  <c r="E13" i="5"/>
  <c r="E14" i="5"/>
  <c r="E15" i="5"/>
  <c r="E16" i="5"/>
  <c r="E17" i="5"/>
  <c r="E18" i="5"/>
  <c r="E19" i="5"/>
  <c r="E20" i="5"/>
  <c r="E21" i="5"/>
  <c r="E22" i="5"/>
  <c r="E23" i="5"/>
  <c r="E24" i="5"/>
  <c r="G13" i="5"/>
  <c r="G14" i="5"/>
  <c r="G15" i="5"/>
  <c r="G16" i="5"/>
  <c r="G17" i="5"/>
  <c r="G18" i="5"/>
  <c r="G19" i="5"/>
  <c r="G20" i="5"/>
  <c r="G21" i="5"/>
  <c r="G22" i="5"/>
  <c r="G23" i="5"/>
  <c r="G24" i="5"/>
  <c r="H13" i="5"/>
  <c r="H14" i="5"/>
  <c r="H15" i="5"/>
  <c r="H16" i="5"/>
  <c r="H17" i="5"/>
  <c r="H18" i="5"/>
  <c r="H19" i="5"/>
  <c r="H20" i="5"/>
  <c r="H21" i="5"/>
  <c r="H22" i="5"/>
  <c r="H23" i="5"/>
  <c r="H24" i="5"/>
  <c r="I13" i="5"/>
  <c r="I14" i="5"/>
  <c r="I15" i="5"/>
  <c r="I16" i="5"/>
  <c r="I17" i="5"/>
  <c r="I18" i="5"/>
  <c r="I19" i="5"/>
  <c r="I20" i="5"/>
  <c r="I21" i="5"/>
  <c r="I22" i="5"/>
  <c r="I23" i="5"/>
  <c r="I24" i="5"/>
  <c r="K474" i="3" l="1"/>
  <c r="L474" i="3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17" i="2"/>
  <c r="E12" i="3"/>
  <c r="E13" i="3"/>
  <c r="F13" i="5" s="1"/>
  <c r="E14" i="3"/>
  <c r="F14" i="5" s="1"/>
  <c r="E15" i="3"/>
  <c r="F15" i="5" s="1"/>
  <c r="E16" i="3"/>
  <c r="F16" i="5" s="1"/>
  <c r="E17" i="3"/>
  <c r="F17" i="5" s="1"/>
  <c r="E18" i="3"/>
  <c r="F18" i="5" s="1"/>
  <c r="E19" i="3"/>
  <c r="F19" i="5" s="1"/>
  <c r="E20" i="3"/>
  <c r="F20" i="5" s="1"/>
  <c r="E21" i="3"/>
  <c r="F21" i="5" s="1"/>
  <c r="E22" i="3"/>
  <c r="F22" i="5" s="1"/>
  <c r="E23" i="3"/>
  <c r="F23" i="5" s="1"/>
  <c r="E24" i="3"/>
  <c r="F24" i="5" s="1"/>
  <c r="E25" i="3"/>
  <c r="F25" i="5" s="1"/>
  <c r="E26" i="3"/>
  <c r="F26" i="5" s="1"/>
  <c r="E27" i="3"/>
  <c r="F27" i="5" s="1"/>
  <c r="E28" i="3"/>
  <c r="F28" i="5" s="1"/>
  <c r="E29" i="3"/>
  <c r="F29" i="5" s="1"/>
  <c r="E30" i="3"/>
  <c r="F30" i="5" s="1"/>
  <c r="E31" i="3"/>
  <c r="F31" i="5" s="1"/>
  <c r="E32" i="3"/>
  <c r="F32" i="5" s="1"/>
  <c r="E33" i="3"/>
  <c r="F33" i="5" s="1"/>
  <c r="E34" i="3"/>
  <c r="F34" i="5" s="1"/>
  <c r="E35" i="3"/>
  <c r="F35" i="5" s="1"/>
  <c r="E36" i="3"/>
  <c r="F36" i="5" s="1"/>
  <c r="E37" i="3"/>
  <c r="F37" i="5" s="1"/>
  <c r="E38" i="3"/>
  <c r="F38" i="5" s="1"/>
  <c r="E39" i="3"/>
  <c r="F39" i="5" s="1"/>
  <c r="E40" i="3"/>
  <c r="F40" i="5" s="1"/>
  <c r="E41" i="3"/>
  <c r="F41" i="5" s="1"/>
  <c r="E42" i="3"/>
  <c r="F42" i="5" s="1"/>
  <c r="E43" i="3"/>
  <c r="F43" i="5" s="1"/>
  <c r="E44" i="3"/>
  <c r="F44" i="5" s="1"/>
  <c r="E45" i="3"/>
  <c r="F45" i="5" s="1"/>
  <c r="E46" i="3"/>
  <c r="F46" i="5" s="1"/>
  <c r="E47" i="3"/>
  <c r="F47" i="5" s="1"/>
  <c r="E48" i="3"/>
  <c r="F48" i="5" s="1"/>
  <c r="E49" i="3"/>
  <c r="F49" i="5" s="1"/>
  <c r="E50" i="3"/>
  <c r="F50" i="5" s="1"/>
  <c r="E51" i="3"/>
  <c r="F51" i="5" s="1"/>
  <c r="E52" i="3"/>
  <c r="F52" i="5" s="1"/>
  <c r="I12" i="3"/>
  <c r="J12" i="3" s="1"/>
  <c r="I13" i="3"/>
  <c r="I14" i="3"/>
  <c r="J14" i="3" s="1"/>
  <c r="I15" i="3"/>
  <c r="J15" i="3" s="1"/>
  <c r="I16" i="3"/>
  <c r="I17" i="3"/>
  <c r="I18" i="3"/>
  <c r="I19" i="3"/>
  <c r="I20" i="3"/>
  <c r="J20" i="3" s="1"/>
  <c r="I21" i="3"/>
  <c r="I22" i="3"/>
  <c r="J22" i="3" s="1"/>
  <c r="I23" i="3"/>
  <c r="I24" i="3"/>
  <c r="I25" i="3"/>
  <c r="I26" i="3"/>
  <c r="J26" i="3" s="1"/>
  <c r="I27" i="3"/>
  <c r="J27" i="3" s="1"/>
  <c r="I28" i="3"/>
  <c r="I29" i="3"/>
  <c r="I30" i="3"/>
  <c r="I31" i="3"/>
  <c r="I32" i="3"/>
  <c r="I33" i="3"/>
  <c r="I34" i="3"/>
  <c r="I35" i="3"/>
  <c r="I36" i="3"/>
  <c r="I37" i="3"/>
  <c r="I38" i="3"/>
  <c r="J38" i="3" s="1"/>
  <c r="I39" i="3"/>
  <c r="J39" i="3" s="1"/>
  <c r="I40" i="3"/>
  <c r="I41" i="3"/>
  <c r="I42" i="3"/>
  <c r="I43" i="3"/>
  <c r="I44" i="3"/>
  <c r="J44" i="3" s="1"/>
  <c r="I45" i="3"/>
  <c r="J45" i="3" s="1"/>
  <c r="I46" i="3"/>
  <c r="I47" i="3"/>
  <c r="I48" i="3"/>
  <c r="I49" i="3"/>
  <c r="I50" i="3"/>
  <c r="J50" i="3" s="1"/>
  <c r="I51" i="3"/>
  <c r="J51" i="3" s="1"/>
  <c r="I52" i="3"/>
  <c r="M13" i="3"/>
  <c r="N13" i="3" s="1"/>
  <c r="M14" i="3"/>
  <c r="N14" i="3" s="1"/>
  <c r="M15" i="3"/>
  <c r="N15" i="3" s="1"/>
  <c r="M16" i="3"/>
  <c r="N16" i="3" s="1"/>
  <c r="M17" i="3"/>
  <c r="N17" i="3" s="1"/>
  <c r="M18" i="3"/>
  <c r="N18" i="3" s="1"/>
  <c r="M19" i="3"/>
  <c r="N19" i="3" s="1"/>
  <c r="M20" i="3"/>
  <c r="N20" i="3" s="1"/>
  <c r="M21" i="3"/>
  <c r="N21" i="3" s="1"/>
  <c r="M22" i="3"/>
  <c r="N22" i="3" s="1"/>
  <c r="M23" i="3"/>
  <c r="N23" i="3" s="1"/>
  <c r="M24" i="3"/>
  <c r="N24" i="3" s="1"/>
  <c r="M25" i="3"/>
  <c r="N25" i="3" s="1"/>
  <c r="M26" i="3"/>
  <c r="N26" i="3" s="1"/>
  <c r="M27" i="3"/>
  <c r="N27" i="3" s="1"/>
  <c r="M28" i="3"/>
  <c r="N28" i="3" s="1"/>
  <c r="M29" i="3"/>
  <c r="N29" i="3" s="1"/>
  <c r="M30" i="3"/>
  <c r="N30" i="3" s="1"/>
  <c r="M31" i="3"/>
  <c r="N31" i="3" s="1"/>
  <c r="M32" i="3"/>
  <c r="N32" i="3" s="1"/>
  <c r="M33" i="3"/>
  <c r="N33" i="3" s="1"/>
  <c r="M34" i="3"/>
  <c r="N34" i="3" s="1"/>
  <c r="M35" i="3"/>
  <c r="N35" i="3" s="1"/>
  <c r="M36" i="3"/>
  <c r="N36" i="3" s="1"/>
  <c r="M37" i="3"/>
  <c r="N37" i="3" s="1"/>
  <c r="M38" i="3"/>
  <c r="N38" i="3" s="1"/>
  <c r="M39" i="3"/>
  <c r="N39" i="3" s="1"/>
  <c r="M40" i="3"/>
  <c r="N40" i="3" s="1"/>
  <c r="M41" i="3"/>
  <c r="N41" i="3" s="1"/>
  <c r="M42" i="3"/>
  <c r="N42" i="3" s="1"/>
  <c r="M43" i="3"/>
  <c r="N43" i="3" s="1"/>
  <c r="M44" i="3"/>
  <c r="N44" i="3" s="1"/>
  <c r="M45" i="3"/>
  <c r="N45" i="3" s="1"/>
  <c r="M46" i="3"/>
  <c r="N46" i="3" s="1"/>
  <c r="M47" i="3"/>
  <c r="N47" i="3" s="1"/>
  <c r="M48" i="3"/>
  <c r="N48" i="3" s="1"/>
  <c r="M49" i="3"/>
  <c r="N49" i="3" s="1"/>
  <c r="M50" i="3"/>
  <c r="N50" i="3" s="1"/>
  <c r="M51" i="3"/>
  <c r="N51" i="3" s="1"/>
  <c r="M52" i="3"/>
  <c r="N52" i="3" s="1"/>
  <c r="E53" i="3"/>
  <c r="F53" i="5" s="1"/>
  <c r="E54" i="3"/>
  <c r="F54" i="5" s="1"/>
  <c r="E55" i="3"/>
  <c r="F55" i="5" s="1"/>
  <c r="E56" i="3"/>
  <c r="F56" i="5" s="1"/>
  <c r="E57" i="3"/>
  <c r="F57" i="5" s="1"/>
  <c r="E58" i="3"/>
  <c r="F58" i="5" s="1"/>
  <c r="E59" i="3"/>
  <c r="F59" i="5" s="1"/>
  <c r="E60" i="3"/>
  <c r="F60" i="5" s="1"/>
  <c r="E61" i="3"/>
  <c r="F61" i="5" s="1"/>
  <c r="E62" i="3"/>
  <c r="F62" i="5" s="1"/>
  <c r="E63" i="3"/>
  <c r="F63" i="5" s="1"/>
  <c r="E64" i="3"/>
  <c r="F64" i="5" s="1"/>
  <c r="E65" i="3"/>
  <c r="F65" i="5" s="1"/>
  <c r="E66" i="3"/>
  <c r="F66" i="5" s="1"/>
  <c r="E67" i="3"/>
  <c r="F67" i="5" s="1"/>
  <c r="E68" i="3"/>
  <c r="F68" i="5" s="1"/>
  <c r="E69" i="3"/>
  <c r="F69" i="5" s="1"/>
  <c r="E70" i="3"/>
  <c r="F70" i="5" s="1"/>
  <c r="E71" i="3"/>
  <c r="F71" i="5" s="1"/>
  <c r="E72" i="3"/>
  <c r="F72" i="5" s="1"/>
  <c r="E73" i="3"/>
  <c r="F73" i="5" s="1"/>
  <c r="E74" i="3"/>
  <c r="F74" i="5" s="1"/>
  <c r="E75" i="3"/>
  <c r="F75" i="5" s="1"/>
  <c r="E76" i="3"/>
  <c r="F76" i="5" s="1"/>
  <c r="E77" i="3"/>
  <c r="F77" i="5" s="1"/>
  <c r="E78" i="3"/>
  <c r="F78" i="5" s="1"/>
  <c r="E79" i="3"/>
  <c r="F79" i="5" s="1"/>
  <c r="E80" i="3"/>
  <c r="F80" i="5" s="1"/>
  <c r="E81" i="3"/>
  <c r="F81" i="5" s="1"/>
  <c r="E82" i="3"/>
  <c r="F82" i="5" s="1"/>
  <c r="E83" i="3"/>
  <c r="F83" i="5" s="1"/>
  <c r="I53" i="3"/>
  <c r="J53" i="3" s="1"/>
  <c r="I54" i="3"/>
  <c r="J54" i="3" s="1"/>
  <c r="I55" i="3"/>
  <c r="J55" i="3" s="1"/>
  <c r="I56" i="3"/>
  <c r="J56" i="3" s="1"/>
  <c r="I57" i="3"/>
  <c r="J57" i="3" s="1"/>
  <c r="I58" i="3"/>
  <c r="J58" i="3" s="1"/>
  <c r="I59" i="3"/>
  <c r="J59" i="3" s="1"/>
  <c r="I60" i="3"/>
  <c r="J60" i="3" s="1"/>
  <c r="I61" i="3"/>
  <c r="J61" i="3" s="1"/>
  <c r="I62" i="3"/>
  <c r="I63" i="3"/>
  <c r="J63" i="3" s="1"/>
  <c r="I64" i="3"/>
  <c r="J64" i="3" s="1"/>
  <c r="I65" i="3"/>
  <c r="J65" i="3" s="1"/>
  <c r="I66" i="3"/>
  <c r="J66" i="3" s="1"/>
  <c r="I67" i="3"/>
  <c r="J67" i="3" s="1"/>
  <c r="I68" i="3"/>
  <c r="I69" i="3"/>
  <c r="J69" i="3" s="1"/>
  <c r="I70" i="3"/>
  <c r="J70" i="3" s="1"/>
  <c r="I71" i="3"/>
  <c r="J71" i="3" s="1"/>
  <c r="I72" i="3"/>
  <c r="J72" i="3" s="1"/>
  <c r="I73" i="3"/>
  <c r="J73" i="3" s="1"/>
  <c r="I74" i="3"/>
  <c r="I75" i="3"/>
  <c r="J75" i="3" s="1"/>
  <c r="I76" i="3"/>
  <c r="J76" i="3" s="1"/>
  <c r="I77" i="3"/>
  <c r="J77" i="3" s="1"/>
  <c r="I78" i="3"/>
  <c r="J78" i="3" s="1"/>
  <c r="I79" i="3"/>
  <c r="J79" i="3" s="1"/>
  <c r="I80" i="3"/>
  <c r="I81" i="3"/>
  <c r="I82" i="3"/>
  <c r="J82" i="3" s="1"/>
  <c r="I83" i="3"/>
  <c r="J83" i="3" s="1"/>
  <c r="M53" i="3"/>
  <c r="N53" i="3" s="1"/>
  <c r="M54" i="3"/>
  <c r="N54" i="3" s="1"/>
  <c r="M55" i="3"/>
  <c r="N55" i="3" s="1"/>
  <c r="M56" i="3"/>
  <c r="N56" i="3" s="1"/>
  <c r="M57" i="3"/>
  <c r="N57" i="3" s="1"/>
  <c r="M58" i="3"/>
  <c r="N58" i="3" s="1"/>
  <c r="M59" i="3"/>
  <c r="N59" i="3" s="1"/>
  <c r="M60" i="3"/>
  <c r="N60" i="3" s="1"/>
  <c r="M61" i="3"/>
  <c r="N61" i="3" s="1"/>
  <c r="M62" i="3"/>
  <c r="N62" i="3" s="1"/>
  <c r="M63" i="3"/>
  <c r="N63" i="3" s="1"/>
  <c r="M64" i="3"/>
  <c r="N64" i="3" s="1"/>
  <c r="M65" i="3"/>
  <c r="N65" i="3" s="1"/>
  <c r="M66" i="3"/>
  <c r="N66" i="3" s="1"/>
  <c r="M67" i="3"/>
  <c r="N67" i="3" s="1"/>
  <c r="M68" i="3"/>
  <c r="N68" i="3" s="1"/>
  <c r="M69" i="3"/>
  <c r="N69" i="3" s="1"/>
  <c r="M70" i="3"/>
  <c r="N70" i="3" s="1"/>
  <c r="M71" i="3"/>
  <c r="N71" i="3" s="1"/>
  <c r="M72" i="3"/>
  <c r="N72" i="3" s="1"/>
  <c r="M73" i="3"/>
  <c r="N73" i="3" s="1"/>
  <c r="M74" i="3"/>
  <c r="N74" i="3" s="1"/>
  <c r="M75" i="3"/>
  <c r="N75" i="3" s="1"/>
  <c r="M76" i="3"/>
  <c r="N76" i="3" s="1"/>
  <c r="M77" i="3"/>
  <c r="N77" i="3" s="1"/>
  <c r="M78" i="3"/>
  <c r="N78" i="3" s="1"/>
  <c r="M79" i="3"/>
  <c r="N79" i="3" s="1"/>
  <c r="M80" i="3"/>
  <c r="N80" i="3" s="1"/>
  <c r="M81" i="3"/>
  <c r="N81" i="3" s="1"/>
  <c r="M82" i="3"/>
  <c r="N82" i="3" s="1"/>
  <c r="M83" i="3"/>
  <c r="N83" i="3" s="1"/>
  <c r="J33" i="3" l="1"/>
  <c r="K66" i="3"/>
  <c r="L66" i="3" s="1"/>
  <c r="K27" i="3"/>
  <c r="L27" i="3" s="1"/>
  <c r="K15" i="3"/>
  <c r="L15" i="3" s="1"/>
  <c r="K39" i="3"/>
  <c r="L39" i="3" s="1"/>
  <c r="K51" i="3"/>
  <c r="L51" i="3" s="1"/>
  <c r="K33" i="3"/>
  <c r="L33" i="3" s="1"/>
  <c r="J32" i="3"/>
  <c r="K32" i="3" s="1"/>
  <c r="L32" i="3" s="1"/>
  <c r="K38" i="3"/>
  <c r="L38" i="3" s="1"/>
  <c r="J47" i="3"/>
  <c r="K47" i="3" s="1"/>
  <c r="L47" i="3" s="1"/>
  <c r="K64" i="3"/>
  <c r="L64" i="3" s="1"/>
  <c r="K50" i="3"/>
  <c r="L50" i="3" s="1"/>
  <c r="K75" i="3"/>
  <c r="L75" i="3" s="1"/>
  <c r="K63" i="3"/>
  <c r="L63" i="3" s="1"/>
  <c r="J23" i="3"/>
  <c r="K23" i="3" s="1"/>
  <c r="L23" i="3" s="1"/>
  <c r="J48" i="3"/>
  <c r="K48" i="3" s="1"/>
  <c r="L48" i="3" s="1"/>
  <c r="J24" i="3"/>
  <c r="K24" i="3" s="1"/>
  <c r="L24" i="3" s="1"/>
  <c r="J21" i="3"/>
  <c r="K21" i="3" s="1"/>
  <c r="L21" i="3" s="1"/>
  <c r="K54" i="3"/>
  <c r="L54" i="3" s="1"/>
  <c r="K77" i="3"/>
  <c r="L77" i="3" s="1"/>
  <c r="K65" i="3"/>
  <c r="L65" i="3" s="1"/>
  <c r="K78" i="3"/>
  <c r="L78" i="3" s="1"/>
  <c r="K45" i="3"/>
  <c r="L45" i="3" s="1"/>
  <c r="K26" i="3"/>
  <c r="L26" i="3" s="1"/>
  <c r="K14" i="3"/>
  <c r="L14" i="3" s="1"/>
  <c r="K72" i="3"/>
  <c r="L72" i="3" s="1"/>
  <c r="K59" i="3"/>
  <c r="L59" i="3" s="1"/>
  <c r="K70" i="3"/>
  <c r="L70" i="3" s="1"/>
  <c r="K20" i="3"/>
  <c r="L20" i="3" s="1"/>
  <c r="J37" i="3"/>
  <c r="K37" i="3" s="1"/>
  <c r="L37" i="3" s="1"/>
  <c r="J13" i="3"/>
  <c r="K13" i="3" s="1"/>
  <c r="L13" i="3" s="1"/>
  <c r="K83" i="3"/>
  <c r="L83" i="3" s="1"/>
  <c r="K71" i="3"/>
  <c r="L71" i="3" s="1"/>
  <c r="K82" i="3"/>
  <c r="L82" i="3" s="1"/>
  <c r="K58" i="3"/>
  <c r="L58" i="3" s="1"/>
  <c r="J36" i="3"/>
  <c r="K36" i="3" s="1"/>
  <c r="L36" i="3" s="1"/>
  <c r="J35" i="3"/>
  <c r="K35" i="3" s="1"/>
  <c r="L35" i="3" s="1"/>
  <c r="J34" i="3"/>
  <c r="K34" i="3" s="1"/>
  <c r="L34" i="3" s="1"/>
  <c r="K79" i="3"/>
  <c r="L79" i="3" s="1"/>
  <c r="K53" i="3"/>
  <c r="L53" i="3" s="1"/>
  <c r="J49" i="3"/>
  <c r="K49" i="3" s="1"/>
  <c r="L49" i="3" s="1"/>
  <c r="J25" i="3"/>
  <c r="K25" i="3" s="1"/>
  <c r="L25" i="3" s="1"/>
  <c r="K76" i="3"/>
  <c r="L76" i="3" s="1"/>
  <c r="K22" i="3"/>
  <c r="L22" i="3" s="1"/>
  <c r="J46" i="3"/>
  <c r="K46" i="3" s="1"/>
  <c r="L46" i="3" s="1"/>
  <c r="K44" i="3"/>
  <c r="L44" i="3" s="1"/>
  <c r="K73" i="3"/>
  <c r="L73" i="3" s="1"/>
  <c r="K61" i="3"/>
  <c r="L61" i="3" s="1"/>
  <c r="K60" i="3"/>
  <c r="L60" i="3" s="1"/>
  <c r="J43" i="3"/>
  <c r="K43" i="3" s="1"/>
  <c r="L43" i="3" s="1"/>
  <c r="J31" i="3"/>
  <c r="K31" i="3" s="1"/>
  <c r="L31" i="3" s="1"/>
  <c r="J19" i="3"/>
  <c r="K19" i="3" s="1"/>
  <c r="L19" i="3" s="1"/>
  <c r="J42" i="3"/>
  <c r="K42" i="3" s="1"/>
  <c r="L42" i="3" s="1"/>
  <c r="J30" i="3"/>
  <c r="K30" i="3" s="1"/>
  <c r="L30" i="3" s="1"/>
  <c r="J18" i="3"/>
  <c r="K18" i="3" s="1"/>
  <c r="L18" i="3" s="1"/>
  <c r="J41" i="3"/>
  <c r="K41" i="3" s="1"/>
  <c r="L41" i="3" s="1"/>
  <c r="J29" i="3"/>
  <c r="K29" i="3" s="1"/>
  <c r="L29" i="3" s="1"/>
  <c r="J17" i="3"/>
  <c r="K17" i="3" s="1"/>
  <c r="L17" i="3" s="1"/>
  <c r="J52" i="3"/>
  <c r="K52" i="3" s="1"/>
  <c r="L52" i="3" s="1"/>
  <c r="J40" i="3"/>
  <c r="K40" i="3" s="1"/>
  <c r="L40" i="3" s="1"/>
  <c r="J28" i="3"/>
  <c r="K28" i="3" s="1"/>
  <c r="L28" i="3" s="1"/>
  <c r="J16" i="3"/>
  <c r="K16" i="3" s="1"/>
  <c r="L16" i="3" s="1"/>
  <c r="K56" i="3"/>
  <c r="L56" i="3" s="1"/>
  <c r="J68" i="3"/>
  <c r="K68" i="3" s="1"/>
  <c r="L68" i="3" s="1"/>
  <c r="K67" i="3"/>
  <c r="L67" i="3" s="1"/>
  <c r="K55" i="3"/>
  <c r="L55" i="3" s="1"/>
  <c r="K69" i="3"/>
  <c r="L69" i="3" s="1"/>
  <c r="J81" i="3"/>
  <c r="K81" i="3" s="1"/>
  <c r="L81" i="3" s="1"/>
  <c r="K57" i="3"/>
  <c r="L57" i="3" s="1"/>
  <c r="J80" i="3"/>
  <c r="K80" i="3" s="1"/>
  <c r="L80" i="3" s="1"/>
  <c r="J74" i="3"/>
  <c r="K74" i="3" s="1"/>
  <c r="L74" i="3" s="1"/>
  <c r="J62" i="3"/>
  <c r="K62" i="3" s="1"/>
  <c r="L62" i="3" s="1"/>
  <c r="D12" i="5" l="1"/>
  <c r="E12" i="5"/>
  <c r="F12" i="5"/>
  <c r="G12" i="5"/>
  <c r="H12" i="5"/>
  <c r="I12" i="5"/>
  <c r="D130" i="5"/>
  <c r="E130" i="5"/>
  <c r="G130" i="5"/>
  <c r="H130" i="5"/>
  <c r="I130" i="5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94" i="2"/>
  <c r="E85" i="3"/>
  <c r="F85" i="5" s="1"/>
  <c r="E86" i="3"/>
  <c r="F86" i="5" s="1"/>
  <c r="E87" i="3"/>
  <c r="F87" i="5" s="1"/>
  <c r="E88" i="3"/>
  <c r="F88" i="5" s="1"/>
  <c r="E89" i="3"/>
  <c r="F89" i="5" s="1"/>
  <c r="E90" i="3"/>
  <c r="F90" i="5" s="1"/>
  <c r="E91" i="3"/>
  <c r="F91" i="5" s="1"/>
  <c r="E92" i="3"/>
  <c r="F92" i="5" s="1"/>
  <c r="E93" i="3"/>
  <c r="F93" i="5" s="1"/>
  <c r="E94" i="3"/>
  <c r="F94" i="5" s="1"/>
  <c r="E95" i="3"/>
  <c r="F95" i="5" s="1"/>
  <c r="E96" i="3"/>
  <c r="F96" i="5" s="1"/>
  <c r="E97" i="3"/>
  <c r="F97" i="5" s="1"/>
  <c r="E98" i="3"/>
  <c r="F98" i="5" s="1"/>
  <c r="E99" i="3"/>
  <c r="F99" i="5" s="1"/>
  <c r="E100" i="3"/>
  <c r="F100" i="5" s="1"/>
  <c r="E101" i="3"/>
  <c r="F101" i="5" s="1"/>
  <c r="E102" i="3"/>
  <c r="F102" i="5" s="1"/>
  <c r="E103" i="3"/>
  <c r="F103" i="5" s="1"/>
  <c r="E104" i="3"/>
  <c r="F104" i="5" s="1"/>
  <c r="E105" i="3"/>
  <c r="F105" i="5" s="1"/>
  <c r="E106" i="3"/>
  <c r="F106" i="5" s="1"/>
  <c r="E107" i="3"/>
  <c r="F107" i="5" s="1"/>
  <c r="E108" i="3"/>
  <c r="F108" i="5" s="1"/>
  <c r="E109" i="3"/>
  <c r="F109" i="5" s="1"/>
  <c r="E110" i="3"/>
  <c r="F110" i="5" s="1"/>
  <c r="E111" i="3"/>
  <c r="F111" i="5" s="1"/>
  <c r="E112" i="3"/>
  <c r="F112" i="5" s="1"/>
  <c r="E113" i="3"/>
  <c r="F113" i="5" s="1"/>
  <c r="E114" i="3"/>
  <c r="F114" i="5" s="1"/>
  <c r="E115" i="3"/>
  <c r="F115" i="5" s="1"/>
  <c r="E116" i="3"/>
  <c r="F116" i="5" s="1"/>
  <c r="E117" i="3"/>
  <c r="F117" i="5" s="1"/>
  <c r="E118" i="3"/>
  <c r="F118" i="5" s="1"/>
  <c r="E119" i="3"/>
  <c r="F119" i="5" s="1"/>
  <c r="E120" i="3"/>
  <c r="F120" i="5" s="1"/>
  <c r="E121" i="3"/>
  <c r="F121" i="5" s="1"/>
  <c r="E122" i="3"/>
  <c r="F122" i="5" s="1"/>
  <c r="E123" i="3"/>
  <c r="F123" i="5" s="1"/>
  <c r="E124" i="3"/>
  <c r="F124" i="5" s="1"/>
  <c r="E125" i="3"/>
  <c r="F125" i="5" s="1"/>
  <c r="E126" i="3"/>
  <c r="F126" i="5" s="1"/>
  <c r="E127" i="3"/>
  <c r="F127" i="5" s="1"/>
  <c r="E128" i="3"/>
  <c r="F128" i="5" s="1"/>
  <c r="I85" i="3"/>
  <c r="J85" i="3" s="1"/>
  <c r="I86" i="3"/>
  <c r="J86" i="3" s="1"/>
  <c r="I87" i="3"/>
  <c r="J87" i="3" s="1"/>
  <c r="I88" i="3"/>
  <c r="J88" i="3" s="1"/>
  <c r="I89" i="3"/>
  <c r="I90" i="3"/>
  <c r="J90" i="3" s="1"/>
  <c r="I91" i="3"/>
  <c r="I92" i="3"/>
  <c r="J92" i="3" s="1"/>
  <c r="I93" i="3"/>
  <c r="I94" i="3"/>
  <c r="I95" i="3"/>
  <c r="J95" i="3" s="1"/>
  <c r="I96" i="3"/>
  <c r="J96" i="3" s="1"/>
  <c r="I97" i="3"/>
  <c r="J97" i="3" s="1"/>
  <c r="I98" i="3"/>
  <c r="J98" i="3" s="1"/>
  <c r="I99" i="3"/>
  <c r="J99" i="3" s="1"/>
  <c r="I100" i="3"/>
  <c r="J100" i="3" s="1"/>
  <c r="I101" i="3"/>
  <c r="J101" i="3" s="1"/>
  <c r="I102" i="3"/>
  <c r="J102" i="3" s="1"/>
  <c r="I103" i="3"/>
  <c r="J103" i="3" s="1"/>
  <c r="I104" i="3"/>
  <c r="J104" i="3" s="1"/>
  <c r="I105" i="3"/>
  <c r="I106" i="3"/>
  <c r="J106" i="3" s="1"/>
  <c r="I107" i="3"/>
  <c r="J107" i="3" s="1"/>
  <c r="I108" i="3"/>
  <c r="J108" i="3" s="1"/>
  <c r="I109" i="3"/>
  <c r="J109" i="3" s="1"/>
  <c r="I110" i="3"/>
  <c r="J110" i="3" s="1"/>
  <c r="I111" i="3"/>
  <c r="J111" i="3" s="1"/>
  <c r="I112" i="3"/>
  <c r="J112" i="3" s="1"/>
  <c r="I113" i="3"/>
  <c r="I114" i="3"/>
  <c r="J114" i="3" s="1"/>
  <c r="I115" i="3"/>
  <c r="J115" i="3" s="1"/>
  <c r="I116" i="3"/>
  <c r="I117" i="3"/>
  <c r="I118" i="3"/>
  <c r="I119" i="3"/>
  <c r="J119" i="3" s="1"/>
  <c r="I120" i="3"/>
  <c r="J120" i="3" s="1"/>
  <c r="I121" i="3"/>
  <c r="J121" i="3" s="1"/>
  <c r="I122" i="3"/>
  <c r="J122" i="3" s="1"/>
  <c r="I123" i="3"/>
  <c r="J123" i="3" s="1"/>
  <c r="I124" i="3"/>
  <c r="J124" i="3" s="1"/>
  <c r="I125" i="3"/>
  <c r="J125" i="3" s="1"/>
  <c r="I126" i="3"/>
  <c r="J126" i="3" s="1"/>
  <c r="I127" i="3"/>
  <c r="J127" i="3" s="1"/>
  <c r="I128" i="3"/>
  <c r="M85" i="3"/>
  <c r="N85" i="3" s="1"/>
  <c r="M86" i="3"/>
  <c r="N86" i="3" s="1"/>
  <c r="M87" i="3"/>
  <c r="N87" i="3" s="1"/>
  <c r="M88" i="3"/>
  <c r="N88" i="3" s="1"/>
  <c r="M89" i="3"/>
  <c r="N89" i="3" s="1"/>
  <c r="M90" i="3"/>
  <c r="N90" i="3" s="1"/>
  <c r="M91" i="3"/>
  <c r="N91" i="3" s="1"/>
  <c r="M92" i="3"/>
  <c r="N92" i="3" s="1"/>
  <c r="M93" i="3"/>
  <c r="N93" i="3" s="1"/>
  <c r="M94" i="3"/>
  <c r="N94" i="3" s="1"/>
  <c r="M95" i="3"/>
  <c r="N95" i="3" s="1"/>
  <c r="M96" i="3"/>
  <c r="N96" i="3" s="1"/>
  <c r="M97" i="3"/>
  <c r="N97" i="3" s="1"/>
  <c r="M98" i="3"/>
  <c r="N98" i="3" s="1"/>
  <c r="M99" i="3"/>
  <c r="N99" i="3" s="1"/>
  <c r="M100" i="3"/>
  <c r="N100" i="3" s="1"/>
  <c r="M101" i="3"/>
  <c r="N101" i="3" s="1"/>
  <c r="M102" i="3"/>
  <c r="N102" i="3" s="1"/>
  <c r="M103" i="3"/>
  <c r="N103" i="3" s="1"/>
  <c r="M104" i="3"/>
  <c r="N104" i="3" s="1"/>
  <c r="M105" i="3"/>
  <c r="N105" i="3" s="1"/>
  <c r="M106" i="3"/>
  <c r="N106" i="3" s="1"/>
  <c r="M107" i="3"/>
  <c r="N107" i="3" s="1"/>
  <c r="M108" i="3"/>
  <c r="N108" i="3" s="1"/>
  <c r="M109" i="3"/>
  <c r="N109" i="3" s="1"/>
  <c r="M110" i="3"/>
  <c r="N110" i="3" s="1"/>
  <c r="M111" i="3"/>
  <c r="N111" i="3" s="1"/>
  <c r="K111" i="3" s="1"/>
  <c r="M112" i="3"/>
  <c r="N112" i="3" s="1"/>
  <c r="M113" i="3"/>
  <c r="N113" i="3" s="1"/>
  <c r="M114" i="3"/>
  <c r="N114" i="3" s="1"/>
  <c r="M115" i="3"/>
  <c r="N115" i="3" s="1"/>
  <c r="M116" i="3"/>
  <c r="N116" i="3" s="1"/>
  <c r="M117" i="3"/>
  <c r="N117" i="3" s="1"/>
  <c r="M118" i="3"/>
  <c r="N118" i="3" s="1"/>
  <c r="M119" i="3"/>
  <c r="N119" i="3" s="1"/>
  <c r="M120" i="3"/>
  <c r="N120" i="3" s="1"/>
  <c r="M122" i="3"/>
  <c r="N122" i="3" s="1"/>
  <c r="M123" i="3"/>
  <c r="N123" i="3" s="1"/>
  <c r="M124" i="3"/>
  <c r="N124" i="3" s="1"/>
  <c r="M125" i="3"/>
  <c r="N125" i="3" s="1"/>
  <c r="M126" i="3"/>
  <c r="N126" i="3" s="1"/>
  <c r="M127" i="3"/>
  <c r="N127" i="3" s="1"/>
  <c r="M128" i="3"/>
  <c r="N128" i="3" s="1"/>
  <c r="E84" i="3"/>
  <c r="F84" i="5" s="1"/>
  <c r="I84" i="3"/>
  <c r="J84" i="3" s="1"/>
  <c r="M84" i="3"/>
  <c r="N84" i="3" s="1"/>
  <c r="D121" i="5"/>
  <c r="E121" i="5"/>
  <c r="G121" i="5"/>
  <c r="H121" i="5"/>
  <c r="I121" i="5"/>
  <c r="M121" i="3" s="1"/>
  <c r="N121" i="3" s="1"/>
  <c r="D244" i="5"/>
  <c r="E244" i="5"/>
  <c r="G244" i="5"/>
  <c r="H244" i="5"/>
  <c r="I244" i="5"/>
  <c r="D210" i="5"/>
  <c r="E210" i="5"/>
  <c r="G210" i="5"/>
  <c r="H210" i="5"/>
  <c r="I210" i="5"/>
  <c r="D188" i="5"/>
  <c r="E188" i="5"/>
  <c r="G188" i="5"/>
  <c r="H188" i="5"/>
  <c r="I188" i="5"/>
  <c r="M12" i="3" l="1"/>
  <c r="N12" i="3" s="1"/>
  <c r="K12" i="3" s="1"/>
  <c r="L12" i="3" s="1"/>
  <c r="K124" i="3"/>
  <c r="L124" i="3" s="1"/>
  <c r="J94" i="3"/>
  <c r="K94" i="3" s="1"/>
  <c r="L94" i="3" s="1"/>
  <c r="J128" i="3"/>
  <c r="J116" i="3"/>
  <c r="K112" i="3"/>
  <c r="K100" i="3"/>
  <c r="K88" i="3"/>
  <c r="L88" i="3" s="1"/>
  <c r="K128" i="3"/>
  <c r="L128" i="3" s="1"/>
  <c r="K119" i="3"/>
  <c r="L119" i="3" s="1"/>
  <c r="K107" i="3"/>
  <c r="L107" i="3" s="1"/>
  <c r="K123" i="3"/>
  <c r="L123" i="3" s="1"/>
  <c r="J93" i="3"/>
  <c r="K93" i="3" s="1"/>
  <c r="L93" i="3" s="1"/>
  <c r="J113" i="3"/>
  <c r="K113" i="3" s="1"/>
  <c r="L113" i="3" s="1"/>
  <c r="J91" i="3"/>
  <c r="K91" i="3" s="1"/>
  <c r="L91" i="3" s="1"/>
  <c r="J89" i="3"/>
  <c r="K89" i="3" s="1"/>
  <c r="L89" i="3" s="1"/>
  <c r="K84" i="3"/>
  <c r="L84" i="3" s="1"/>
  <c r="K95" i="3"/>
  <c r="K99" i="3"/>
  <c r="L99" i="3" s="1"/>
  <c r="K87" i="3"/>
  <c r="L87" i="3" s="1"/>
  <c r="L111" i="3"/>
  <c r="J117" i="3"/>
  <c r="K117" i="3" s="1"/>
  <c r="L117" i="3" s="1"/>
  <c r="K120" i="3"/>
  <c r="L120" i="3" s="1"/>
  <c r="K108" i="3"/>
  <c r="L108" i="3" s="1"/>
  <c r="K96" i="3"/>
  <c r="J118" i="3"/>
  <c r="K118" i="3" s="1"/>
  <c r="L118" i="3" s="1"/>
  <c r="K106" i="3"/>
  <c r="L106" i="3" s="1"/>
  <c r="K104" i="3"/>
  <c r="L104" i="3" s="1"/>
  <c r="K115" i="3"/>
  <c r="L115" i="3" s="1"/>
  <c r="K116" i="3"/>
  <c r="L116" i="3" s="1"/>
  <c r="K92" i="3"/>
  <c r="L92" i="3" s="1"/>
  <c r="L112" i="3"/>
  <c r="L100" i="3"/>
  <c r="K126" i="3"/>
  <c r="L126" i="3" s="1"/>
  <c r="K114" i="3"/>
  <c r="L114" i="3" s="1"/>
  <c r="K102" i="3"/>
  <c r="L102" i="3" s="1"/>
  <c r="K90" i="3"/>
  <c r="L90" i="3" s="1"/>
  <c r="K103" i="3"/>
  <c r="L103" i="3" s="1"/>
  <c r="K125" i="3"/>
  <c r="L125" i="3" s="1"/>
  <c r="K101" i="3"/>
  <c r="L101" i="3" s="1"/>
  <c r="L121" i="3"/>
  <c r="J105" i="3"/>
  <c r="K105" i="3" s="1"/>
  <c r="L105" i="3" s="1"/>
  <c r="L96" i="3"/>
  <c r="L95" i="3"/>
  <c r="K127" i="3"/>
  <c r="L127" i="3" s="1"/>
  <c r="K122" i="3"/>
  <c r="L122" i="3" s="1"/>
  <c r="K110" i="3"/>
  <c r="L110" i="3" s="1"/>
  <c r="K98" i="3"/>
  <c r="L98" i="3" s="1"/>
  <c r="K86" i="3"/>
  <c r="L86" i="3" s="1"/>
  <c r="K121" i="3"/>
  <c r="K109" i="3"/>
  <c r="L109" i="3" s="1"/>
  <c r="K97" i="3"/>
  <c r="L97" i="3" s="1"/>
  <c r="K85" i="3"/>
  <c r="L85" i="3" s="1"/>
  <c r="D187" i="5"/>
  <c r="E187" i="5"/>
  <c r="G187" i="5"/>
  <c r="H187" i="5"/>
  <c r="I187" i="5"/>
  <c r="D197" i="5"/>
  <c r="E197" i="5"/>
  <c r="G197" i="5"/>
  <c r="H197" i="5"/>
  <c r="I197" i="5"/>
  <c r="D185" i="5" l="1"/>
  <c r="E185" i="5"/>
  <c r="G185" i="5"/>
  <c r="H185" i="5"/>
  <c r="I185" i="5"/>
  <c r="D181" i="5"/>
  <c r="D182" i="5"/>
  <c r="D183" i="5"/>
  <c r="E181" i="5"/>
  <c r="E182" i="5"/>
  <c r="E183" i="5"/>
  <c r="G181" i="5"/>
  <c r="G182" i="5"/>
  <c r="G183" i="5"/>
  <c r="H181" i="5"/>
  <c r="H182" i="5"/>
  <c r="H183" i="5"/>
  <c r="I181" i="5"/>
  <c r="I182" i="5"/>
  <c r="I183" i="5"/>
  <c r="D180" i="5"/>
  <c r="E180" i="5"/>
  <c r="G180" i="5"/>
  <c r="H180" i="5"/>
  <c r="I180" i="5"/>
  <c r="D310" i="5"/>
  <c r="D311" i="5"/>
  <c r="D312" i="5"/>
  <c r="E310" i="5"/>
  <c r="E311" i="5"/>
  <c r="E312" i="5"/>
  <c r="G310" i="5"/>
  <c r="G311" i="5"/>
  <c r="G312" i="5"/>
  <c r="H310" i="5"/>
  <c r="H311" i="5"/>
  <c r="H312" i="5"/>
  <c r="I310" i="5"/>
  <c r="I311" i="5"/>
  <c r="I312" i="5"/>
  <c r="D308" i="5"/>
  <c r="E308" i="5"/>
  <c r="G308" i="5"/>
  <c r="H308" i="5"/>
  <c r="I308" i="5"/>
  <c r="D306" i="5"/>
  <c r="E306" i="5"/>
  <c r="G306" i="5"/>
  <c r="H306" i="5"/>
  <c r="I306" i="5"/>
  <c r="D278" i="5"/>
  <c r="E278" i="5"/>
  <c r="G278" i="5"/>
  <c r="H278" i="5"/>
  <c r="I278" i="5"/>
  <c r="D272" i="5"/>
  <c r="E272" i="5"/>
  <c r="G272" i="5"/>
  <c r="H272" i="5"/>
  <c r="I272" i="5"/>
  <c r="D264" i="5"/>
  <c r="D265" i="5"/>
  <c r="D266" i="5"/>
  <c r="E264" i="5"/>
  <c r="E265" i="5"/>
  <c r="E266" i="5"/>
  <c r="G264" i="5"/>
  <c r="G265" i="5"/>
  <c r="G266" i="5"/>
  <c r="H264" i="5"/>
  <c r="H265" i="5"/>
  <c r="H266" i="5"/>
  <c r="I264" i="5"/>
  <c r="I265" i="5"/>
  <c r="I266" i="5"/>
  <c r="D245" i="5"/>
  <c r="D246" i="5"/>
  <c r="E245" i="5"/>
  <c r="E246" i="5"/>
  <c r="G245" i="5"/>
  <c r="G246" i="5"/>
  <c r="H245" i="5"/>
  <c r="H246" i="5"/>
  <c r="I245" i="5"/>
  <c r="I246" i="5"/>
  <c r="D242" i="5"/>
  <c r="D243" i="5"/>
  <c r="E242" i="5"/>
  <c r="E243" i="5"/>
  <c r="G242" i="5"/>
  <c r="G243" i="5"/>
  <c r="H242" i="5"/>
  <c r="H243" i="5"/>
  <c r="I242" i="5"/>
  <c r="I243" i="5"/>
  <c r="D241" i="5"/>
  <c r="E241" i="5"/>
  <c r="G241" i="5"/>
  <c r="H241" i="5"/>
  <c r="I241" i="5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78" i="2"/>
  <c r="E239" i="3"/>
  <c r="E240" i="3"/>
  <c r="F240" i="5" s="1"/>
  <c r="E241" i="3"/>
  <c r="F241" i="5" s="1"/>
  <c r="E242" i="3"/>
  <c r="F242" i="5" s="1"/>
  <c r="E243" i="3"/>
  <c r="F243" i="5" s="1"/>
  <c r="E244" i="3"/>
  <c r="F244" i="5" s="1"/>
  <c r="E245" i="3"/>
  <c r="F245" i="5" s="1"/>
  <c r="E246" i="3"/>
  <c r="F246" i="5" s="1"/>
  <c r="E247" i="3"/>
  <c r="F247" i="5" s="1"/>
  <c r="E248" i="3"/>
  <c r="F248" i="5" s="1"/>
  <c r="E249" i="3"/>
  <c r="F249" i="5" s="1"/>
  <c r="E250" i="3"/>
  <c r="F250" i="5" s="1"/>
  <c r="E251" i="3"/>
  <c r="F251" i="5" s="1"/>
  <c r="E252" i="3"/>
  <c r="F252" i="5" s="1"/>
  <c r="E253" i="3"/>
  <c r="F253" i="5" s="1"/>
  <c r="E254" i="3"/>
  <c r="F254" i="5" s="1"/>
  <c r="E255" i="3"/>
  <c r="F255" i="5" s="1"/>
  <c r="E256" i="3"/>
  <c r="F256" i="5" s="1"/>
  <c r="E257" i="3"/>
  <c r="F257" i="5" s="1"/>
  <c r="E258" i="3"/>
  <c r="F258" i="5" s="1"/>
  <c r="E259" i="3"/>
  <c r="F259" i="5" s="1"/>
  <c r="E260" i="3"/>
  <c r="F260" i="5" s="1"/>
  <c r="E261" i="3"/>
  <c r="F261" i="5" s="1"/>
  <c r="E262" i="3"/>
  <c r="F262" i="5" s="1"/>
  <c r="E263" i="3"/>
  <c r="F263" i="5" s="1"/>
  <c r="E264" i="3"/>
  <c r="F264" i="5" s="1"/>
  <c r="E265" i="3"/>
  <c r="F265" i="5" s="1"/>
  <c r="E266" i="3"/>
  <c r="F266" i="5" s="1"/>
  <c r="E267" i="3"/>
  <c r="F267" i="5" s="1"/>
  <c r="E268" i="3"/>
  <c r="F268" i="5" s="1"/>
  <c r="E269" i="3"/>
  <c r="F269" i="5" s="1"/>
  <c r="E270" i="3"/>
  <c r="F270" i="5" s="1"/>
  <c r="E271" i="3"/>
  <c r="F271" i="5" s="1"/>
  <c r="E272" i="3"/>
  <c r="F272" i="5" s="1"/>
  <c r="E273" i="3"/>
  <c r="F273" i="5" s="1"/>
  <c r="E274" i="3"/>
  <c r="F274" i="5" s="1"/>
  <c r="E275" i="3"/>
  <c r="F275" i="5" s="1"/>
  <c r="E276" i="3"/>
  <c r="F276" i="5" s="1"/>
  <c r="E277" i="3"/>
  <c r="F277" i="5" s="1"/>
  <c r="E278" i="3"/>
  <c r="F278" i="5" s="1"/>
  <c r="E279" i="3"/>
  <c r="F279" i="5" s="1"/>
  <c r="E280" i="3"/>
  <c r="F280" i="5" s="1"/>
  <c r="E281" i="3"/>
  <c r="F281" i="5" s="1"/>
  <c r="E282" i="3"/>
  <c r="F282" i="5" s="1"/>
  <c r="E283" i="3"/>
  <c r="F283" i="5" s="1"/>
  <c r="E284" i="3"/>
  <c r="F284" i="5" s="1"/>
  <c r="E285" i="3"/>
  <c r="F285" i="5" s="1"/>
  <c r="E286" i="3"/>
  <c r="F286" i="5" s="1"/>
  <c r="E287" i="3"/>
  <c r="F287" i="5" s="1"/>
  <c r="E288" i="3"/>
  <c r="F288" i="5" s="1"/>
  <c r="E289" i="3"/>
  <c r="F289" i="5" s="1"/>
  <c r="E290" i="3"/>
  <c r="F290" i="5" s="1"/>
  <c r="E291" i="3"/>
  <c r="F291" i="5" s="1"/>
  <c r="E292" i="3"/>
  <c r="F292" i="5" s="1"/>
  <c r="E293" i="3"/>
  <c r="F293" i="5" s="1"/>
  <c r="E294" i="3"/>
  <c r="F294" i="5" s="1"/>
  <c r="E295" i="3"/>
  <c r="F295" i="5" s="1"/>
  <c r="E296" i="3"/>
  <c r="F296" i="5" s="1"/>
  <c r="E297" i="3"/>
  <c r="F297" i="5" s="1"/>
  <c r="E298" i="3"/>
  <c r="F298" i="5" s="1"/>
  <c r="E299" i="3"/>
  <c r="F299" i="5" s="1"/>
  <c r="E300" i="3"/>
  <c r="F300" i="5" s="1"/>
  <c r="E301" i="3"/>
  <c r="F301" i="5" s="1"/>
  <c r="E302" i="3"/>
  <c r="F302" i="5" s="1"/>
  <c r="E303" i="3"/>
  <c r="F303" i="5" s="1"/>
  <c r="E304" i="3"/>
  <c r="F304" i="5" s="1"/>
  <c r="E305" i="3"/>
  <c r="F305" i="5" s="1"/>
  <c r="E306" i="3"/>
  <c r="F306" i="5" s="1"/>
  <c r="E307" i="3"/>
  <c r="F307" i="5" s="1"/>
  <c r="E308" i="3"/>
  <c r="F308" i="5" s="1"/>
  <c r="E309" i="3"/>
  <c r="F309" i="5" s="1"/>
  <c r="E310" i="3"/>
  <c r="F310" i="5" s="1"/>
  <c r="E311" i="3"/>
  <c r="F311" i="5" s="1"/>
  <c r="E312" i="3"/>
  <c r="F312" i="5" s="1"/>
  <c r="D239" i="5" l="1"/>
  <c r="E239" i="5"/>
  <c r="F239" i="5"/>
  <c r="G239" i="5"/>
  <c r="H239" i="5"/>
  <c r="I239" i="5"/>
  <c r="I240" i="3" l="1"/>
  <c r="J240" i="3" s="1"/>
  <c r="I241" i="3"/>
  <c r="J241" i="3" s="1"/>
  <c r="I242" i="3"/>
  <c r="J242" i="3" s="1"/>
  <c r="I243" i="3"/>
  <c r="J243" i="3" s="1"/>
  <c r="I244" i="3"/>
  <c r="J244" i="3" s="1"/>
  <c r="I245" i="3"/>
  <c r="J245" i="3" s="1"/>
  <c r="I246" i="3"/>
  <c r="J246" i="3" s="1"/>
  <c r="I247" i="3"/>
  <c r="J247" i="3" s="1"/>
  <c r="I248" i="3"/>
  <c r="I249" i="3"/>
  <c r="I250" i="3"/>
  <c r="J250" i="3" s="1"/>
  <c r="I251" i="3"/>
  <c r="J251" i="3" s="1"/>
  <c r="I252" i="3"/>
  <c r="J252" i="3" s="1"/>
  <c r="I253" i="3"/>
  <c r="I254" i="3"/>
  <c r="J254" i="3" s="1"/>
  <c r="I255" i="3"/>
  <c r="J255" i="3" s="1"/>
  <c r="I256" i="3"/>
  <c r="J256" i="3" s="1"/>
  <c r="I257" i="3"/>
  <c r="I258" i="3"/>
  <c r="J258" i="3" s="1"/>
  <c r="I259" i="3"/>
  <c r="J259" i="3" s="1"/>
  <c r="I260" i="3"/>
  <c r="I261" i="3"/>
  <c r="I262" i="3"/>
  <c r="J262" i="3" s="1"/>
  <c r="I263" i="3"/>
  <c r="J263" i="3" s="1"/>
  <c r="I264" i="3"/>
  <c r="J264" i="3" s="1"/>
  <c r="I265" i="3"/>
  <c r="J265" i="3" s="1"/>
  <c r="I266" i="3"/>
  <c r="J266" i="3" s="1"/>
  <c r="I267" i="3"/>
  <c r="J267" i="3" s="1"/>
  <c r="I268" i="3"/>
  <c r="J268" i="3" s="1"/>
  <c r="I269" i="3"/>
  <c r="I270" i="3"/>
  <c r="J270" i="3" s="1"/>
  <c r="I271" i="3"/>
  <c r="J271" i="3" s="1"/>
  <c r="I272" i="3"/>
  <c r="I273" i="3"/>
  <c r="I274" i="3"/>
  <c r="J274" i="3" s="1"/>
  <c r="I275" i="3"/>
  <c r="J275" i="3" s="1"/>
  <c r="I276" i="3"/>
  <c r="I277" i="3"/>
  <c r="I278" i="3"/>
  <c r="I279" i="3"/>
  <c r="J279" i="3" s="1"/>
  <c r="I280" i="3"/>
  <c r="J280" i="3" s="1"/>
  <c r="I281" i="3"/>
  <c r="J281" i="3" s="1"/>
  <c r="I282" i="3"/>
  <c r="J282" i="3" s="1"/>
  <c r="I283" i="3"/>
  <c r="J283" i="3" s="1"/>
  <c r="I284" i="3"/>
  <c r="I285" i="3"/>
  <c r="I286" i="3"/>
  <c r="J286" i="3" s="1"/>
  <c r="I287" i="3"/>
  <c r="J287" i="3" s="1"/>
  <c r="I288" i="3"/>
  <c r="J288" i="3" s="1"/>
  <c r="I289" i="3"/>
  <c r="J289" i="3" s="1"/>
  <c r="I290" i="3"/>
  <c r="I291" i="3"/>
  <c r="J291" i="3" s="1"/>
  <c r="I292" i="3"/>
  <c r="J292" i="3" s="1"/>
  <c r="I293" i="3"/>
  <c r="J293" i="3" s="1"/>
  <c r="I294" i="3"/>
  <c r="J294" i="3" s="1"/>
  <c r="I295" i="3"/>
  <c r="J295" i="3" s="1"/>
  <c r="I296" i="3"/>
  <c r="I297" i="3"/>
  <c r="I298" i="3"/>
  <c r="J298" i="3" s="1"/>
  <c r="I299" i="3"/>
  <c r="J299" i="3" s="1"/>
  <c r="I300" i="3"/>
  <c r="I301" i="3"/>
  <c r="I302" i="3"/>
  <c r="J302" i="3" s="1"/>
  <c r="I303" i="3"/>
  <c r="J303" i="3" s="1"/>
  <c r="I304" i="3"/>
  <c r="J304" i="3" s="1"/>
  <c r="I305" i="3"/>
  <c r="I306" i="3"/>
  <c r="J306" i="3" s="1"/>
  <c r="I307" i="3"/>
  <c r="J307" i="3" s="1"/>
  <c r="I308" i="3"/>
  <c r="I309" i="3"/>
  <c r="I310" i="3"/>
  <c r="J310" i="3" s="1"/>
  <c r="I311" i="3"/>
  <c r="J311" i="3" s="1"/>
  <c r="I312" i="3"/>
  <c r="M240" i="3"/>
  <c r="N240" i="3" s="1"/>
  <c r="M241" i="3"/>
  <c r="N241" i="3" s="1"/>
  <c r="M242" i="3"/>
  <c r="N242" i="3" s="1"/>
  <c r="M243" i="3"/>
  <c r="N243" i="3" s="1"/>
  <c r="M244" i="3"/>
  <c r="N244" i="3" s="1"/>
  <c r="K244" i="3" s="1"/>
  <c r="M245" i="3"/>
  <c r="N245" i="3" s="1"/>
  <c r="M246" i="3"/>
  <c r="N246" i="3" s="1"/>
  <c r="M247" i="3"/>
  <c r="N247" i="3" s="1"/>
  <c r="M248" i="3"/>
  <c r="N248" i="3" s="1"/>
  <c r="M249" i="3"/>
  <c r="N249" i="3" s="1"/>
  <c r="M250" i="3"/>
  <c r="N250" i="3" s="1"/>
  <c r="M251" i="3"/>
  <c r="N251" i="3" s="1"/>
  <c r="M252" i="3"/>
  <c r="N252" i="3" s="1"/>
  <c r="M253" i="3"/>
  <c r="N253" i="3" s="1"/>
  <c r="M254" i="3"/>
  <c r="N254" i="3" s="1"/>
  <c r="M255" i="3"/>
  <c r="N255" i="3" s="1"/>
  <c r="M256" i="3"/>
  <c r="N256" i="3" s="1"/>
  <c r="K256" i="3" s="1"/>
  <c r="M257" i="3"/>
  <c r="N257" i="3" s="1"/>
  <c r="M258" i="3"/>
  <c r="N258" i="3" s="1"/>
  <c r="M259" i="3"/>
  <c r="N259" i="3" s="1"/>
  <c r="M260" i="3"/>
  <c r="N260" i="3" s="1"/>
  <c r="M261" i="3"/>
  <c r="N261" i="3" s="1"/>
  <c r="M262" i="3"/>
  <c r="N262" i="3" s="1"/>
  <c r="M263" i="3"/>
  <c r="N263" i="3" s="1"/>
  <c r="M264" i="3"/>
  <c r="N264" i="3" s="1"/>
  <c r="M265" i="3"/>
  <c r="N265" i="3" s="1"/>
  <c r="M266" i="3"/>
  <c r="N266" i="3" s="1"/>
  <c r="M267" i="3"/>
  <c r="N267" i="3" s="1"/>
  <c r="M268" i="3"/>
  <c r="N268" i="3" s="1"/>
  <c r="K268" i="3" s="1"/>
  <c r="M269" i="3"/>
  <c r="N269" i="3" s="1"/>
  <c r="M270" i="3"/>
  <c r="N270" i="3" s="1"/>
  <c r="M271" i="3"/>
  <c r="N271" i="3" s="1"/>
  <c r="M272" i="3"/>
  <c r="N272" i="3" s="1"/>
  <c r="M273" i="3"/>
  <c r="N273" i="3" s="1"/>
  <c r="M274" i="3"/>
  <c r="N274" i="3" s="1"/>
  <c r="M275" i="3"/>
  <c r="N275" i="3" s="1"/>
  <c r="M276" i="3"/>
  <c r="N276" i="3" s="1"/>
  <c r="M277" i="3"/>
  <c r="N277" i="3" s="1"/>
  <c r="M278" i="3"/>
  <c r="N278" i="3" s="1"/>
  <c r="M279" i="3"/>
  <c r="N279" i="3" s="1"/>
  <c r="M280" i="3"/>
  <c r="N280" i="3" s="1"/>
  <c r="K280" i="3" s="1"/>
  <c r="M281" i="3"/>
  <c r="N281" i="3" s="1"/>
  <c r="M282" i="3"/>
  <c r="N282" i="3" s="1"/>
  <c r="M283" i="3"/>
  <c r="N283" i="3" s="1"/>
  <c r="M284" i="3"/>
  <c r="N284" i="3" s="1"/>
  <c r="M285" i="3"/>
  <c r="N285" i="3" s="1"/>
  <c r="M286" i="3"/>
  <c r="N286" i="3" s="1"/>
  <c r="M287" i="3"/>
  <c r="N287" i="3" s="1"/>
  <c r="M288" i="3"/>
  <c r="N288" i="3" s="1"/>
  <c r="M289" i="3"/>
  <c r="N289" i="3" s="1"/>
  <c r="M290" i="3"/>
  <c r="N290" i="3" s="1"/>
  <c r="M291" i="3"/>
  <c r="N291" i="3" s="1"/>
  <c r="M292" i="3"/>
  <c r="N292" i="3" s="1"/>
  <c r="K292" i="3" s="1"/>
  <c r="M293" i="3"/>
  <c r="N293" i="3" s="1"/>
  <c r="M294" i="3"/>
  <c r="N294" i="3" s="1"/>
  <c r="M295" i="3"/>
  <c r="N295" i="3" s="1"/>
  <c r="M296" i="3"/>
  <c r="N296" i="3" s="1"/>
  <c r="M297" i="3"/>
  <c r="N297" i="3" s="1"/>
  <c r="M298" i="3"/>
  <c r="N298" i="3" s="1"/>
  <c r="M299" i="3"/>
  <c r="N299" i="3" s="1"/>
  <c r="M300" i="3"/>
  <c r="N300" i="3" s="1"/>
  <c r="M301" i="3"/>
  <c r="N301" i="3" s="1"/>
  <c r="M302" i="3"/>
  <c r="N302" i="3" s="1"/>
  <c r="M303" i="3"/>
  <c r="N303" i="3" s="1"/>
  <c r="M304" i="3"/>
  <c r="N304" i="3" s="1"/>
  <c r="K304" i="3" s="1"/>
  <c r="M305" i="3"/>
  <c r="N305" i="3" s="1"/>
  <c r="M306" i="3"/>
  <c r="N306" i="3" s="1"/>
  <c r="M307" i="3"/>
  <c r="N307" i="3" s="1"/>
  <c r="M308" i="3"/>
  <c r="N308" i="3" s="1"/>
  <c r="M309" i="3"/>
  <c r="N309" i="3" s="1"/>
  <c r="M310" i="3"/>
  <c r="N310" i="3" s="1"/>
  <c r="M311" i="3"/>
  <c r="N311" i="3" s="1"/>
  <c r="M312" i="3"/>
  <c r="N312" i="3" s="1"/>
  <c r="I239" i="3"/>
  <c r="J239" i="3" s="1"/>
  <c r="M239" i="3"/>
  <c r="N239" i="3" s="1"/>
  <c r="D169" i="5"/>
  <c r="E169" i="5"/>
  <c r="G169" i="5"/>
  <c r="H169" i="5"/>
  <c r="I169" i="5"/>
  <c r="D160" i="5"/>
  <c r="E160" i="5"/>
  <c r="G160" i="5"/>
  <c r="H160" i="5"/>
  <c r="I160" i="5"/>
  <c r="D168" i="5"/>
  <c r="E168" i="5"/>
  <c r="G168" i="5"/>
  <c r="H168" i="5"/>
  <c r="I168" i="5"/>
  <c r="D159" i="5"/>
  <c r="E159" i="5"/>
  <c r="G159" i="5"/>
  <c r="H159" i="5"/>
  <c r="I159" i="5"/>
  <c r="D158" i="5"/>
  <c r="E158" i="5"/>
  <c r="G158" i="5"/>
  <c r="H158" i="5"/>
  <c r="I158" i="5"/>
  <c r="D129" i="5"/>
  <c r="E129" i="5"/>
  <c r="G129" i="5"/>
  <c r="H129" i="5"/>
  <c r="I129" i="5"/>
  <c r="D213" i="5"/>
  <c r="E213" i="5"/>
  <c r="G213" i="5"/>
  <c r="H213" i="5"/>
  <c r="I213" i="5"/>
  <c r="M213" i="3" s="1"/>
  <c r="N213" i="3" s="1"/>
  <c r="D238" i="5"/>
  <c r="E238" i="5"/>
  <c r="G238" i="5"/>
  <c r="H238" i="5"/>
  <c r="I238" i="5"/>
  <c r="M238" i="3" s="1"/>
  <c r="N238" i="3" s="1"/>
  <c r="D237" i="5"/>
  <c r="E237" i="5"/>
  <c r="G237" i="5"/>
  <c r="H237" i="5"/>
  <c r="I237" i="5"/>
  <c r="M237" i="3" s="1"/>
  <c r="N237" i="3" s="1"/>
  <c r="D236" i="5"/>
  <c r="E236" i="5"/>
  <c r="G236" i="5"/>
  <c r="H236" i="5"/>
  <c r="I236" i="5"/>
  <c r="M236" i="3" s="1"/>
  <c r="N236" i="3" s="1"/>
  <c r="D235" i="5"/>
  <c r="E235" i="5"/>
  <c r="G235" i="5"/>
  <c r="H235" i="5"/>
  <c r="I235" i="5"/>
  <c r="M235" i="3" s="1"/>
  <c r="N235" i="3" s="1"/>
  <c r="D234" i="5"/>
  <c r="E234" i="5"/>
  <c r="G234" i="5"/>
  <c r="H234" i="5"/>
  <c r="I234" i="5"/>
  <c r="M234" i="3" s="1"/>
  <c r="N234" i="3" s="1"/>
  <c r="D233" i="5"/>
  <c r="E233" i="5"/>
  <c r="G233" i="5"/>
  <c r="H233" i="5"/>
  <c r="I233" i="5"/>
  <c r="M233" i="3" s="1"/>
  <c r="N233" i="3" s="1"/>
  <c r="D232" i="5"/>
  <c r="E232" i="5"/>
  <c r="G232" i="5"/>
  <c r="H232" i="5"/>
  <c r="I232" i="5"/>
  <c r="M232" i="3" s="1"/>
  <c r="N232" i="3" s="1"/>
  <c r="D231" i="5"/>
  <c r="E231" i="5"/>
  <c r="G231" i="5"/>
  <c r="H231" i="5"/>
  <c r="I231" i="5"/>
  <c r="M231" i="3" s="1"/>
  <c r="N231" i="3" s="1"/>
  <c r="D184" i="5"/>
  <c r="E184" i="5"/>
  <c r="G184" i="5"/>
  <c r="H184" i="5"/>
  <c r="I184" i="5"/>
  <c r="D230" i="5"/>
  <c r="E230" i="5"/>
  <c r="G230" i="5"/>
  <c r="H230" i="5"/>
  <c r="I230" i="5"/>
  <c r="M230" i="3" s="1"/>
  <c r="N230" i="3" s="1"/>
  <c r="E232" i="3"/>
  <c r="F232" i="5" s="1"/>
  <c r="E233" i="3"/>
  <c r="F233" i="5" s="1"/>
  <c r="E234" i="3"/>
  <c r="F234" i="5" s="1"/>
  <c r="E235" i="3"/>
  <c r="F235" i="5" s="1"/>
  <c r="E236" i="3"/>
  <c r="F236" i="5" s="1"/>
  <c r="E237" i="3"/>
  <c r="F237" i="5" s="1"/>
  <c r="E238" i="3"/>
  <c r="F238" i="5" s="1"/>
  <c r="F75" i="2"/>
  <c r="F76" i="2"/>
  <c r="F77" i="2"/>
  <c r="F74" i="2"/>
  <c r="E231" i="3"/>
  <c r="F231" i="5" s="1"/>
  <c r="F73" i="2"/>
  <c r="F72" i="2"/>
  <c r="E222" i="3"/>
  <c r="F222" i="5" s="1"/>
  <c r="E223" i="3"/>
  <c r="F223" i="5" s="1"/>
  <c r="E224" i="3"/>
  <c r="F224" i="5" s="1"/>
  <c r="E225" i="3"/>
  <c r="F225" i="5" s="1"/>
  <c r="E226" i="3"/>
  <c r="F226" i="5" s="1"/>
  <c r="E227" i="3"/>
  <c r="F227" i="5" s="1"/>
  <c r="E228" i="3"/>
  <c r="F228" i="5" s="1"/>
  <c r="E229" i="3"/>
  <c r="F229" i="5" s="1"/>
  <c r="E230" i="3"/>
  <c r="F230" i="5" s="1"/>
  <c r="I223" i="3"/>
  <c r="J223" i="3" s="1"/>
  <c r="I224" i="3"/>
  <c r="J224" i="3" s="1"/>
  <c r="I225" i="3"/>
  <c r="J225" i="3" s="1"/>
  <c r="I226" i="3"/>
  <c r="I227" i="3"/>
  <c r="J227" i="3" s="1"/>
  <c r="I228" i="3"/>
  <c r="J228" i="3" s="1"/>
  <c r="I229" i="3"/>
  <c r="J229" i="3" s="1"/>
  <c r="I230" i="3"/>
  <c r="J230" i="3" s="1"/>
  <c r="I231" i="3"/>
  <c r="J231" i="3" s="1"/>
  <c r="I232" i="3"/>
  <c r="I233" i="3"/>
  <c r="I234" i="3"/>
  <c r="I235" i="3"/>
  <c r="I236" i="3"/>
  <c r="I237" i="3"/>
  <c r="I238" i="3"/>
  <c r="M224" i="3"/>
  <c r="N224" i="3" s="1"/>
  <c r="M225" i="3"/>
  <c r="N225" i="3" s="1"/>
  <c r="M226" i="3"/>
  <c r="N226" i="3" s="1"/>
  <c r="M227" i="3"/>
  <c r="N227" i="3" s="1"/>
  <c r="M228" i="3"/>
  <c r="N228" i="3" s="1"/>
  <c r="M229" i="3"/>
  <c r="N229" i="3" s="1"/>
  <c r="D223" i="5"/>
  <c r="E223" i="5"/>
  <c r="G223" i="5"/>
  <c r="H223" i="5"/>
  <c r="I223" i="5"/>
  <c r="M223" i="3" s="1"/>
  <c r="N223" i="3" s="1"/>
  <c r="D149" i="5"/>
  <c r="E149" i="5"/>
  <c r="G149" i="5"/>
  <c r="H149" i="5"/>
  <c r="I149" i="5"/>
  <c r="F71" i="2"/>
  <c r="D150" i="5"/>
  <c r="E150" i="5"/>
  <c r="G150" i="5"/>
  <c r="H150" i="5"/>
  <c r="I150" i="5"/>
  <c r="I222" i="3"/>
  <c r="J222" i="3" s="1"/>
  <c r="D222" i="5"/>
  <c r="E222" i="5"/>
  <c r="G222" i="5"/>
  <c r="H222" i="5"/>
  <c r="I222" i="5"/>
  <c r="M222" i="3" s="1"/>
  <c r="N222" i="3" s="1"/>
  <c r="K222" i="3" s="1"/>
  <c r="E221" i="3"/>
  <c r="F221" i="5" s="1"/>
  <c r="I221" i="3"/>
  <c r="J221" i="3" s="1"/>
  <c r="D221" i="5"/>
  <c r="E221" i="5"/>
  <c r="G221" i="5"/>
  <c r="H221" i="5"/>
  <c r="I221" i="5"/>
  <c r="M221" i="3" s="1"/>
  <c r="N221" i="3" s="1"/>
  <c r="F70" i="2"/>
  <c r="E220" i="3"/>
  <c r="F220" i="5" s="1"/>
  <c r="I220" i="3"/>
  <c r="J220" i="3" s="1"/>
  <c r="D220" i="5"/>
  <c r="E220" i="5"/>
  <c r="G220" i="5"/>
  <c r="H220" i="5"/>
  <c r="I220" i="5"/>
  <c r="M220" i="3" s="1"/>
  <c r="N220" i="3" s="1"/>
  <c r="K220" i="3" s="1"/>
  <c r="D199" i="5"/>
  <c r="D200" i="5"/>
  <c r="D201" i="5"/>
  <c r="E199" i="5"/>
  <c r="E200" i="5"/>
  <c r="E201" i="5"/>
  <c r="G199" i="5"/>
  <c r="G200" i="5"/>
  <c r="G201" i="5"/>
  <c r="H199" i="5"/>
  <c r="H200" i="5"/>
  <c r="H201" i="5"/>
  <c r="I199" i="5"/>
  <c r="I200" i="5"/>
  <c r="I201" i="5"/>
  <c r="D198" i="5"/>
  <c r="E198" i="5"/>
  <c r="G198" i="5"/>
  <c r="H198" i="5"/>
  <c r="I198" i="5"/>
  <c r="D212" i="5"/>
  <c r="E212" i="5"/>
  <c r="G212" i="5"/>
  <c r="H212" i="5"/>
  <c r="I212" i="5"/>
  <c r="D211" i="5"/>
  <c r="E211" i="5"/>
  <c r="G211" i="5"/>
  <c r="H211" i="5"/>
  <c r="I211" i="5"/>
  <c r="D216" i="5"/>
  <c r="D217" i="5"/>
  <c r="D218" i="5"/>
  <c r="D219" i="5"/>
  <c r="E216" i="5"/>
  <c r="E217" i="5"/>
  <c r="E218" i="5"/>
  <c r="E219" i="5"/>
  <c r="G216" i="5"/>
  <c r="G217" i="5"/>
  <c r="G218" i="5"/>
  <c r="G219" i="5"/>
  <c r="H216" i="5"/>
  <c r="H217" i="5"/>
  <c r="H218" i="5"/>
  <c r="H219" i="5"/>
  <c r="I216" i="5"/>
  <c r="M216" i="3" s="1"/>
  <c r="N216" i="3" s="1"/>
  <c r="K216" i="3" s="1"/>
  <c r="I217" i="5"/>
  <c r="M217" i="3" s="1"/>
  <c r="N217" i="3" s="1"/>
  <c r="K217" i="3" s="1"/>
  <c r="I218" i="5"/>
  <c r="M218" i="3" s="1"/>
  <c r="N218" i="3" s="1"/>
  <c r="K218" i="3" s="1"/>
  <c r="I219" i="5"/>
  <c r="M219" i="3" s="1"/>
  <c r="N219" i="3" s="1"/>
  <c r="K219" i="3" s="1"/>
  <c r="F69" i="2"/>
  <c r="F66" i="2"/>
  <c r="F67" i="2"/>
  <c r="F68" i="2"/>
  <c r="E214" i="3"/>
  <c r="F214" i="5" s="1"/>
  <c r="E215" i="3"/>
  <c r="F215" i="5" s="1"/>
  <c r="E216" i="3"/>
  <c r="F216" i="5" s="1"/>
  <c r="E217" i="3"/>
  <c r="F217" i="5" s="1"/>
  <c r="E218" i="3"/>
  <c r="F218" i="5" s="1"/>
  <c r="E219" i="3"/>
  <c r="F219" i="5" s="1"/>
  <c r="I214" i="3"/>
  <c r="J214" i="3" s="1"/>
  <c r="I215" i="3"/>
  <c r="J215" i="3" s="1"/>
  <c r="I216" i="3"/>
  <c r="J216" i="3" s="1"/>
  <c r="I217" i="3"/>
  <c r="J217" i="3" s="1"/>
  <c r="I218" i="3"/>
  <c r="J218" i="3" s="1"/>
  <c r="I219" i="3"/>
  <c r="J219" i="3" s="1"/>
  <c r="M214" i="3"/>
  <c r="N214" i="3" s="1"/>
  <c r="E213" i="3"/>
  <c r="F213" i="5" s="1"/>
  <c r="I213" i="3"/>
  <c r="J213" i="3" s="1"/>
  <c r="D215" i="5"/>
  <c r="E215" i="5"/>
  <c r="G215" i="5"/>
  <c r="H215" i="5"/>
  <c r="I215" i="5"/>
  <c r="M215" i="3" s="1"/>
  <c r="N215" i="3" s="1"/>
  <c r="D209" i="5"/>
  <c r="E209" i="5"/>
  <c r="G209" i="5"/>
  <c r="H209" i="5"/>
  <c r="I209" i="5"/>
  <c r="D208" i="5"/>
  <c r="E208" i="5"/>
  <c r="G208" i="5"/>
  <c r="H208" i="5"/>
  <c r="I208" i="5"/>
  <c r="D207" i="5"/>
  <c r="E207" i="5"/>
  <c r="G207" i="5"/>
  <c r="H207" i="5"/>
  <c r="I207" i="5"/>
  <c r="D189" i="5"/>
  <c r="E189" i="5"/>
  <c r="G189" i="5"/>
  <c r="H189" i="5"/>
  <c r="I189" i="5"/>
  <c r="D147" i="5"/>
  <c r="E147" i="5"/>
  <c r="G147" i="5"/>
  <c r="H147" i="5"/>
  <c r="I147" i="5"/>
  <c r="D146" i="5"/>
  <c r="E146" i="5"/>
  <c r="G146" i="5"/>
  <c r="H146" i="5"/>
  <c r="I146" i="5"/>
  <c r="D142" i="5"/>
  <c r="E142" i="5"/>
  <c r="G142" i="5"/>
  <c r="H142" i="5"/>
  <c r="I142" i="5"/>
  <c r="D138" i="5"/>
  <c r="E138" i="5"/>
  <c r="G138" i="5"/>
  <c r="H138" i="5"/>
  <c r="I138" i="5"/>
  <c r="D136" i="5"/>
  <c r="E136" i="5"/>
  <c r="G136" i="5"/>
  <c r="H136" i="5"/>
  <c r="I136" i="5"/>
  <c r="D132" i="5"/>
  <c r="E132" i="5"/>
  <c r="G132" i="5"/>
  <c r="H132" i="5"/>
  <c r="I132" i="5"/>
  <c r="D143" i="5"/>
  <c r="E143" i="5"/>
  <c r="G143" i="5"/>
  <c r="H143" i="5"/>
  <c r="I143" i="5"/>
  <c r="D166" i="5"/>
  <c r="E166" i="5"/>
  <c r="G166" i="5"/>
  <c r="H166" i="5"/>
  <c r="I166" i="5"/>
  <c r="D178" i="5"/>
  <c r="E178" i="5"/>
  <c r="G178" i="5"/>
  <c r="H178" i="5"/>
  <c r="I178" i="5"/>
  <c r="K303" i="3" l="1"/>
  <c r="L303" i="3" s="1"/>
  <c r="K291" i="3"/>
  <c r="L291" i="3" s="1"/>
  <c r="K279" i="3"/>
  <c r="L279" i="3" s="1"/>
  <c r="K267" i="3"/>
  <c r="L267" i="3" s="1"/>
  <c r="K255" i="3"/>
  <c r="L255" i="3" s="1"/>
  <c r="J300" i="3"/>
  <c r="K300" i="3" s="1"/>
  <c r="L300" i="3" s="1"/>
  <c r="K310" i="3"/>
  <c r="L310" i="3" s="1"/>
  <c r="K298" i="3"/>
  <c r="L298" i="3" s="1"/>
  <c r="K286" i="3"/>
  <c r="L286" i="3" s="1"/>
  <c r="K274" i="3"/>
  <c r="L274" i="3" s="1"/>
  <c r="K262" i="3"/>
  <c r="L262" i="3" s="1"/>
  <c r="K243" i="3"/>
  <c r="L243" i="3" s="1"/>
  <c r="J312" i="3"/>
  <c r="K312" i="3" s="1"/>
  <c r="L312" i="3" s="1"/>
  <c r="J278" i="3"/>
  <c r="K278" i="3" s="1"/>
  <c r="L278" i="3" s="1"/>
  <c r="J276" i="3"/>
  <c r="K276" i="3" s="1"/>
  <c r="L276" i="3" s="1"/>
  <c r="K306" i="3"/>
  <c r="K294" i="3"/>
  <c r="L294" i="3" s="1"/>
  <c r="K282" i="3"/>
  <c r="L282" i="3" s="1"/>
  <c r="K270" i="3"/>
  <c r="L270" i="3" s="1"/>
  <c r="K258" i="3"/>
  <c r="L258" i="3" s="1"/>
  <c r="K246" i="3"/>
  <c r="L246" i="3" s="1"/>
  <c r="K250" i="3"/>
  <c r="L250" i="3" s="1"/>
  <c r="K288" i="3"/>
  <c r="L288" i="3" s="1"/>
  <c r="K307" i="3"/>
  <c r="L307" i="3" s="1"/>
  <c r="K295" i="3"/>
  <c r="L295" i="3" s="1"/>
  <c r="K283" i="3"/>
  <c r="L283" i="3" s="1"/>
  <c r="K271" i="3"/>
  <c r="L271" i="3" s="1"/>
  <c r="J261" i="3"/>
  <c r="K261" i="3" s="1"/>
  <c r="L261" i="3" s="1"/>
  <c r="K242" i="3"/>
  <c r="L242" i="3" s="1"/>
  <c r="J290" i="3"/>
  <c r="K290" i="3" s="1"/>
  <c r="L290" i="3" s="1"/>
  <c r="K302" i="3"/>
  <c r="L302" i="3" s="1"/>
  <c r="K259" i="3"/>
  <c r="L259" i="3" s="1"/>
  <c r="K247" i="3"/>
  <c r="L247" i="3" s="1"/>
  <c r="J260" i="3"/>
  <c r="K260" i="3" s="1"/>
  <c r="L260" i="3" s="1"/>
  <c r="K254" i="3"/>
  <c r="L254" i="3" s="1"/>
  <c r="J253" i="3"/>
  <c r="K253" i="3" s="1"/>
  <c r="L253" i="3" s="1"/>
  <c r="J296" i="3"/>
  <c r="K296" i="3" s="1"/>
  <c r="L296" i="3" s="1"/>
  <c r="J297" i="3"/>
  <c r="K297" i="3" s="1"/>
  <c r="L297" i="3" s="1"/>
  <c r="J285" i="3"/>
  <c r="K285" i="3" s="1"/>
  <c r="L285" i="3" s="1"/>
  <c r="K311" i="3"/>
  <c r="L311" i="3" s="1"/>
  <c r="J284" i="3"/>
  <c r="K284" i="3" s="1"/>
  <c r="L284" i="3" s="1"/>
  <c r="K275" i="3"/>
  <c r="L275" i="3" s="1"/>
  <c r="J249" i="3"/>
  <c r="K249" i="3" s="1"/>
  <c r="L249" i="3" s="1"/>
  <c r="K251" i="3"/>
  <c r="L251" i="3" s="1"/>
  <c r="J309" i="3"/>
  <c r="K309" i="3" s="1"/>
  <c r="L309" i="3" s="1"/>
  <c r="J277" i="3"/>
  <c r="K277" i="3" s="1"/>
  <c r="L277" i="3" s="1"/>
  <c r="J248" i="3"/>
  <c r="K248" i="3" s="1"/>
  <c r="L248" i="3" s="1"/>
  <c r="K263" i="3"/>
  <c r="L263" i="3" s="1"/>
  <c r="L239" i="3"/>
  <c r="J308" i="3"/>
  <c r="K308" i="3" s="1"/>
  <c r="L308" i="3" s="1"/>
  <c r="K299" i="3"/>
  <c r="L299" i="3" s="1"/>
  <c r="J273" i="3"/>
  <c r="K273" i="3" s="1"/>
  <c r="L273" i="3" s="1"/>
  <c r="K287" i="3"/>
  <c r="L287" i="3" s="1"/>
  <c r="K266" i="3"/>
  <c r="L266" i="3" s="1"/>
  <c r="J301" i="3"/>
  <c r="K301" i="3" s="1"/>
  <c r="L301" i="3" s="1"/>
  <c r="J272" i="3"/>
  <c r="K272" i="3" s="1"/>
  <c r="L272" i="3" s="1"/>
  <c r="K239" i="3"/>
  <c r="K281" i="3"/>
  <c r="L281" i="3" s="1"/>
  <c r="K289" i="3"/>
  <c r="L289" i="3" s="1"/>
  <c r="K265" i="3"/>
  <c r="L265" i="3" s="1"/>
  <c r="K241" i="3"/>
  <c r="L241" i="3" s="1"/>
  <c r="J305" i="3"/>
  <c r="K305" i="3" s="1"/>
  <c r="L305" i="3" s="1"/>
  <c r="J257" i="3"/>
  <c r="K257" i="3" s="1"/>
  <c r="L257" i="3" s="1"/>
  <c r="K264" i="3"/>
  <c r="L264" i="3" s="1"/>
  <c r="K252" i="3"/>
  <c r="L252" i="3" s="1"/>
  <c r="K240" i="3"/>
  <c r="L240" i="3" s="1"/>
  <c r="L280" i="3"/>
  <c r="L292" i="3"/>
  <c r="L244" i="3"/>
  <c r="J269" i="3"/>
  <c r="K269" i="3" s="1"/>
  <c r="L269" i="3" s="1"/>
  <c r="L304" i="3"/>
  <c r="L256" i="3"/>
  <c r="K293" i="3"/>
  <c r="L293" i="3" s="1"/>
  <c r="L268" i="3"/>
  <c r="K245" i="3"/>
  <c r="L245" i="3" s="1"/>
  <c r="L306" i="3"/>
  <c r="K230" i="3"/>
  <c r="J232" i="3"/>
  <c r="K232" i="3" s="1"/>
  <c r="L232" i="3" s="1"/>
  <c r="J226" i="3"/>
  <c r="K226" i="3" s="1"/>
  <c r="L226" i="3" s="1"/>
  <c r="K231" i="3"/>
  <c r="L231" i="3" s="1"/>
  <c r="J238" i="3"/>
  <c r="K238" i="3" s="1"/>
  <c r="L238" i="3" s="1"/>
  <c r="K229" i="3"/>
  <c r="L229" i="3" s="1"/>
  <c r="J237" i="3"/>
  <c r="K237" i="3" s="1"/>
  <c r="L237" i="3" s="1"/>
  <c r="K228" i="3"/>
  <c r="L228" i="3" s="1"/>
  <c r="J236" i="3"/>
  <c r="K236" i="3" s="1"/>
  <c r="L236" i="3" s="1"/>
  <c r="K227" i="3"/>
  <c r="L227" i="3" s="1"/>
  <c r="J235" i="3"/>
  <c r="K235" i="3" s="1"/>
  <c r="L235" i="3" s="1"/>
  <c r="J234" i="3"/>
  <c r="K234" i="3" s="1"/>
  <c r="L234" i="3" s="1"/>
  <c r="J233" i="3"/>
  <c r="K233" i="3" s="1"/>
  <c r="L233" i="3" s="1"/>
  <c r="L230" i="3"/>
  <c r="K223" i="3"/>
  <c r="L223" i="3" s="1"/>
  <c r="K225" i="3"/>
  <c r="L225" i="3" s="1"/>
  <c r="K224" i="3"/>
  <c r="L224" i="3" s="1"/>
  <c r="K213" i="3"/>
  <c r="L213" i="3" s="1"/>
  <c r="L222" i="3"/>
  <c r="K221" i="3"/>
  <c r="L221" i="3" s="1"/>
  <c r="L220" i="3"/>
  <c r="K215" i="3"/>
  <c r="L215" i="3" s="1"/>
  <c r="K214" i="3"/>
  <c r="L214" i="3" s="1"/>
  <c r="L219" i="3"/>
  <c r="L218" i="3"/>
  <c r="L217" i="3"/>
  <c r="L216" i="3"/>
  <c r="E130" i="3"/>
  <c r="F130" i="5" s="1"/>
  <c r="E131" i="3"/>
  <c r="E132" i="3"/>
  <c r="F132" i="5" s="1"/>
  <c r="E133" i="3"/>
  <c r="E134" i="3"/>
  <c r="E135" i="3"/>
  <c r="E136" i="3"/>
  <c r="F136" i="5" s="1"/>
  <c r="E137" i="3"/>
  <c r="E138" i="3"/>
  <c r="F138" i="5" s="1"/>
  <c r="E139" i="3"/>
  <c r="E141" i="3"/>
  <c r="E142" i="3"/>
  <c r="F142" i="5" s="1"/>
  <c r="E143" i="3"/>
  <c r="F143" i="5" s="1"/>
  <c r="E144" i="3"/>
  <c r="E145" i="3"/>
  <c r="F145" i="5" s="1"/>
  <c r="E146" i="3"/>
  <c r="F146" i="5" s="1"/>
  <c r="E147" i="3"/>
  <c r="F147" i="5" s="1"/>
  <c r="E148" i="3"/>
  <c r="E149" i="3"/>
  <c r="F149" i="5" s="1"/>
  <c r="E150" i="3"/>
  <c r="F150" i="5" s="1"/>
  <c r="E151" i="3"/>
  <c r="F151" i="5" s="1"/>
  <c r="E152" i="3"/>
  <c r="E153" i="3"/>
  <c r="E154" i="3"/>
  <c r="E156" i="3"/>
  <c r="E157" i="3"/>
  <c r="E158" i="3"/>
  <c r="F158" i="5" s="1"/>
  <c r="E159" i="3"/>
  <c r="F159" i="5" s="1"/>
  <c r="E160" i="3"/>
  <c r="F160" i="5" s="1"/>
  <c r="E161" i="3"/>
  <c r="F161" i="5" s="1"/>
  <c r="E162" i="3"/>
  <c r="E164" i="3"/>
  <c r="E165" i="3"/>
  <c r="E166" i="3"/>
  <c r="F166" i="5" s="1"/>
  <c r="E167" i="3"/>
  <c r="F167" i="5" s="1"/>
  <c r="E168" i="3"/>
  <c r="F168" i="5" s="1"/>
  <c r="E169" i="3"/>
  <c r="F169" i="5" s="1"/>
  <c r="E170" i="3"/>
  <c r="E171" i="3"/>
  <c r="F171" i="5" s="1"/>
  <c r="E172" i="3"/>
  <c r="E173" i="3"/>
  <c r="F173" i="5" s="1"/>
  <c r="E174" i="3"/>
  <c r="F174" i="5" s="1"/>
  <c r="E175" i="3"/>
  <c r="F175" i="5" s="1"/>
  <c r="E176" i="3"/>
  <c r="E177" i="3"/>
  <c r="E178" i="3"/>
  <c r="F178" i="5" s="1"/>
  <c r="E179" i="3"/>
  <c r="F179" i="5" s="1"/>
  <c r="E180" i="3"/>
  <c r="F180" i="5" s="1"/>
  <c r="E181" i="3"/>
  <c r="F181" i="5" s="1"/>
  <c r="E182" i="3"/>
  <c r="F182" i="5" s="1"/>
  <c r="E183" i="3"/>
  <c r="F183" i="5" s="1"/>
  <c r="E184" i="3"/>
  <c r="F184" i="5" s="1"/>
  <c r="E185" i="3"/>
  <c r="F185" i="5" s="1"/>
  <c r="E186" i="3"/>
  <c r="F186" i="5" s="1"/>
  <c r="E187" i="3"/>
  <c r="F187" i="5" s="1"/>
  <c r="E188" i="3"/>
  <c r="F188" i="5" s="1"/>
  <c r="E189" i="3"/>
  <c r="F189" i="5" s="1"/>
  <c r="E190" i="3"/>
  <c r="F190" i="5" s="1"/>
  <c r="E191" i="3"/>
  <c r="F191" i="5" s="1"/>
  <c r="E192" i="3"/>
  <c r="F192" i="5" s="1"/>
  <c r="E193" i="3"/>
  <c r="F193" i="5" s="1"/>
  <c r="E194" i="3"/>
  <c r="F194" i="5" s="1"/>
  <c r="E195" i="3"/>
  <c r="F195" i="5" s="1"/>
  <c r="E196" i="3"/>
  <c r="F196" i="5" s="1"/>
  <c r="E197" i="3"/>
  <c r="F197" i="5" s="1"/>
  <c r="E198" i="3"/>
  <c r="F198" i="5" s="1"/>
  <c r="E199" i="3"/>
  <c r="F199" i="5" s="1"/>
  <c r="E200" i="3"/>
  <c r="F200" i="5" s="1"/>
  <c r="E201" i="3"/>
  <c r="F201" i="5" s="1"/>
  <c r="E202" i="3"/>
  <c r="F202" i="5" s="1"/>
  <c r="E203" i="3"/>
  <c r="F203" i="5" s="1"/>
  <c r="E204" i="3"/>
  <c r="F204" i="5" s="1"/>
  <c r="E205" i="3"/>
  <c r="F205" i="5" s="1"/>
  <c r="E206" i="3"/>
  <c r="F206" i="5" s="1"/>
  <c r="E207" i="3"/>
  <c r="F207" i="5" s="1"/>
  <c r="E208" i="3"/>
  <c r="F208" i="5" s="1"/>
  <c r="E209" i="3"/>
  <c r="F209" i="5" s="1"/>
  <c r="E210" i="3"/>
  <c r="F210" i="5" s="1"/>
  <c r="E211" i="3"/>
  <c r="F211" i="5" s="1"/>
  <c r="E212" i="3"/>
  <c r="F212" i="5" s="1"/>
  <c r="E155" i="3"/>
  <c r="E163" i="3"/>
  <c r="E129" i="3"/>
  <c r="F129" i="5" s="1"/>
  <c r="E140" i="3"/>
  <c r="I179" i="3" l="1"/>
  <c r="I180" i="3"/>
  <c r="I181" i="3"/>
  <c r="J181" i="3" s="1"/>
  <c r="I182" i="3"/>
  <c r="J182" i="3" s="1"/>
  <c r="I183" i="3"/>
  <c r="J183" i="3" s="1"/>
  <c r="I184" i="3"/>
  <c r="I185" i="3"/>
  <c r="I186" i="3"/>
  <c r="J186" i="3" s="1"/>
  <c r="I187" i="3"/>
  <c r="I188" i="3"/>
  <c r="I189" i="3"/>
  <c r="J189" i="3" s="1"/>
  <c r="I190" i="3"/>
  <c r="J190" i="3" s="1"/>
  <c r="I191" i="3"/>
  <c r="I192" i="3"/>
  <c r="I193" i="3"/>
  <c r="J193" i="3" s="1"/>
  <c r="I194" i="3"/>
  <c r="J194" i="3" s="1"/>
  <c r="I195" i="3"/>
  <c r="J195" i="3" s="1"/>
  <c r="I196" i="3"/>
  <c r="J196" i="3" s="1"/>
  <c r="I197" i="3"/>
  <c r="J197" i="3" s="1"/>
  <c r="I198" i="3"/>
  <c r="I199" i="3"/>
  <c r="J199" i="3" s="1"/>
  <c r="I200" i="3"/>
  <c r="I201" i="3"/>
  <c r="J201" i="3" s="1"/>
  <c r="I202" i="3"/>
  <c r="J202" i="3" s="1"/>
  <c r="I203" i="3"/>
  <c r="I204" i="3"/>
  <c r="I205" i="3"/>
  <c r="I206" i="3"/>
  <c r="J206" i="3" s="1"/>
  <c r="I207" i="3"/>
  <c r="I208" i="3"/>
  <c r="I209" i="3"/>
  <c r="I210" i="3"/>
  <c r="I211" i="3"/>
  <c r="I212" i="3"/>
  <c r="M179" i="3"/>
  <c r="N179" i="3" s="1"/>
  <c r="M180" i="3"/>
  <c r="N180" i="3" s="1"/>
  <c r="M181" i="3"/>
  <c r="N181" i="3" s="1"/>
  <c r="M182" i="3"/>
  <c r="N182" i="3" s="1"/>
  <c r="M183" i="3"/>
  <c r="N183" i="3" s="1"/>
  <c r="M184" i="3"/>
  <c r="N184" i="3" s="1"/>
  <c r="M185" i="3"/>
  <c r="N185" i="3" s="1"/>
  <c r="M186" i="3"/>
  <c r="N186" i="3" s="1"/>
  <c r="M187" i="3"/>
  <c r="N187" i="3" s="1"/>
  <c r="M188" i="3"/>
  <c r="N188" i="3" s="1"/>
  <c r="M189" i="3"/>
  <c r="N189" i="3" s="1"/>
  <c r="M190" i="3"/>
  <c r="N190" i="3" s="1"/>
  <c r="M191" i="3"/>
  <c r="N191" i="3" s="1"/>
  <c r="M192" i="3"/>
  <c r="N192" i="3" s="1"/>
  <c r="M193" i="3"/>
  <c r="N193" i="3" s="1"/>
  <c r="M194" i="3"/>
  <c r="N194" i="3" s="1"/>
  <c r="M195" i="3"/>
  <c r="N195" i="3" s="1"/>
  <c r="M196" i="3"/>
  <c r="N196" i="3" s="1"/>
  <c r="M197" i="3"/>
  <c r="N197" i="3" s="1"/>
  <c r="M198" i="3"/>
  <c r="N198" i="3" s="1"/>
  <c r="M199" i="3"/>
  <c r="N199" i="3" s="1"/>
  <c r="M200" i="3"/>
  <c r="N200" i="3" s="1"/>
  <c r="M201" i="3"/>
  <c r="N201" i="3" s="1"/>
  <c r="M202" i="3"/>
  <c r="N202" i="3" s="1"/>
  <c r="M203" i="3"/>
  <c r="N203" i="3" s="1"/>
  <c r="M204" i="3"/>
  <c r="N204" i="3" s="1"/>
  <c r="M205" i="3"/>
  <c r="N205" i="3" s="1"/>
  <c r="M206" i="3"/>
  <c r="N206" i="3" s="1"/>
  <c r="M207" i="3"/>
  <c r="N207" i="3" s="1"/>
  <c r="M208" i="3"/>
  <c r="N208" i="3" s="1"/>
  <c r="M209" i="3"/>
  <c r="N209" i="3" s="1"/>
  <c r="M210" i="3"/>
  <c r="N210" i="3" s="1"/>
  <c r="M211" i="3"/>
  <c r="N211" i="3" s="1"/>
  <c r="M212" i="3"/>
  <c r="N212" i="3" s="1"/>
  <c r="I178" i="3"/>
  <c r="J178" i="3" s="1"/>
  <c r="M178" i="3"/>
  <c r="N178" i="3" s="1"/>
  <c r="F65" i="2"/>
  <c r="F64" i="2"/>
  <c r="F18" i="2"/>
  <c r="F23" i="2"/>
  <c r="F28" i="2"/>
  <c r="F31" i="2"/>
  <c r="F36" i="2"/>
  <c r="F50" i="2"/>
  <c r="F155" i="5"/>
  <c r="F163" i="5"/>
  <c r="F131" i="5"/>
  <c r="F133" i="5"/>
  <c r="F134" i="5"/>
  <c r="F135" i="5"/>
  <c r="F137" i="5"/>
  <c r="F139" i="5"/>
  <c r="F141" i="5"/>
  <c r="F144" i="5"/>
  <c r="F148" i="5"/>
  <c r="F152" i="5"/>
  <c r="F153" i="5"/>
  <c r="F154" i="5"/>
  <c r="F156" i="5"/>
  <c r="F157" i="5"/>
  <c r="F162" i="5"/>
  <c r="F164" i="5"/>
  <c r="F165" i="5"/>
  <c r="F170" i="5"/>
  <c r="F172" i="5"/>
  <c r="F176" i="5"/>
  <c r="F177" i="5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C4" i="2"/>
  <c r="D177" i="5"/>
  <c r="E177" i="5"/>
  <c r="G177" i="5"/>
  <c r="H177" i="5"/>
  <c r="I177" i="5"/>
  <c r="M177" i="3" s="1"/>
  <c r="N177" i="3" s="1"/>
  <c r="D176" i="5"/>
  <c r="E176" i="5"/>
  <c r="G176" i="5"/>
  <c r="H176" i="5"/>
  <c r="I176" i="5"/>
  <c r="M176" i="3" s="1"/>
  <c r="N176" i="3" s="1"/>
  <c r="D172" i="5"/>
  <c r="E172" i="5"/>
  <c r="G172" i="5"/>
  <c r="H172" i="5"/>
  <c r="I172" i="5"/>
  <c r="M172" i="3" s="1"/>
  <c r="N172" i="3" s="1"/>
  <c r="D170" i="5"/>
  <c r="E170" i="5"/>
  <c r="G170" i="5"/>
  <c r="H170" i="5"/>
  <c r="I170" i="5"/>
  <c r="M170" i="3" s="1"/>
  <c r="N170" i="3" s="1"/>
  <c r="D165" i="5"/>
  <c r="E165" i="5"/>
  <c r="G165" i="5"/>
  <c r="H165" i="5"/>
  <c r="I165" i="5"/>
  <c r="M165" i="3" s="1"/>
  <c r="N165" i="3" s="1"/>
  <c r="D164" i="5"/>
  <c r="E164" i="5"/>
  <c r="G164" i="5"/>
  <c r="H164" i="5"/>
  <c r="I164" i="5"/>
  <c r="M164" i="3" s="1"/>
  <c r="N164" i="3" s="1"/>
  <c r="D162" i="5"/>
  <c r="E162" i="5"/>
  <c r="G162" i="5"/>
  <c r="H162" i="5"/>
  <c r="I162" i="5"/>
  <c r="M162" i="3" s="1"/>
  <c r="N162" i="3" s="1"/>
  <c r="D157" i="5"/>
  <c r="E157" i="5"/>
  <c r="G157" i="5"/>
  <c r="H157" i="5"/>
  <c r="I157" i="5"/>
  <c r="M157" i="3" s="1"/>
  <c r="N157" i="3" s="1"/>
  <c r="K157" i="3" s="1"/>
  <c r="D156" i="5"/>
  <c r="E156" i="5"/>
  <c r="G156" i="5"/>
  <c r="H156" i="5"/>
  <c r="I156" i="5"/>
  <c r="M156" i="3" s="1"/>
  <c r="N156" i="3" s="1"/>
  <c r="K156" i="3" s="1"/>
  <c r="D154" i="5"/>
  <c r="E154" i="5"/>
  <c r="G154" i="5"/>
  <c r="H154" i="5"/>
  <c r="I154" i="5"/>
  <c r="M154" i="3" s="1"/>
  <c r="N154" i="3" s="1"/>
  <c r="D153" i="5"/>
  <c r="E153" i="5"/>
  <c r="G153" i="5"/>
  <c r="H153" i="5"/>
  <c r="I153" i="5"/>
  <c r="M153" i="3" s="1"/>
  <c r="N153" i="3" s="1"/>
  <c r="D152" i="5"/>
  <c r="E152" i="5"/>
  <c r="G152" i="5"/>
  <c r="H152" i="5"/>
  <c r="I152" i="5"/>
  <c r="M152" i="3" s="1"/>
  <c r="N152" i="3" s="1"/>
  <c r="D148" i="5"/>
  <c r="E148" i="5"/>
  <c r="G148" i="5"/>
  <c r="H148" i="5"/>
  <c r="I148" i="5"/>
  <c r="M148" i="3" s="1"/>
  <c r="N148" i="3" s="1"/>
  <c r="D144" i="5"/>
  <c r="E144" i="5"/>
  <c r="G144" i="5"/>
  <c r="H144" i="5"/>
  <c r="I144" i="5"/>
  <c r="M144" i="3" s="1"/>
  <c r="N144" i="3" s="1"/>
  <c r="D141" i="5"/>
  <c r="E141" i="5"/>
  <c r="G141" i="5"/>
  <c r="H141" i="5"/>
  <c r="I141" i="5"/>
  <c r="M141" i="3" s="1"/>
  <c r="N141" i="3" s="1"/>
  <c r="D139" i="5"/>
  <c r="E139" i="5"/>
  <c r="G139" i="5"/>
  <c r="H139" i="5"/>
  <c r="I139" i="5"/>
  <c r="M139" i="3" s="1"/>
  <c r="N139" i="3" s="1"/>
  <c r="D137" i="5"/>
  <c r="E137" i="5"/>
  <c r="G137" i="5"/>
  <c r="H137" i="5"/>
  <c r="I137" i="5"/>
  <c r="M137" i="3" s="1"/>
  <c r="N137" i="3" s="1"/>
  <c r="D135" i="5"/>
  <c r="E135" i="5"/>
  <c r="G135" i="5"/>
  <c r="H135" i="5"/>
  <c r="I135" i="5"/>
  <c r="M135" i="3" s="1"/>
  <c r="N135" i="3" s="1"/>
  <c r="D134" i="5"/>
  <c r="E134" i="5"/>
  <c r="G134" i="5"/>
  <c r="H134" i="5"/>
  <c r="I134" i="5"/>
  <c r="M134" i="3" s="1"/>
  <c r="N134" i="3" s="1"/>
  <c r="K134" i="3" s="1"/>
  <c r="D133" i="5"/>
  <c r="E133" i="5"/>
  <c r="G133" i="5"/>
  <c r="H133" i="5"/>
  <c r="I133" i="5"/>
  <c r="M133" i="3" s="1"/>
  <c r="N133" i="3" s="1"/>
  <c r="K133" i="3" s="1"/>
  <c r="I164" i="3"/>
  <c r="I165" i="3"/>
  <c r="J165" i="3" s="1"/>
  <c r="I166" i="3"/>
  <c r="J166" i="3" s="1"/>
  <c r="I167" i="3"/>
  <c r="J167" i="3" s="1"/>
  <c r="I168" i="3"/>
  <c r="I169" i="3"/>
  <c r="I170" i="3"/>
  <c r="J170" i="3" s="1"/>
  <c r="I171" i="3"/>
  <c r="I172" i="3"/>
  <c r="J172" i="3" s="1"/>
  <c r="I173" i="3"/>
  <c r="J173" i="3" s="1"/>
  <c r="I174" i="3"/>
  <c r="J174" i="3" s="1"/>
  <c r="I175" i="3"/>
  <c r="I176" i="3"/>
  <c r="I177" i="3"/>
  <c r="J177" i="3" s="1"/>
  <c r="M166" i="3"/>
  <c r="N166" i="3" s="1"/>
  <c r="M167" i="3"/>
  <c r="N167" i="3" s="1"/>
  <c r="M168" i="3"/>
  <c r="N168" i="3" s="1"/>
  <c r="M169" i="3"/>
  <c r="N169" i="3" s="1"/>
  <c r="M171" i="3"/>
  <c r="N171" i="3" s="1"/>
  <c r="M173" i="3"/>
  <c r="N173" i="3" s="1"/>
  <c r="M174" i="3"/>
  <c r="N174" i="3" s="1"/>
  <c r="M175" i="3"/>
  <c r="N175" i="3" s="1"/>
  <c r="I156" i="3"/>
  <c r="J156" i="3" s="1"/>
  <c r="I157" i="3"/>
  <c r="J157" i="3" s="1"/>
  <c r="I158" i="3"/>
  <c r="J158" i="3" s="1"/>
  <c r="I159" i="3"/>
  <c r="J159" i="3" s="1"/>
  <c r="I160" i="3"/>
  <c r="J160" i="3" s="1"/>
  <c r="I161" i="3"/>
  <c r="J161" i="3" s="1"/>
  <c r="I162" i="3"/>
  <c r="J162" i="3" s="1"/>
  <c r="M158" i="3"/>
  <c r="N158" i="3" s="1"/>
  <c r="M159" i="3"/>
  <c r="N159" i="3" s="1"/>
  <c r="M160" i="3"/>
  <c r="N160" i="3" s="1"/>
  <c r="M161" i="3"/>
  <c r="N161" i="3" s="1"/>
  <c r="I141" i="3"/>
  <c r="J141" i="3" s="1"/>
  <c r="I142" i="3"/>
  <c r="I143" i="3"/>
  <c r="J143" i="3" s="1"/>
  <c r="I144" i="3"/>
  <c r="I145" i="3"/>
  <c r="I146" i="3"/>
  <c r="J146" i="3" s="1"/>
  <c r="I147" i="3"/>
  <c r="I148" i="3"/>
  <c r="I149" i="3"/>
  <c r="J149" i="3" s="1"/>
  <c r="I150" i="3"/>
  <c r="J150" i="3" s="1"/>
  <c r="I151" i="3"/>
  <c r="J151" i="3" s="1"/>
  <c r="I152" i="3"/>
  <c r="J152" i="3" s="1"/>
  <c r="I153" i="3"/>
  <c r="J153" i="3" s="1"/>
  <c r="I154" i="3"/>
  <c r="J154" i="3" s="1"/>
  <c r="M142" i="3"/>
  <c r="N142" i="3" s="1"/>
  <c r="M143" i="3"/>
  <c r="N143" i="3" s="1"/>
  <c r="M145" i="3"/>
  <c r="N145" i="3" s="1"/>
  <c r="M146" i="3"/>
  <c r="N146" i="3" s="1"/>
  <c r="M147" i="3"/>
  <c r="N147" i="3" s="1"/>
  <c r="M149" i="3"/>
  <c r="N149" i="3" s="1"/>
  <c r="M150" i="3"/>
  <c r="N150" i="3" s="1"/>
  <c r="M151" i="3"/>
  <c r="N151" i="3" s="1"/>
  <c r="I130" i="3"/>
  <c r="I131" i="3"/>
  <c r="I132" i="3"/>
  <c r="J132" i="3" s="1"/>
  <c r="I133" i="3"/>
  <c r="J133" i="3" s="1"/>
  <c r="I134" i="3"/>
  <c r="J134" i="3" s="1"/>
  <c r="I135" i="3"/>
  <c r="J135" i="3" s="1"/>
  <c r="I136" i="3"/>
  <c r="J136" i="3" s="1"/>
  <c r="I137" i="3"/>
  <c r="J137" i="3" s="1"/>
  <c r="I138" i="3"/>
  <c r="J138" i="3" s="1"/>
  <c r="I139" i="3"/>
  <c r="J139" i="3" s="1"/>
  <c r="M130" i="3"/>
  <c r="N130" i="3" s="1"/>
  <c r="M132" i="3"/>
  <c r="N132" i="3" s="1"/>
  <c r="M136" i="3"/>
  <c r="N136" i="3" s="1"/>
  <c r="M138" i="3"/>
  <c r="N138" i="3" s="1"/>
  <c r="F39" i="2"/>
  <c r="F40" i="2"/>
  <c r="F41" i="2"/>
  <c r="F42" i="2"/>
  <c r="F43" i="2"/>
  <c r="F44" i="2"/>
  <c r="F45" i="2"/>
  <c r="F46" i="2"/>
  <c r="F47" i="2"/>
  <c r="F48" i="2"/>
  <c r="F49" i="2"/>
  <c r="F34" i="2"/>
  <c r="F35" i="2"/>
  <c r="F37" i="2"/>
  <c r="F38" i="2"/>
  <c r="F26" i="2"/>
  <c r="F27" i="2"/>
  <c r="F29" i="2"/>
  <c r="F30" i="2"/>
  <c r="F32" i="2"/>
  <c r="F33" i="2"/>
  <c r="F16" i="2"/>
  <c r="F17" i="2"/>
  <c r="F19" i="2"/>
  <c r="F20" i="2"/>
  <c r="F21" i="2"/>
  <c r="F22" i="2"/>
  <c r="F24" i="2"/>
  <c r="F25" i="2"/>
  <c r="F15" i="2"/>
  <c r="I129" i="3"/>
  <c r="J129" i="3" s="1"/>
  <c r="M129" i="3"/>
  <c r="N129" i="3" s="1"/>
  <c r="D131" i="5"/>
  <c r="E131" i="5"/>
  <c r="G131" i="5"/>
  <c r="H131" i="5"/>
  <c r="I131" i="5"/>
  <c r="F140" i="5"/>
  <c r="F14" i="2"/>
  <c r="I163" i="3"/>
  <c r="J163" i="3" s="1"/>
  <c r="D163" i="5"/>
  <c r="E163" i="5"/>
  <c r="G163" i="5"/>
  <c r="H163" i="5"/>
  <c r="I163" i="5"/>
  <c r="M163" i="3" s="1"/>
  <c r="N163" i="3" s="1"/>
  <c r="K163" i="3" s="1"/>
  <c r="I155" i="3"/>
  <c r="J155" i="3" s="1"/>
  <c r="D155" i="5"/>
  <c r="E155" i="5"/>
  <c r="G155" i="5"/>
  <c r="H155" i="5"/>
  <c r="I155" i="5"/>
  <c r="M155" i="3" s="1"/>
  <c r="N155" i="3" s="1"/>
  <c r="D140" i="5"/>
  <c r="E140" i="5"/>
  <c r="G140" i="5"/>
  <c r="H140" i="5"/>
  <c r="I140" i="5"/>
  <c r="I140" i="3"/>
  <c r="J140" i="3" s="1"/>
  <c r="F13" i="2"/>
  <c r="O1066" i="3" l="1" a="1"/>
  <c r="O1066" i="3" s="1"/>
  <c r="O1076" i="3" a="1"/>
  <c r="O1076" i="3" s="1"/>
  <c r="O1106" i="3" a="1"/>
  <c r="O1106" i="3" s="1"/>
  <c r="O1101" i="3" a="1"/>
  <c r="O1101" i="3" s="1"/>
  <c r="O1103" i="3" a="1"/>
  <c r="O1103" i="3" s="1"/>
  <c r="O1107" i="3" a="1"/>
  <c r="O1107" i="3" s="1"/>
  <c r="O1072" i="3" a="1"/>
  <c r="O1072" i="3" s="1"/>
  <c r="O1096" i="3" a="1"/>
  <c r="O1096" i="3" s="1"/>
  <c r="O1067" i="3" a="1"/>
  <c r="O1067" i="3" s="1"/>
  <c r="O1069" i="3" a="1"/>
  <c r="O1069" i="3" s="1"/>
  <c r="O1097" i="3" a="1"/>
  <c r="O1097" i="3" s="1"/>
  <c r="O1092" i="3" a="1"/>
  <c r="O1092" i="3" s="1"/>
  <c r="O1086" i="3" a="1"/>
  <c r="O1086" i="3" s="1"/>
  <c r="O1108" i="3" a="1"/>
  <c r="O1108" i="3" s="1"/>
  <c r="O1093" i="3" a="1"/>
  <c r="O1093" i="3" s="1"/>
  <c r="O1088" i="3" a="1"/>
  <c r="O1088" i="3" s="1"/>
  <c r="O1071" i="3" a="1"/>
  <c r="O1071" i="3" s="1"/>
  <c r="O1084" i="3" a="1"/>
  <c r="O1084" i="3" s="1"/>
  <c r="O1070" i="3" a="1"/>
  <c r="O1070" i="3" s="1"/>
  <c r="O1082" i="3" a="1"/>
  <c r="O1082" i="3" s="1"/>
  <c r="O1077" i="3" a="1"/>
  <c r="O1077" i="3" s="1"/>
  <c r="O1079" i="3" a="1"/>
  <c r="O1079" i="3" s="1"/>
  <c r="O1073" i="3" a="1"/>
  <c r="O1073" i="3" s="1"/>
  <c r="O1078" i="3" a="1"/>
  <c r="O1078" i="3" s="1"/>
  <c r="O1102" i="3" a="1"/>
  <c r="O1102" i="3" s="1"/>
  <c r="O1081" i="3" a="1"/>
  <c r="O1081" i="3" s="1"/>
  <c r="O1075" i="3" a="1"/>
  <c r="O1075" i="3" s="1"/>
  <c r="O1095" i="3" a="1"/>
  <c r="O1095" i="3" s="1"/>
  <c r="O1068" i="3" a="1"/>
  <c r="O1068" i="3" s="1"/>
  <c r="O1098" i="3" a="1"/>
  <c r="O1098" i="3" s="1"/>
  <c r="O1087" i="3" a="1"/>
  <c r="O1087" i="3" s="1"/>
  <c r="O1105" i="3" a="1"/>
  <c r="O1105" i="3" s="1"/>
  <c r="O1099" i="3" a="1"/>
  <c r="O1099" i="3" s="1"/>
  <c r="O1100" i="3" a="1"/>
  <c r="O1100" i="3" s="1"/>
  <c r="O1083" i="3" a="1"/>
  <c r="O1083" i="3" s="1"/>
  <c r="O1104" i="3" a="1"/>
  <c r="O1104" i="3" s="1"/>
  <c r="O1094" i="3" a="1"/>
  <c r="O1094" i="3" s="1"/>
  <c r="O1089" i="3" a="1"/>
  <c r="O1089" i="3" s="1"/>
  <c r="O1091" i="3" a="1"/>
  <c r="O1091" i="3" s="1"/>
  <c r="O1085" i="3" a="1"/>
  <c r="O1085" i="3" s="1"/>
  <c r="O1090" i="3" a="1"/>
  <c r="O1090" i="3" s="1"/>
  <c r="O1080" i="3" a="1"/>
  <c r="O1080" i="3" s="1"/>
  <c r="O1074" i="3" a="1"/>
  <c r="O1074" i="3" s="1"/>
  <c r="O1053" i="3" a="1"/>
  <c r="O1053" i="3" s="1"/>
  <c r="O1054" i="3" a="1"/>
  <c r="O1054" i="3" s="1"/>
  <c r="O1060" i="3" a="1"/>
  <c r="O1060" i="3" s="1"/>
  <c r="O1061" i="3" a="1"/>
  <c r="O1061" i="3" s="1"/>
  <c r="O1057" i="3" a="1"/>
  <c r="O1057" i="3" s="1"/>
  <c r="O1055" i="3" a="1"/>
  <c r="O1055" i="3" s="1"/>
  <c r="O1065" i="3" a="1"/>
  <c r="O1065" i="3" s="1"/>
  <c r="O1062" i="3" a="1"/>
  <c r="O1062" i="3" s="1"/>
  <c r="O1056" i="3" a="1"/>
  <c r="O1056" i="3" s="1"/>
  <c r="O1063" i="3" a="1"/>
  <c r="O1063" i="3" s="1"/>
  <c r="O1064" i="3" a="1"/>
  <c r="O1064" i="3" s="1"/>
  <c r="O1059" i="3" a="1"/>
  <c r="O1059" i="3" s="1"/>
  <c r="O1058" i="3" a="1"/>
  <c r="O1058" i="3" s="1"/>
  <c r="O1022" i="3" a="1"/>
  <c r="O1022" i="3" s="1"/>
  <c r="O1026" i="3" a="1"/>
  <c r="O1026" i="3" s="1"/>
  <c r="O1046" i="3" a="1"/>
  <c r="O1046" i="3" s="1"/>
  <c r="O1045" i="3" a="1"/>
  <c r="O1045" i="3" s="1"/>
  <c r="O1037" i="3" a="1"/>
  <c r="O1037" i="3" s="1"/>
  <c r="O1031" i="3" a="1"/>
  <c r="O1031" i="3" s="1"/>
  <c r="O1029" i="3" a="1"/>
  <c r="O1029" i="3" s="1"/>
  <c r="O1024" i="3" a="1"/>
  <c r="O1024" i="3" s="1"/>
  <c r="O1039" i="3" a="1"/>
  <c r="O1039" i="3" s="1"/>
  <c r="O1048" i="3" a="1"/>
  <c r="O1048" i="3" s="1"/>
  <c r="O1032" i="3" a="1"/>
  <c r="O1032" i="3" s="1"/>
  <c r="O1047" i="3" a="1"/>
  <c r="O1047" i="3" s="1"/>
  <c r="O1052" i="3" a="1"/>
  <c r="O1052" i="3" s="1"/>
  <c r="O1038" i="3" a="1"/>
  <c r="O1038" i="3" s="1"/>
  <c r="O1025" i="3" a="1"/>
  <c r="O1025" i="3" s="1"/>
  <c r="O1043" i="3" a="1"/>
  <c r="O1043" i="3" s="1"/>
  <c r="O1034" i="3" a="1"/>
  <c r="O1034" i="3" s="1"/>
  <c r="O1035" i="3" a="1"/>
  <c r="O1035" i="3" s="1"/>
  <c r="O1028" i="3" a="1"/>
  <c r="O1028" i="3" s="1"/>
  <c r="O1036" i="3" a="1"/>
  <c r="O1036" i="3" s="1"/>
  <c r="O1051" i="3" a="1"/>
  <c r="O1051" i="3" s="1"/>
  <c r="O1044" i="3" a="1"/>
  <c r="O1044" i="3" s="1"/>
  <c r="O1023" i="3" a="1"/>
  <c r="O1023" i="3" s="1"/>
  <c r="O1040" i="3" a="1"/>
  <c r="O1040" i="3" s="1"/>
  <c r="O1027" i="3" a="1"/>
  <c r="O1027" i="3" s="1"/>
  <c r="O1042" i="3" a="1"/>
  <c r="O1042" i="3" s="1"/>
  <c r="O1033" i="3" a="1"/>
  <c r="O1033" i="3" s="1"/>
  <c r="O1030" i="3" a="1"/>
  <c r="O1030" i="3" s="1"/>
  <c r="O1049" i="3" a="1"/>
  <c r="O1049" i="3" s="1"/>
  <c r="O1041" i="3" a="1"/>
  <c r="O1041" i="3" s="1"/>
  <c r="O1050" i="3" a="1"/>
  <c r="O1050" i="3" s="1"/>
  <c r="O1004" i="3" a="1"/>
  <c r="O1004" i="3" s="1"/>
  <c r="O1012" i="3" a="1"/>
  <c r="O1012" i="3" s="1"/>
  <c r="O1008" i="3" a="1"/>
  <c r="O1008" i="3" s="1"/>
  <c r="O1015" i="3" a="1"/>
  <c r="O1015" i="3" s="1"/>
  <c r="O1009" i="3" a="1"/>
  <c r="O1009" i="3" s="1"/>
  <c r="O1006" i="3" a="1"/>
  <c r="O1006" i="3" s="1"/>
  <c r="O1014" i="3" a="1"/>
  <c r="O1014" i="3" s="1"/>
  <c r="O1010" i="3" a="1"/>
  <c r="O1010" i="3" s="1"/>
  <c r="O1021" i="3" a="1"/>
  <c r="O1021" i="3" s="1"/>
  <c r="O1018" i="3" a="1"/>
  <c r="O1018" i="3" s="1"/>
  <c r="O1016" i="3" a="1"/>
  <c r="O1016" i="3" s="1"/>
  <c r="O1017" i="3" a="1"/>
  <c r="O1017" i="3" s="1"/>
  <c r="O1019" i="3" a="1"/>
  <c r="O1019" i="3" s="1"/>
  <c r="O1020" i="3" a="1"/>
  <c r="O1020" i="3" s="1"/>
  <c r="O1005" i="3" a="1"/>
  <c r="O1005" i="3" s="1"/>
  <c r="O1007" i="3" a="1"/>
  <c r="O1007" i="3" s="1"/>
  <c r="O1011" i="3" a="1"/>
  <c r="O1011" i="3" s="1"/>
  <c r="O1013" i="3" a="1"/>
  <c r="O1013" i="3" s="1"/>
  <c r="O986" i="3" a="1"/>
  <c r="O986" i="3" s="1"/>
  <c r="O988" i="3" a="1"/>
  <c r="O988" i="3" s="1"/>
  <c r="O991" i="3" a="1"/>
  <c r="O991" i="3" s="1"/>
  <c r="O992" i="3" a="1"/>
  <c r="O992" i="3" s="1"/>
  <c r="O1003" i="3" a="1"/>
  <c r="O1003" i="3" s="1"/>
  <c r="O994" i="3" a="1"/>
  <c r="O994" i="3" s="1"/>
  <c r="O996" i="3" a="1"/>
  <c r="O996" i="3" s="1"/>
  <c r="O1002" i="3" a="1"/>
  <c r="O1002" i="3" s="1"/>
  <c r="O998" i="3" a="1"/>
  <c r="O998" i="3" s="1"/>
  <c r="O995" i="3" a="1"/>
  <c r="O995" i="3" s="1"/>
  <c r="O1000" i="3" a="1"/>
  <c r="O1000" i="3" s="1"/>
  <c r="O987" i="3" a="1"/>
  <c r="O987" i="3" s="1"/>
  <c r="O989" i="3" a="1"/>
  <c r="O989" i="3" s="1"/>
  <c r="O999" i="3" a="1"/>
  <c r="O999" i="3" s="1"/>
  <c r="O1001" i="3" a="1"/>
  <c r="O1001" i="3" s="1"/>
  <c r="O993" i="3" a="1"/>
  <c r="O993" i="3" s="1"/>
  <c r="O990" i="3" a="1"/>
  <c r="O990" i="3" s="1"/>
  <c r="O997" i="3" a="1"/>
  <c r="O997" i="3" s="1"/>
  <c r="O964" i="3" a="1"/>
  <c r="O964" i="3" s="1"/>
  <c r="O979" i="3" a="1"/>
  <c r="O979" i="3" s="1"/>
  <c r="O966" i="3" a="1"/>
  <c r="O966" i="3" s="1"/>
  <c r="O973" i="3" a="1"/>
  <c r="O973" i="3" s="1"/>
  <c r="O965" i="3" a="1"/>
  <c r="O965" i="3" s="1"/>
  <c r="O980" i="3" a="1"/>
  <c r="O980" i="3" s="1"/>
  <c r="O957" i="3" a="1"/>
  <c r="O957" i="3" s="1"/>
  <c r="O978" i="3" a="1"/>
  <c r="O978" i="3" s="1"/>
  <c r="O960" i="3" a="1"/>
  <c r="O960" i="3" s="1"/>
  <c r="O976" i="3" a="1"/>
  <c r="O976" i="3" s="1"/>
  <c r="O975" i="3" a="1"/>
  <c r="O975" i="3" s="1"/>
  <c r="O984" i="3" a="1"/>
  <c r="O984" i="3" s="1"/>
  <c r="O972" i="3" a="1"/>
  <c r="O972" i="3" s="1"/>
  <c r="O985" i="3" a="1"/>
  <c r="O985" i="3" s="1"/>
  <c r="O971" i="3" a="1"/>
  <c r="O971" i="3" s="1"/>
  <c r="O981" i="3" a="1"/>
  <c r="O981" i="3" s="1"/>
  <c r="O963" i="3" a="1"/>
  <c r="O963" i="3" s="1"/>
  <c r="O962" i="3" a="1"/>
  <c r="O962" i="3" s="1"/>
  <c r="O958" i="3" a="1"/>
  <c r="O958" i="3" s="1"/>
  <c r="O983" i="3" a="1"/>
  <c r="O983" i="3" s="1"/>
  <c r="O982" i="3" a="1"/>
  <c r="O982" i="3" s="1"/>
  <c r="O968" i="3" a="1"/>
  <c r="O968" i="3" s="1"/>
  <c r="O961" i="3" a="1"/>
  <c r="O961" i="3" s="1"/>
  <c r="O977" i="3" a="1"/>
  <c r="O977" i="3" s="1"/>
  <c r="O969" i="3" a="1"/>
  <c r="O969" i="3" s="1"/>
  <c r="O967" i="3" a="1"/>
  <c r="O967" i="3" s="1"/>
  <c r="O959" i="3" a="1"/>
  <c r="O959" i="3" s="1"/>
  <c r="O970" i="3" a="1"/>
  <c r="O970" i="3" s="1"/>
  <c r="O974" i="3" a="1"/>
  <c r="O974" i="3" s="1"/>
  <c r="O956" i="3" a="1"/>
  <c r="O956" i="3" s="1"/>
  <c r="O908" i="3" a="1"/>
  <c r="O908" i="3" s="1"/>
  <c r="O919" i="3" a="1"/>
  <c r="O919" i="3" s="1"/>
  <c r="O922" i="3" a="1"/>
  <c r="O922" i="3" s="1"/>
  <c r="O943" i="3" a="1"/>
  <c r="O943" i="3" s="1"/>
  <c r="O947" i="3" a="1"/>
  <c r="O947" i="3" s="1"/>
  <c r="O930" i="3" a="1"/>
  <c r="O930" i="3" s="1"/>
  <c r="O927" i="3" a="1"/>
  <c r="O927" i="3" s="1"/>
  <c r="O948" i="3" a="1"/>
  <c r="O948" i="3" s="1"/>
  <c r="O915" i="3" a="1"/>
  <c r="O915" i="3" s="1"/>
  <c r="O949" i="3" a="1"/>
  <c r="O949" i="3" s="1"/>
  <c r="O952" i="3" a="1"/>
  <c r="O952" i="3" s="1"/>
  <c r="O934" i="3" a="1"/>
  <c r="O934" i="3" s="1"/>
  <c r="O923" i="3" a="1"/>
  <c r="O923" i="3" s="1"/>
  <c r="O938" i="3" a="1"/>
  <c r="O938" i="3" s="1"/>
  <c r="O932" i="3" a="1"/>
  <c r="O932" i="3" s="1"/>
  <c r="O924" i="3" a="1"/>
  <c r="O924" i="3" s="1"/>
  <c r="O913" i="3" a="1"/>
  <c r="O913" i="3" s="1"/>
  <c r="O912" i="3" a="1"/>
  <c r="O912" i="3" s="1"/>
  <c r="O933" i="3" a="1"/>
  <c r="O933" i="3" s="1"/>
  <c r="O928" i="3" a="1"/>
  <c r="O928" i="3" s="1"/>
  <c r="O946" i="3" a="1"/>
  <c r="O946" i="3" s="1"/>
  <c r="O953" i="3" a="1"/>
  <c r="O953" i="3" s="1"/>
  <c r="O945" i="3" a="1"/>
  <c r="O945" i="3" s="1"/>
  <c r="O931" i="3" a="1"/>
  <c r="O931" i="3" s="1"/>
  <c r="O940" i="3" a="1"/>
  <c r="O940" i="3" s="1"/>
  <c r="O950" i="3" a="1"/>
  <c r="O950" i="3" s="1"/>
  <c r="O917" i="3" a="1"/>
  <c r="O917" i="3" s="1"/>
  <c r="O951" i="3" a="1"/>
  <c r="O951" i="3" s="1"/>
  <c r="O939" i="3" a="1"/>
  <c r="O939" i="3" s="1"/>
  <c r="O937" i="3" a="1"/>
  <c r="O937" i="3" s="1"/>
  <c r="O921" i="3" a="1"/>
  <c r="O921" i="3" s="1"/>
  <c r="O942" i="3" a="1"/>
  <c r="O942" i="3" s="1"/>
  <c r="O941" i="3" a="1"/>
  <c r="O941" i="3" s="1"/>
  <c r="O910" i="3" a="1"/>
  <c r="O910" i="3" s="1"/>
  <c r="O925" i="3" a="1"/>
  <c r="O925" i="3" s="1"/>
  <c r="O935" i="3" a="1"/>
  <c r="O935" i="3" s="1"/>
  <c r="O929" i="3" a="1"/>
  <c r="O929" i="3" s="1"/>
  <c r="O944" i="3" a="1"/>
  <c r="O944" i="3" s="1"/>
  <c r="O936" i="3" a="1"/>
  <c r="O936" i="3" s="1"/>
  <c r="O909" i="3" a="1"/>
  <c r="O909" i="3" s="1"/>
  <c r="O918" i="3" a="1"/>
  <c r="O918" i="3" s="1"/>
  <c r="O914" i="3" a="1"/>
  <c r="O914" i="3" s="1"/>
  <c r="O920" i="3" a="1"/>
  <c r="O920" i="3" s="1"/>
  <c r="O926" i="3" a="1"/>
  <c r="O926" i="3" s="1"/>
  <c r="O911" i="3" a="1"/>
  <c r="O911" i="3" s="1"/>
  <c r="O954" i="3" a="1"/>
  <c r="O954" i="3" s="1"/>
  <c r="O916" i="3" a="1"/>
  <c r="O916" i="3" s="1"/>
  <c r="O955" i="3" a="1"/>
  <c r="O955" i="3" s="1"/>
  <c r="O893" i="3" a="1"/>
  <c r="O893" i="3" s="1"/>
  <c r="O899" i="3" a="1"/>
  <c r="O899" i="3" s="1"/>
  <c r="O896" i="3" a="1"/>
  <c r="O896" i="3" s="1"/>
  <c r="O898" i="3" a="1"/>
  <c r="O898" i="3" s="1"/>
  <c r="O903" i="3" a="1"/>
  <c r="O903" i="3" s="1"/>
  <c r="O900" i="3" a="1"/>
  <c r="O900" i="3" s="1"/>
  <c r="O904" i="3" a="1"/>
  <c r="O904" i="3" s="1"/>
  <c r="O906" i="3" a="1"/>
  <c r="O906" i="3" s="1"/>
  <c r="O894" i="3" a="1"/>
  <c r="O894" i="3" s="1"/>
  <c r="O901" i="3" a="1"/>
  <c r="O901" i="3" s="1"/>
  <c r="O895" i="3" a="1"/>
  <c r="O895" i="3" s="1"/>
  <c r="O907" i="3" a="1"/>
  <c r="O907" i="3" s="1"/>
  <c r="O902" i="3" a="1"/>
  <c r="O902" i="3" s="1"/>
  <c r="O897" i="3" a="1"/>
  <c r="O897" i="3" s="1"/>
  <c r="O905" i="3" a="1"/>
  <c r="O905" i="3" s="1"/>
  <c r="O857" i="3" a="1"/>
  <c r="O857" i="3" s="1"/>
  <c r="O873" i="3" a="1"/>
  <c r="O873" i="3" s="1"/>
  <c r="O892" i="3" a="1"/>
  <c r="O892" i="3" s="1"/>
  <c r="O858" i="3" a="1"/>
  <c r="O858" i="3" s="1"/>
  <c r="O864" i="3" a="1"/>
  <c r="O864" i="3" s="1"/>
  <c r="O876" i="3" a="1"/>
  <c r="O876" i="3" s="1"/>
  <c r="O886" i="3" a="1"/>
  <c r="O886" i="3" s="1"/>
  <c r="O882" i="3" a="1"/>
  <c r="O882" i="3" s="1"/>
  <c r="O854" i="3" a="1"/>
  <c r="O854" i="3" s="1"/>
  <c r="O889" i="3" a="1"/>
  <c r="O889" i="3" s="1"/>
  <c r="O863" i="3" a="1"/>
  <c r="O863" i="3" s="1"/>
  <c r="O881" i="3" a="1"/>
  <c r="O881" i="3" s="1"/>
  <c r="O860" i="3" a="1"/>
  <c r="O860" i="3" s="1"/>
  <c r="O874" i="3" a="1"/>
  <c r="O874" i="3" s="1"/>
  <c r="O888" i="3" a="1"/>
  <c r="O888" i="3" s="1"/>
  <c r="O877" i="3" a="1"/>
  <c r="O877" i="3" s="1"/>
  <c r="O879" i="3" a="1"/>
  <c r="O879" i="3" s="1"/>
  <c r="O870" i="3" a="1"/>
  <c r="O870" i="3" s="1"/>
  <c r="O890" i="3" a="1"/>
  <c r="O890" i="3" s="1"/>
  <c r="O885" i="3" a="1"/>
  <c r="O885" i="3" s="1"/>
  <c r="O878" i="3" a="1"/>
  <c r="O878" i="3" s="1"/>
  <c r="O859" i="3" a="1"/>
  <c r="O859" i="3" s="1"/>
  <c r="O862" i="3" a="1"/>
  <c r="O862" i="3" s="1"/>
  <c r="O887" i="3" a="1"/>
  <c r="O887" i="3" s="1"/>
  <c r="O865" i="3" a="1"/>
  <c r="O865" i="3" s="1"/>
  <c r="O872" i="3" a="1"/>
  <c r="O872" i="3" s="1"/>
  <c r="O869" i="3" a="1"/>
  <c r="O869" i="3" s="1"/>
  <c r="O871" i="3" a="1"/>
  <c r="O871" i="3" s="1"/>
  <c r="O855" i="3" a="1"/>
  <c r="O855" i="3" s="1"/>
  <c r="O891" i="3" a="1"/>
  <c r="O891" i="3" s="1"/>
  <c r="O861" i="3" a="1"/>
  <c r="O861" i="3" s="1"/>
  <c r="O866" i="3" a="1"/>
  <c r="O866" i="3" s="1"/>
  <c r="O875" i="3" a="1"/>
  <c r="O875" i="3" s="1"/>
  <c r="O883" i="3" a="1"/>
  <c r="O883" i="3" s="1"/>
  <c r="O884" i="3" a="1"/>
  <c r="O884" i="3" s="1"/>
  <c r="O856" i="3" a="1"/>
  <c r="O856" i="3" s="1"/>
  <c r="O853" i="3" a="1"/>
  <c r="O853" i="3" s="1"/>
  <c r="O867" i="3" a="1"/>
  <c r="O867" i="3" s="1"/>
  <c r="O880" i="3" a="1"/>
  <c r="O880" i="3" s="1"/>
  <c r="O868" i="3" a="1"/>
  <c r="O868" i="3" s="1"/>
  <c r="O851" i="3" a="1"/>
  <c r="O851" i="3" s="1"/>
  <c r="O852" i="3" a="1"/>
  <c r="O852" i="3" s="1"/>
  <c r="O843" i="3" a="1"/>
  <c r="O843" i="3" s="1"/>
  <c r="O841" i="3" a="1"/>
  <c r="O841" i="3" s="1"/>
  <c r="O842" i="3" a="1"/>
  <c r="O842" i="3" s="1"/>
  <c r="O849" i="3" a="1"/>
  <c r="O849" i="3" s="1"/>
  <c r="O848" i="3" a="1"/>
  <c r="O848" i="3" s="1"/>
  <c r="O844" i="3" a="1"/>
  <c r="O844" i="3" s="1"/>
  <c r="O845" i="3" a="1"/>
  <c r="O845" i="3" s="1"/>
  <c r="O850" i="3" a="1"/>
  <c r="O850" i="3" s="1"/>
  <c r="O846" i="3" a="1"/>
  <c r="O846" i="3" s="1"/>
  <c r="O847" i="3" a="1"/>
  <c r="O847" i="3" s="1"/>
  <c r="O840" i="3" a="1"/>
  <c r="O840" i="3" s="1"/>
  <c r="O839" i="3" a="1"/>
  <c r="O839" i="3" s="1"/>
  <c r="O837" i="3" a="1"/>
  <c r="O837" i="3" s="1"/>
  <c r="O838" i="3" a="1"/>
  <c r="O838" i="3" s="1"/>
  <c r="O775" i="3" a="1"/>
  <c r="O775" i="3" s="1"/>
  <c r="O779" i="3" a="1"/>
  <c r="O779" i="3" s="1"/>
  <c r="O786" i="3" a="1"/>
  <c r="O786" i="3" s="1"/>
  <c r="O830" i="3" a="1"/>
  <c r="O830" i="3" s="1"/>
  <c r="O806" i="3" a="1"/>
  <c r="O806" i="3" s="1"/>
  <c r="O790" i="3" a="1"/>
  <c r="O790" i="3" s="1"/>
  <c r="O831" i="3" a="1"/>
  <c r="O831" i="3" s="1"/>
  <c r="O794" i="3" a="1"/>
  <c r="O794" i="3" s="1"/>
  <c r="O797" i="3" a="1"/>
  <c r="O797" i="3" s="1"/>
  <c r="O798" i="3" a="1"/>
  <c r="O798" i="3" s="1"/>
  <c r="O781" i="3" a="1"/>
  <c r="O781" i="3" s="1"/>
  <c r="O824" i="3" a="1"/>
  <c r="O824" i="3" s="1"/>
  <c r="O802" i="3" a="1"/>
  <c r="O802" i="3" s="1"/>
  <c r="O816" i="3" a="1"/>
  <c r="O816" i="3" s="1"/>
  <c r="O795" i="3" a="1"/>
  <c r="O795" i="3" s="1"/>
  <c r="O809" i="3" a="1"/>
  <c r="O809" i="3" s="1"/>
  <c r="O810" i="3" a="1"/>
  <c r="O810" i="3" s="1"/>
  <c r="O793" i="3" a="1"/>
  <c r="O793" i="3" s="1"/>
  <c r="O776" i="3" a="1"/>
  <c r="O776" i="3" s="1"/>
  <c r="O814" i="3" a="1"/>
  <c r="O814" i="3" s="1"/>
  <c r="O813" i="3" a="1"/>
  <c r="O813" i="3" s="1"/>
  <c r="O834" i="3" a="1"/>
  <c r="O834" i="3" s="1"/>
  <c r="O821" i="3" a="1"/>
  <c r="O821" i="3" s="1"/>
  <c r="O828" i="3" a="1"/>
  <c r="O828" i="3" s="1"/>
  <c r="O805" i="3" a="1"/>
  <c r="O805" i="3" s="1"/>
  <c r="O788" i="3" a="1"/>
  <c r="O788" i="3" s="1"/>
  <c r="O826" i="3" a="1"/>
  <c r="O826" i="3" s="1"/>
  <c r="O808" i="3" a="1"/>
  <c r="O808" i="3" s="1"/>
  <c r="O807" i="3" a="1"/>
  <c r="O807" i="3" s="1"/>
  <c r="O829" i="3" a="1"/>
  <c r="O829" i="3" s="1"/>
  <c r="O817" i="3" a="1"/>
  <c r="O817" i="3" s="1"/>
  <c r="O835" i="3" a="1"/>
  <c r="O835" i="3" s="1"/>
  <c r="O800" i="3" a="1"/>
  <c r="O800" i="3" s="1"/>
  <c r="O833" i="3" a="1"/>
  <c r="O833" i="3" s="1"/>
  <c r="O815" i="3" a="1"/>
  <c r="O815" i="3" s="1"/>
  <c r="O832" i="3" a="1"/>
  <c r="O832" i="3" s="1"/>
  <c r="O825" i="3" a="1"/>
  <c r="O825" i="3" s="1"/>
  <c r="O801" i="3" a="1"/>
  <c r="O801" i="3" s="1"/>
  <c r="O787" i="3" a="1"/>
  <c r="O787" i="3" s="1"/>
  <c r="O812" i="3" a="1"/>
  <c r="O812" i="3" s="1"/>
  <c r="O819" i="3" a="1"/>
  <c r="O819" i="3" s="1"/>
  <c r="O820" i="3" a="1"/>
  <c r="O820" i="3" s="1"/>
  <c r="O785" i="3" a="1"/>
  <c r="O785" i="3" s="1"/>
  <c r="O780" i="3" a="1"/>
  <c r="O780" i="3" s="1"/>
  <c r="O799" i="3" a="1"/>
  <c r="O799" i="3" s="1"/>
  <c r="O836" i="3" a="1"/>
  <c r="O836" i="3" s="1"/>
  <c r="O778" i="3" a="1"/>
  <c r="O778" i="3" s="1"/>
  <c r="O784" i="3" a="1"/>
  <c r="O784" i="3" s="1"/>
  <c r="O791" i="3" a="1"/>
  <c r="O791" i="3" s="1"/>
  <c r="O792" i="3" a="1"/>
  <c r="O792" i="3" s="1"/>
  <c r="O811" i="3" a="1"/>
  <c r="O811" i="3" s="1"/>
  <c r="O777" i="3" a="1"/>
  <c r="O777" i="3" s="1"/>
  <c r="O796" i="3" a="1"/>
  <c r="O796" i="3" s="1"/>
  <c r="O803" i="3" a="1"/>
  <c r="O803" i="3" s="1"/>
  <c r="O804" i="3" a="1"/>
  <c r="O804" i="3" s="1"/>
  <c r="O823" i="3" a="1"/>
  <c r="O823" i="3" s="1"/>
  <c r="O783" i="3" a="1"/>
  <c r="O783" i="3" s="1"/>
  <c r="O789" i="3" a="1"/>
  <c r="O789" i="3" s="1"/>
  <c r="O818" i="3" a="1"/>
  <c r="O818" i="3" s="1"/>
  <c r="O827" i="3" a="1"/>
  <c r="O827" i="3" s="1"/>
  <c r="O822" i="3" a="1"/>
  <c r="O822" i="3" s="1"/>
  <c r="O782" i="3" a="1"/>
  <c r="O782" i="3" s="1"/>
  <c r="O744" i="3" a="1"/>
  <c r="O744" i="3" s="1"/>
  <c r="O748" i="3" a="1"/>
  <c r="O748" i="3" s="1"/>
  <c r="O762" i="3" a="1"/>
  <c r="O762" i="3" s="1"/>
  <c r="O758" i="3" a="1"/>
  <c r="O758" i="3" s="1"/>
  <c r="O755" i="3" a="1"/>
  <c r="O755" i="3" s="1"/>
  <c r="O774" i="3" a="1"/>
  <c r="O774" i="3" s="1"/>
  <c r="O770" i="3" a="1"/>
  <c r="O770" i="3" s="1"/>
  <c r="O747" i="3" a="1"/>
  <c r="O747" i="3" s="1"/>
  <c r="O767" i="3" a="1"/>
  <c r="O767" i="3" s="1"/>
  <c r="O766" i="3" a="1"/>
  <c r="O766" i="3" s="1"/>
  <c r="O765" i="3" a="1"/>
  <c r="O765" i="3" s="1"/>
  <c r="O745" i="3" a="1"/>
  <c r="O745" i="3" s="1"/>
  <c r="O753" i="3" a="1"/>
  <c r="O753" i="3" s="1"/>
  <c r="O749" i="3" a="1"/>
  <c r="O749" i="3" s="1"/>
  <c r="O751" i="3" a="1"/>
  <c r="O751" i="3" s="1"/>
  <c r="O759" i="3" a="1"/>
  <c r="O759" i="3" s="1"/>
  <c r="O761" i="3" a="1"/>
  <c r="O761" i="3" s="1"/>
  <c r="O769" i="3" a="1"/>
  <c r="O769" i="3" s="1"/>
  <c r="O772" i="3" a="1"/>
  <c r="O772" i="3" s="1"/>
  <c r="O773" i="3" a="1"/>
  <c r="O773" i="3" s="1"/>
  <c r="O757" i="3" a="1"/>
  <c r="O757" i="3" s="1"/>
  <c r="O750" i="3" a="1"/>
  <c r="O750" i="3" s="1"/>
  <c r="O754" i="3" a="1"/>
  <c r="O754" i="3" s="1"/>
  <c r="O771" i="3" a="1"/>
  <c r="O771" i="3" s="1"/>
  <c r="O764" i="3" a="1"/>
  <c r="O764" i="3" s="1"/>
  <c r="O756" i="3" a="1"/>
  <c r="O756" i="3" s="1"/>
  <c r="O752" i="3" a="1"/>
  <c r="O752" i="3" s="1"/>
  <c r="O768" i="3" a="1"/>
  <c r="O768" i="3" s="1"/>
  <c r="O763" i="3" a="1"/>
  <c r="O763" i="3" s="1"/>
  <c r="O760" i="3" a="1"/>
  <c r="O760" i="3" s="1"/>
  <c r="O746" i="3" a="1"/>
  <c r="O746" i="3" s="1"/>
  <c r="O715" i="3" a="1"/>
  <c r="O715" i="3" s="1"/>
  <c r="O720" i="3" a="1"/>
  <c r="O720" i="3" s="1"/>
  <c r="O728" i="3" a="1"/>
  <c r="O728" i="3" s="1"/>
  <c r="O737" i="3" a="1"/>
  <c r="O737" i="3" s="1"/>
  <c r="O726" i="3" a="1"/>
  <c r="O726" i="3" s="1"/>
  <c r="O740" i="3" a="1"/>
  <c r="O740" i="3" s="1"/>
  <c r="O719" i="3" a="1"/>
  <c r="O719" i="3" s="1"/>
  <c r="O732" i="3" a="1"/>
  <c r="O732" i="3" s="1"/>
  <c r="O735" i="3" a="1"/>
  <c r="O735" i="3" s="1"/>
  <c r="O731" i="3" a="1"/>
  <c r="O731" i="3" s="1"/>
  <c r="O738" i="3" a="1"/>
  <c r="O738" i="3" s="1"/>
  <c r="O717" i="3" a="1"/>
  <c r="O717" i="3" s="1"/>
  <c r="O743" i="3" a="1"/>
  <c r="O743" i="3" s="1"/>
  <c r="O721" i="3" a="1"/>
  <c r="O721" i="3" s="1"/>
  <c r="O723" i="3" a="1"/>
  <c r="O723" i="3" s="1"/>
  <c r="O727" i="3" a="1"/>
  <c r="O727" i="3" s="1"/>
  <c r="O729" i="3" a="1"/>
  <c r="O729" i="3" s="1"/>
  <c r="O730" i="3" a="1"/>
  <c r="O730" i="3" s="1"/>
  <c r="O733" i="3" a="1"/>
  <c r="O733" i="3" s="1"/>
  <c r="O736" i="3" a="1"/>
  <c r="O736" i="3" s="1"/>
  <c r="O725" i="3" a="1"/>
  <c r="O725" i="3" s="1"/>
  <c r="O739" i="3" a="1"/>
  <c r="O739" i="3" s="1"/>
  <c r="O718" i="3" a="1"/>
  <c r="O718" i="3" s="1"/>
  <c r="O722" i="3" a="1"/>
  <c r="O722" i="3" s="1"/>
  <c r="O741" i="3" a="1"/>
  <c r="O741" i="3" s="1"/>
  <c r="O724" i="3" a="1"/>
  <c r="O724" i="3" s="1"/>
  <c r="O716" i="3" a="1"/>
  <c r="O716" i="3" s="1"/>
  <c r="O734" i="3" a="1"/>
  <c r="O734" i="3" s="1"/>
  <c r="O742" i="3" a="1"/>
  <c r="O742" i="3" s="1"/>
  <c r="O696" i="3" a="1"/>
  <c r="O696" i="3" s="1"/>
  <c r="O700" i="3" a="1"/>
  <c r="O700" i="3" s="1"/>
  <c r="O711" i="3" a="1"/>
  <c r="O711" i="3" s="1"/>
  <c r="O706" i="3" a="1"/>
  <c r="O706" i="3" s="1"/>
  <c r="O704" i="3" a="1"/>
  <c r="O704" i="3" s="1"/>
  <c r="O707" i="3" a="1"/>
  <c r="O707" i="3" s="1"/>
  <c r="O698" i="3" a="1"/>
  <c r="O698" i="3" s="1"/>
  <c r="O701" i="3" a="1"/>
  <c r="O701" i="3" s="1"/>
  <c r="O713" i="3" a="1"/>
  <c r="O713" i="3" s="1"/>
  <c r="O699" i="3" a="1"/>
  <c r="O699" i="3" s="1"/>
  <c r="O708" i="3" a="1"/>
  <c r="O708" i="3" s="1"/>
  <c r="O705" i="3" a="1"/>
  <c r="O705" i="3" s="1"/>
  <c r="O710" i="3" a="1"/>
  <c r="O710" i="3" s="1"/>
  <c r="O702" i="3" a="1"/>
  <c r="O702" i="3" s="1"/>
  <c r="O714" i="3" a="1"/>
  <c r="O714" i="3" s="1"/>
  <c r="O703" i="3" a="1"/>
  <c r="O703" i="3" s="1"/>
  <c r="O712" i="3" a="1"/>
  <c r="O712" i="3" s="1"/>
  <c r="O709" i="3" a="1"/>
  <c r="O709" i="3" s="1"/>
  <c r="O697" i="3" a="1"/>
  <c r="O697" i="3" s="1"/>
  <c r="O23" i="3" a="1"/>
  <c r="O23" i="3" s="1"/>
  <c r="O111" i="3" a="1"/>
  <c r="O111" i="3" s="1"/>
  <c r="O255" i="3" a="1"/>
  <c r="O255" i="3" s="1"/>
  <c r="O399" i="3" a="1"/>
  <c r="O399" i="3" s="1"/>
  <c r="O461" i="3" a="1"/>
  <c r="O461" i="3" s="1"/>
  <c r="O91" i="3" a="1"/>
  <c r="O91" i="3" s="1"/>
  <c r="O235" i="3" a="1"/>
  <c r="O235" i="3" s="1"/>
  <c r="O379" i="3" a="1"/>
  <c r="O379" i="3" s="1"/>
  <c r="O563" i="3" a="1"/>
  <c r="O563" i="3" s="1"/>
  <c r="O154" i="3" a="1"/>
  <c r="O154" i="3" s="1"/>
  <c r="O298" i="3" a="1"/>
  <c r="O298" i="3" s="1"/>
  <c r="O442" i="3" a="1"/>
  <c r="O442" i="3" s="1"/>
  <c r="O31" i="3" a="1"/>
  <c r="O31" i="3" s="1"/>
  <c r="O175" i="3" a="1"/>
  <c r="O175" i="3" s="1"/>
  <c r="O319" i="3" a="1"/>
  <c r="O319" i="3" s="1"/>
  <c r="O463" i="3" a="1"/>
  <c r="O463" i="3" s="1"/>
  <c r="O73" i="3" a="1"/>
  <c r="O73" i="3" s="1"/>
  <c r="O217" i="3" a="1"/>
  <c r="O217" i="3" s="1"/>
  <c r="O361" i="3" a="1"/>
  <c r="O361" i="3" s="1"/>
  <c r="O505" i="3" a="1"/>
  <c r="O505" i="3" s="1"/>
  <c r="O43" i="3" a="1"/>
  <c r="O43" i="3" s="1"/>
  <c r="O187" i="3" a="1"/>
  <c r="O187" i="3" s="1"/>
  <c r="O331" i="3" a="1"/>
  <c r="O331" i="3" s="1"/>
  <c r="O475" i="3" a="1"/>
  <c r="O475" i="3" s="1"/>
  <c r="O75" i="3" a="1"/>
  <c r="O75" i="3" s="1"/>
  <c r="O219" i="3" a="1"/>
  <c r="O219" i="3" s="1"/>
  <c r="O363" i="3" a="1"/>
  <c r="O363" i="3" s="1"/>
  <c r="O507" i="3" a="1"/>
  <c r="O507" i="3" s="1"/>
  <c r="O65" i="3" a="1"/>
  <c r="O65" i="3" s="1"/>
  <c r="O209" i="3" a="1"/>
  <c r="O209" i="3" s="1"/>
  <c r="O353" i="3" a="1"/>
  <c r="O353" i="3" s="1"/>
  <c r="O528" i="3" a="1"/>
  <c r="O528" i="3" s="1"/>
  <c r="O118" i="3" a="1"/>
  <c r="O118" i="3" s="1"/>
  <c r="O262" i="3" a="1"/>
  <c r="O262" i="3" s="1"/>
  <c r="O406" i="3" a="1"/>
  <c r="O406" i="3" s="1"/>
  <c r="O530" i="3" a="1"/>
  <c r="O530" i="3" s="1"/>
  <c r="O139" i="3" a="1"/>
  <c r="O139" i="3" s="1"/>
  <c r="O283" i="3" a="1"/>
  <c r="O283" i="3" s="1"/>
  <c r="O427" i="3" a="1"/>
  <c r="O427" i="3" s="1"/>
  <c r="O47" i="3" a="1"/>
  <c r="O47" i="3" s="1"/>
  <c r="O191" i="3" a="1"/>
  <c r="O191" i="3" s="1"/>
  <c r="O335" i="3" a="1"/>
  <c r="O335" i="3" s="1"/>
  <c r="O479" i="3" a="1"/>
  <c r="O479" i="3" s="1"/>
  <c r="O48" i="3" a="1"/>
  <c r="O48" i="3" s="1"/>
  <c r="O192" i="3" a="1"/>
  <c r="O192" i="3" s="1"/>
  <c r="O336" i="3" a="1"/>
  <c r="O336" i="3" s="1"/>
  <c r="O544" i="3" a="1"/>
  <c r="O544" i="3" s="1"/>
  <c r="O586" i="3" a="1"/>
  <c r="O586" i="3" s="1"/>
  <c r="O614" i="3" a="1"/>
  <c r="O614" i="3" s="1"/>
  <c r="O639" i="3" a="1"/>
  <c r="O639" i="3" s="1"/>
  <c r="O664" i="3" a="1"/>
  <c r="O664" i="3" s="1"/>
  <c r="O689" i="3" a="1"/>
  <c r="O689" i="3" s="1"/>
  <c r="O593" i="3" a="1"/>
  <c r="O593" i="3" s="1"/>
  <c r="O620" i="3" a="1"/>
  <c r="O620" i="3" s="1"/>
  <c r="O645" i="3" a="1"/>
  <c r="O645" i="3" s="1"/>
  <c r="O670" i="3" a="1"/>
  <c r="O670" i="3" s="1"/>
  <c r="O695" i="3" a="1"/>
  <c r="O695" i="3" s="1"/>
  <c r="O24" i="3" a="1"/>
  <c r="O24" i="3" s="1"/>
  <c r="O121" i="3" a="1"/>
  <c r="O121" i="3" s="1"/>
  <c r="O265" i="3" a="1"/>
  <c r="O265" i="3" s="1"/>
  <c r="O409" i="3" a="1"/>
  <c r="O409" i="3" s="1"/>
  <c r="O482" i="3" a="1"/>
  <c r="O482" i="3" s="1"/>
  <c r="O101" i="3" a="1"/>
  <c r="O101" i="3" s="1"/>
  <c r="O245" i="3" a="1"/>
  <c r="O245" i="3" s="1"/>
  <c r="O389" i="3" a="1"/>
  <c r="O389" i="3" s="1"/>
  <c r="O575" i="3" a="1"/>
  <c r="O575" i="3" s="1"/>
  <c r="O164" i="3" a="1"/>
  <c r="O164" i="3" s="1"/>
  <c r="O308" i="3" a="1"/>
  <c r="O308" i="3" s="1"/>
  <c r="O452" i="3" a="1"/>
  <c r="O452" i="3" s="1"/>
  <c r="O41" i="3" a="1"/>
  <c r="O41" i="3" s="1"/>
  <c r="O185" i="3" a="1"/>
  <c r="O185" i="3" s="1"/>
  <c r="O329" i="3" a="1"/>
  <c r="O329" i="3" s="1"/>
  <c r="O473" i="3" a="1"/>
  <c r="O473" i="3" s="1"/>
  <c r="O83" i="3" a="1"/>
  <c r="O83" i="3" s="1"/>
  <c r="O227" i="3" a="1"/>
  <c r="O227" i="3" s="1"/>
  <c r="O371" i="3" a="1"/>
  <c r="O371" i="3" s="1"/>
  <c r="O515" i="3" a="1"/>
  <c r="O515" i="3" s="1"/>
  <c r="O53" i="3" a="1"/>
  <c r="O53" i="3" s="1"/>
  <c r="O197" i="3" a="1"/>
  <c r="O197" i="3" s="1"/>
  <c r="O341" i="3" a="1"/>
  <c r="O341" i="3" s="1"/>
  <c r="O496" i="3" a="1"/>
  <c r="O496" i="3" s="1"/>
  <c r="O85" i="3" a="1"/>
  <c r="O85" i="3" s="1"/>
  <c r="O229" i="3" a="1"/>
  <c r="O229" i="3" s="1"/>
  <c r="O373" i="3" a="1"/>
  <c r="O373" i="3" s="1"/>
  <c r="O517" i="3" a="1"/>
  <c r="O517" i="3" s="1"/>
  <c r="O76" i="3" a="1"/>
  <c r="O76" i="3" s="1"/>
  <c r="O220" i="3" a="1"/>
  <c r="O220" i="3" s="1"/>
  <c r="O364" i="3" a="1"/>
  <c r="O364" i="3" s="1"/>
  <c r="O542" i="3" a="1"/>
  <c r="O542" i="3" s="1"/>
  <c r="O128" i="3" a="1"/>
  <c r="O128" i="3" s="1"/>
  <c r="O272" i="3" a="1"/>
  <c r="O272" i="3" s="1"/>
  <c r="O416" i="3" a="1"/>
  <c r="O416" i="3" s="1"/>
  <c r="O543" i="3" a="1"/>
  <c r="O543" i="3" s="1"/>
  <c r="O149" i="3" a="1"/>
  <c r="O149" i="3" s="1"/>
  <c r="O293" i="3" a="1"/>
  <c r="O293" i="3" s="1"/>
  <c r="O437" i="3" a="1"/>
  <c r="O437" i="3" s="1"/>
  <c r="O58" i="3" a="1"/>
  <c r="O58" i="3" s="1"/>
  <c r="O202" i="3" a="1"/>
  <c r="O202" i="3" s="1"/>
  <c r="O346" i="3" a="1"/>
  <c r="O346" i="3" s="1"/>
  <c r="O490" i="3" a="1"/>
  <c r="O490" i="3" s="1"/>
  <c r="O69" i="3" a="1"/>
  <c r="O69" i="3" s="1"/>
  <c r="O213" i="3" a="1"/>
  <c r="O213" i="3" s="1"/>
  <c r="O357" i="3" a="1"/>
  <c r="O357" i="3" s="1"/>
  <c r="O550" i="3" a="1"/>
  <c r="O550" i="3" s="1"/>
  <c r="O600" i="3" a="1"/>
  <c r="O600" i="3" s="1"/>
  <c r="O626" i="3" a="1"/>
  <c r="O626" i="3" s="1"/>
  <c r="O651" i="3" a="1"/>
  <c r="O651" i="3" s="1"/>
  <c r="O676" i="3" a="1"/>
  <c r="O676" i="3" s="1"/>
  <c r="O576" i="3" a="1"/>
  <c r="O576" i="3" s="1"/>
  <c r="O607" i="3" a="1"/>
  <c r="O607" i="3" s="1"/>
  <c r="O632" i="3" a="1"/>
  <c r="O632" i="3" s="1"/>
  <c r="O657" i="3" a="1"/>
  <c r="O657" i="3" s="1"/>
  <c r="O682" i="3" a="1"/>
  <c r="O682" i="3" s="1"/>
  <c r="O677" i="3" a="1"/>
  <c r="O677" i="3" s="1"/>
  <c r="O25" i="3" a="1"/>
  <c r="O25" i="3" s="1"/>
  <c r="O131" i="3" a="1"/>
  <c r="O131" i="3" s="1"/>
  <c r="O275" i="3" a="1"/>
  <c r="O275" i="3" s="1"/>
  <c r="O419" i="3" a="1"/>
  <c r="O419" i="3" s="1"/>
  <c r="O513" i="3" a="1"/>
  <c r="O513" i="3" s="1"/>
  <c r="O112" i="3" a="1"/>
  <c r="O112" i="3" s="1"/>
  <c r="O256" i="3" a="1"/>
  <c r="O256" i="3" s="1"/>
  <c r="O400" i="3" a="1"/>
  <c r="O400" i="3" s="1"/>
  <c r="O30" i="3" a="1"/>
  <c r="O30" i="3" s="1"/>
  <c r="O174" i="3" a="1"/>
  <c r="O174" i="3" s="1"/>
  <c r="O318" i="3" a="1"/>
  <c r="O318" i="3" s="1"/>
  <c r="O462" i="3" a="1"/>
  <c r="O462" i="3" s="1"/>
  <c r="O52" i="3" a="1"/>
  <c r="O52" i="3" s="1"/>
  <c r="O196" i="3" a="1"/>
  <c r="O196" i="3" s="1"/>
  <c r="O340" i="3" a="1"/>
  <c r="O340" i="3" s="1"/>
  <c r="O484" i="3" a="1"/>
  <c r="O484" i="3" s="1"/>
  <c r="O94" i="3" a="1"/>
  <c r="O94" i="3" s="1"/>
  <c r="O238" i="3" a="1"/>
  <c r="O238" i="3" s="1"/>
  <c r="O382" i="3" a="1"/>
  <c r="O382" i="3" s="1"/>
  <c r="O526" i="3" a="1"/>
  <c r="O526" i="3" s="1"/>
  <c r="O64" i="3" a="1"/>
  <c r="O64" i="3" s="1"/>
  <c r="O208" i="3" a="1"/>
  <c r="O208" i="3" s="1"/>
  <c r="O352" i="3" a="1"/>
  <c r="O352" i="3" s="1"/>
  <c r="O516" i="3" a="1"/>
  <c r="O516" i="3" s="1"/>
  <c r="O95" i="3" a="1"/>
  <c r="O95" i="3" s="1"/>
  <c r="O239" i="3" a="1"/>
  <c r="O239" i="3" s="1"/>
  <c r="O383" i="3" a="1"/>
  <c r="O383" i="3" s="1"/>
  <c r="O527" i="3" a="1"/>
  <c r="O527" i="3" s="1"/>
  <c r="O86" i="3" a="1"/>
  <c r="O86" i="3" s="1"/>
  <c r="O230" i="3" a="1"/>
  <c r="O230" i="3" s="1"/>
  <c r="O374" i="3" a="1"/>
  <c r="O374" i="3" s="1"/>
  <c r="O554" i="3" a="1"/>
  <c r="O554" i="3" s="1"/>
  <c r="O138" i="3" a="1"/>
  <c r="O138" i="3" s="1"/>
  <c r="O282" i="3" a="1"/>
  <c r="O282" i="3" s="1"/>
  <c r="O426" i="3" a="1"/>
  <c r="O426" i="3" s="1"/>
  <c r="O555" i="3" a="1"/>
  <c r="O555" i="3" s="1"/>
  <c r="O160" i="3" a="1"/>
  <c r="O160" i="3" s="1"/>
  <c r="O304" i="3" a="1"/>
  <c r="O304" i="3" s="1"/>
  <c r="O448" i="3" a="1"/>
  <c r="O448" i="3" s="1"/>
  <c r="O68" i="3" a="1"/>
  <c r="O68" i="3" s="1"/>
  <c r="O212" i="3" a="1"/>
  <c r="O212" i="3" s="1"/>
  <c r="O356" i="3" a="1"/>
  <c r="O356" i="3" s="1"/>
  <c r="O500" i="3" a="1"/>
  <c r="O500" i="3" s="1"/>
  <c r="O79" i="3" a="1"/>
  <c r="O79" i="3" s="1"/>
  <c r="O223" i="3" a="1"/>
  <c r="O223" i="3" s="1"/>
  <c r="O367" i="3" a="1"/>
  <c r="O367" i="3" s="1"/>
  <c r="O585" i="3" a="1"/>
  <c r="O585" i="3" s="1"/>
  <c r="O613" i="3" a="1"/>
  <c r="O613" i="3" s="1"/>
  <c r="O638" i="3" a="1"/>
  <c r="O638" i="3" s="1"/>
  <c r="O663" i="3" a="1"/>
  <c r="O663" i="3" s="1"/>
  <c r="O688" i="3" a="1"/>
  <c r="O688" i="3" s="1"/>
  <c r="O592" i="3" a="1"/>
  <c r="O592" i="3" s="1"/>
  <c r="O619" i="3" a="1"/>
  <c r="O619" i="3" s="1"/>
  <c r="O644" i="3" a="1"/>
  <c r="O644" i="3" s="1"/>
  <c r="O669" i="3" a="1"/>
  <c r="O669" i="3" s="1"/>
  <c r="O694" i="3" a="1"/>
  <c r="O694" i="3" s="1"/>
  <c r="O679" i="3" a="1"/>
  <c r="O679" i="3" s="1"/>
  <c r="O683" i="3" a="1"/>
  <c r="O683" i="3" s="1"/>
  <c r="O26" i="3" a="1"/>
  <c r="O26" i="3" s="1"/>
  <c r="O142" i="3" a="1"/>
  <c r="O142" i="3" s="1"/>
  <c r="O286" i="3" a="1"/>
  <c r="O286" i="3" s="1"/>
  <c r="O430" i="3" a="1"/>
  <c r="O430" i="3" s="1"/>
  <c r="O533" i="3" a="1"/>
  <c r="O533" i="3" s="1"/>
  <c r="O122" i="3" a="1"/>
  <c r="O122" i="3" s="1"/>
  <c r="O266" i="3" a="1"/>
  <c r="O266" i="3" s="1"/>
  <c r="O410" i="3" a="1"/>
  <c r="O410" i="3" s="1"/>
  <c r="O51" i="3" a="1"/>
  <c r="O51" i="3" s="1"/>
  <c r="O195" i="3" a="1"/>
  <c r="O195" i="3" s="1"/>
  <c r="O339" i="3" a="1"/>
  <c r="O339" i="3" s="1"/>
  <c r="O483" i="3" a="1"/>
  <c r="O483" i="3" s="1"/>
  <c r="O62" i="3" a="1"/>
  <c r="O62" i="3" s="1"/>
  <c r="O206" i="3" a="1"/>
  <c r="O206" i="3" s="1"/>
  <c r="O350" i="3" a="1"/>
  <c r="O350" i="3" s="1"/>
  <c r="O494" i="3" a="1"/>
  <c r="O494" i="3" s="1"/>
  <c r="O104" i="3" a="1"/>
  <c r="O104" i="3" s="1"/>
  <c r="O248" i="3" a="1"/>
  <c r="O248" i="3" s="1"/>
  <c r="O392" i="3" a="1"/>
  <c r="O392" i="3" s="1"/>
  <c r="O485" i="3" a="1"/>
  <c r="O485" i="3" s="1"/>
  <c r="O74" i="3" a="1"/>
  <c r="O74" i="3" s="1"/>
  <c r="O218" i="3" a="1"/>
  <c r="O218" i="3" s="1"/>
  <c r="O362" i="3" a="1"/>
  <c r="O362" i="3" s="1"/>
  <c r="O541" i="3" a="1"/>
  <c r="O541" i="3" s="1"/>
  <c r="O106" i="3" a="1"/>
  <c r="O106" i="3" s="1"/>
  <c r="O250" i="3" a="1"/>
  <c r="O250" i="3" s="1"/>
  <c r="O394" i="3" a="1"/>
  <c r="O394" i="3" s="1"/>
  <c r="O477" i="3" a="1"/>
  <c r="O477" i="3" s="1"/>
  <c r="O96" i="3" a="1"/>
  <c r="O96" i="3" s="1"/>
  <c r="O240" i="3" a="1"/>
  <c r="O240" i="3" s="1"/>
  <c r="O384" i="3" a="1"/>
  <c r="O384" i="3" s="1"/>
  <c r="O566" i="3" a="1"/>
  <c r="O566" i="3" s="1"/>
  <c r="O159" i="3" a="1"/>
  <c r="O159" i="3" s="1"/>
  <c r="O303" i="3" a="1"/>
  <c r="O303" i="3" s="1"/>
  <c r="O447" i="3" a="1"/>
  <c r="O447" i="3" s="1"/>
  <c r="O567" i="3" a="1"/>
  <c r="O567" i="3" s="1"/>
  <c r="O170" i="3" a="1"/>
  <c r="O170" i="3" s="1"/>
  <c r="O314" i="3" a="1"/>
  <c r="O314" i="3" s="1"/>
  <c r="O458" i="3" a="1"/>
  <c r="O458" i="3" s="1"/>
  <c r="O78" i="3" a="1"/>
  <c r="O78" i="3" s="1"/>
  <c r="O222" i="3" a="1"/>
  <c r="O222" i="3" s="1"/>
  <c r="O366" i="3" a="1"/>
  <c r="O366" i="3" s="1"/>
  <c r="O510" i="3" a="1"/>
  <c r="O510" i="3" s="1"/>
  <c r="O89" i="3" a="1"/>
  <c r="O89" i="3" s="1"/>
  <c r="O233" i="3" a="1"/>
  <c r="O233" i="3" s="1"/>
  <c r="O377" i="3" a="1"/>
  <c r="O377" i="3" s="1"/>
  <c r="O599" i="3" a="1"/>
  <c r="O599" i="3" s="1"/>
  <c r="O625" i="3" a="1"/>
  <c r="O625" i="3" s="1"/>
  <c r="O650" i="3" a="1"/>
  <c r="O650" i="3" s="1"/>
  <c r="O675" i="3" a="1"/>
  <c r="O675" i="3" s="1"/>
  <c r="O574" i="3" a="1"/>
  <c r="O574" i="3" s="1"/>
  <c r="O606" i="3" a="1"/>
  <c r="O606" i="3" s="1"/>
  <c r="O631" i="3" a="1"/>
  <c r="O631" i="3" s="1"/>
  <c r="O656" i="3" a="1"/>
  <c r="O656" i="3" s="1"/>
  <c r="O681" i="3" a="1"/>
  <c r="O681" i="3" s="1"/>
  <c r="O584" i="3" a="1"/>
  <c r="O584" i="3" s="1"/>
  <c r="O598" i="3" a="1"/>
  <c r="O598" i="3" s="1"/>
  <c r="O610" i="3" a="1"/>
  <c r="O610" i="3" s="1"/>
  <c r="O27" i="3" a="1"/>
  <c r="O27" i="3" s="1"/>
  <c r="O152" i="3" a="1"/>
  <c r="O152" i="3" s="1"/>
  <c r="O296" i="3" a="1"/>
  <c r="O296" i="3" s="1"/>
  <c r="O440" i="3" a="1"/>
  <c r="O440" i="3" s="1"/>
  <c r="O545" i="3" a="1"/>
  <c r="O545" i="3" s="1"/>
  <c r="O132" i="3" a="1"/>
  <c r="O132" i="3" s="1"/>
  <c r="O276" i="3" a="1"/>
  <c r="O276" i="3" s="1"/>
  <c r="O420" i="3" a="1"/>
  <c r="O420" i="3" s="1"/>
  <c r="O61" i="3" a="1"/>
  <c r="O61" i="3" s="1"/>
  <c r="O205" i="3" a="1"/>
  <c r="O205" i="3" s="1"/>
  <c r="O349" i="3" a="1"/>
  <c r="O349" i="3" s="1"/>
  <c r="O493" i="3" a="1"/>
  <c r="O493" i="3" s="1"/>
  <c r="O72" i="3" a="1"/>
  <c r="O72" i="3" s="1"/>
  <c r="O216" i="3" a="1"/>
  <c r="O216" i="3" s="1"/>
  <c r="O360" i="3" a="1"/>
  <c r="O360" i="3" s="1"/>
  <c r="O504" i="3" a="1"/>
  <c r="O504" i="3" s="1"/>
  <c r="O114" i="3" a="1"/>
  <c r="O114" i="3" s="1"/>
  <c r="O258" i="3" a="1"/>
  <c r="O258" i="3" s="1"/>
  <c r="O402" i="3" a="1"/>
  <c r="O402" i="3" s="1"/>
  <c r="O506" i="3" a="1"/>
  <c r="O506" i="3" s="1"/>
  <c r="O84" i="3" a="1"/>
  <c r="O84" i="3" s="1"/>
  <c r="O228" i="3" a="1"/>
  <c r="O228" i="3" s="1"/>
  <c r="O372" i="3" a="1"/>
  <c r="O372" i="3" s="1"/>
  <c r="O553" i="3" a="1"/>
  <c r="O553" i="3" s="1"/>
  <c r="O116" i="3" a="1"/>
  <c r="O116" i="3" s="1"/>
  <c r="O260" i="3" a="1"/>
  <c r="O260" i="3" s="1"/>
  <c r="O404" i="3" a="1"/>
  <c r="O404" i="3" s="1"/>
  <c r="O497" i="3" a="1"/>
  <c r="O497" i="3" s="1"/>
  <c r="O117" i="3" a="1"/>
  <c r="O117" i="3" s="1"/>
  <c r="O261" i="3" a="1"/>
  <c r="O261" i="3" s="1"/>
  <c r="O405" i="3" a="1"/>
  <c r="O405" i="3" s="1"/>
  <c r="O578" i="3" a="1"/>
  <c r="O578" i="3" s="1"/>
  <c r="O169" i="3" a="1"/>
  <c r="O169" i="3" s="1"/>
  <c r="O313" i="3" a="1"/>
  <c r="O313" i="3" s="1"/>
  <c r="O457" i="3" a="1"/>
  <c r="O457" i="3" s="1"/>
  <c r="O36" i="3" a="1"/>
  <c r="O36" i="3" s="1"/>
  <c r="O180" i="3" a="1"/>
  <c r="O180" i="3" s="1"/>
  <c r="O324" i="3" a="1"/>
  <c r="O324" i="3" s="1"/>
  <c r="O468" i="3" a="1"/>
  <c r="O468" i="3" s="1"/>
  <c r="O99" i="3" a="1"/>
  <c r="O99" i="3" s="1"/>
  <c r="O243" i="3" a="1"/>
  <c r="O243" i="3" s="1"/>
  <c r="O387" i="3" a="1"/>
  <c r="O387" i="3" s="1"/>
  <c r="O531" i="3" a="1"/>
  <c r="O531" i="3" s="1"/>
  <c r="O100" i="3" a="1"/>
  <c r="O100" i="3" s="1"/>
  <c r="O244" i="3" a="1"/>
  <c r="O244" i="3" s="1"/>
  <c r="O388" i="3" a="1"/>
  <c r="O388" i="3" s="1"/>
  <c r="O612" i="3" a="1"/>
  <c r="O612" i="3" s="1"/>
  <c r="O637" i="3" a="1"/>
  <c r="O637" i="3" s="1"/>
  <c r="O662" i="3" a="1"/>
  <c r="O662" i="3" s="1"/>
  <c r="O687" i="3" a="1"/>
  <c r="O687" i="3" s="1"/>
  <c r="O591" i="3" a="1"/>
  <c r="O591" i="3" s="1"/>
  <c r="O618" i="3" a="1"/>
  <c r="O618" i="3" s="1"/>
  <c r="O643" i="3" a="1"/>
  <c r="O643" i="3" s="1"/>
  <c r="O668" i="3" a="1"/>
  <c r="O668" i="3" s="1"/>
  <c r="O693" i="3" a="1"/>
  <c r="O693" i="3" s="1"/>
  <c r="O597" i="3" a="1"/>
  <c r="O597" i="3" s="1"/>
  <c r="O652" i="3" a="1"/>
  <c r="O652" i="3" s="1"/>
  <c r="O28" i="3" a="1"/>
  <c r="O28" i="3" s="1"/>
  <c r="O162" i="3" a="1"/>
  <c r="O162" i="3" s="1"/>
  <c r="O306" i="3" a="1"/>
  <c r="O306" i="3" s="1"/>
  <c r="O450" i="3" a="1"/>
  <c r="O450" i="3" s="1"/>
  <c r="O557" i="3" a="1"/>
  <c r="O557" i="3" s="1"/>
  <c r="O153" i="3" a="1"/>
  <c r="O153" i="3" s="1"/>
  <c r="O297" i="3" a="1"/>
  <c r="O297" i="3" s="1"/>
  <c r="O441" i="3" a="1"/>
  <c r="O441" i="3" s="1"/>
  <c r="O71" i="3" a="1"/>
  <c r="O71" i="3" s="1"/>
  <c r="O215" i="3" a="1"/>
  <c r="O215" i="3" s="1"/>
  <c r="O359" i="3" a="1"/>
  <c r="O359" i="3" s="1"/>
  <c r="O503" i="3" a="1"/>
  <c r="O503" i="3" s="1"/>
  <c r="O93" i="3" a="1"/>
  <c r="O93" i="3" s="1"/>
  <c r="O237" i="3" a="1"/>
  <c r="O237" i="3" s="1"/>
  <c r="O381" i="3" a="1"/>
  <c r="O381" i="3" s="1"/>
  <c r="O534" i="3" a="1"/>
  <c r="O534" i="3" s="1"/>
  <c r="O135" i="3" a="1"/>
  <c r="O135" i="3" s="1"/>
  <c r="O279" i="3" a="1"/>
  <c r="O279" i="3" s="1"/>
  <c r="O423" i="3" a="1"/>
  <c r="O423" i="3" s="1"/>
  <c r="O535" i="3" a="1"/>
  <c r="O535" i="3" s="1"/>
  <c r="O105" i="3" a="1"/>
  <c r="O105" i="3" s="1"/>
  <c r="O249" i="3" a="1"/>
  <c r="O249" i="3" s="1"/>
  <c r="O393" i="3" a="1"/>
  <c r="O393" i="3" s="1"/>
  <c r="O565" i="3" a="1"/>
  <c r="O565" i="3" s="1"/>
  <c r="O126" i="3" a="1"/>
  <c r="O126" i="3" s="1"/>
  <c r="O270" i="3" a="1"/>
  <c r="O270" i="3" s="1"/>
  <c r="O414" i="3" a="1"/>
  <c r="O414" i="3" s="1"/>
  <c r="O518" i="3" a="1"/>
  <c r="O518" i="3" s="1"/>
  <c r="O127" i="3" a="1"/>
  <c r="O127" i="3" s="1"/>
  <c r="O271" i="3" a="1"/>
  <c r="O271" i="3" s="1"/>
  <c r="O415" i="3" a="1"/>
  <c r="O415" i="3" s="1"/>
  <c r="O35" i="3" a="1"/>
  <c r="O35" i="3" s="1"/>
  <c r="O179" i="3" a="1"/>
  <c r="O179" i="3" s="1"/>
  <c r="O323" i="3" a="1"/>
  <c r="O323" i="3" s="1"/>
  <c r="O467" i="3" a="1"/>
  <c r="O467" i="3" s="1"/>
  <c r="O57" i="3" a="1"/>
  <c r="O57" i="3" s="1"/>
  <c r="O201" i="3" a="1"/>
  <c r="O201" i="3" s="1"/>
  <c r="O345" i="3" a="1"/>
  <c r="O345" i="3" s="1"/>
  <c r="O489" i="3" a="1"/>
  <c r="O489" i="3" s="1"/>
  <c r="O109" i="3" a="1"/>
  <c r="O109" i="3" s="1"/>
  <c r="O253" i="3" a="1"/>
  <c r="O253" i="3" s="1"/>
  <c r="O397" i="3" a="1"/>
  <c r="O397" i="3" s="1"/>
  <c r="O429" i="3" a="1"/>
  <c r="O429" i="3" s="1"/>
  <c r="O110" i="3" a="1"/>
  <c r="O110" i="3" s="1"/>
  <c r="O254" i="3" a="1"/>
  <c r="O254" i="3" s="1"/>
  <c r="O398" i="3" a="1"/>
  <c r="O398" i="3" s="1"/>
  <c r="O624" i="3" a="1"/>
  <c r="O624" i="3" s="1"/>
  <c r="O649" i="3" a="1"/>
  <c r="O649" i="3" s="1"/>
  <c r="O674" i="3" a="1"/>
  <c r="O674" i="3" s="1"/>
  <c r="O573" i="3" a="1"/>
  <c r="O573" i="3" s="1"/>
  <c r="O605" i="3" a="1"/>
  <c r="O605" i="3" s="1"/>
  <c r="O630" i="3" a="1"/>
  <c r="O630" i="3" s="1"/>
  <c r="O655" i="3" a="1"/>
  <c r="O655" i="3" s="1"/>
  <c r="O680" i="3" a="1"/>
  <c r="O680" i="3" s="1"/>
  <c r="O582" i="3" a="1"/>
  <c r="O582" i="3" s="1"/>
  <c r="O611" i="3" a="1"/>
  <c r="O611" i="3" s="1"/>
  <c r="O635" i="3" a="1"/>
  <c r="O635" i="3" s="1"/>
  <c r="O39" i="3" a="1"/>
  <c r="O39" i="3" s="1"/>
  <c r="O183" i="3" a="1"/>
  <c r="O183" i="3" s="1"/>
  <c r="O327" i="3" a="1"/>
  <c r="O327" i="3" s="1"/>
  <c r="O471" i="3" a="1"/>
  <c r="O471" i="3" s="1"/>
  <c r="O569" i="3" a="1"/>
  <c r="O569" i="3" s="1"/>
  <c r="O163" i="3" a="1"/>
  <c r="O163" i="3" s="1"/>
  <c r="O307" i="3" a="1"/>
  <c r="O307" i="3" s="1"/>
  <c r="O451" i="3" a="1"/>
  <c r="O451" i="3" s="1"/>
  <c r="O82" i="3" a="1"/>
  <c r="O82" i="3" s="1"/>
  <c r="O226" i="3" a="1"/>
  <c r="O226" i="3" s="1"/>
  <c r="O370" i="3" a="1"/>
  <c r="O370" i="3" s="1"/>
  <c r="O514" i="3" a="1"/>
  <c r="O514" i="3" s="1"/>
  <c r="O103" i="3" a="1"/>
  <c r="O103" i="3" s="1"/>
  <c r="O247" i="3" a="1"/>
  <c r="O247" i="3" s="1"/>
  <c r="O391" i="3" a="1"/>
  <c r="O391" i="3" s="1"/>
  <c r="O546" i="3" a="1"/>
  <c r="O546" i="3" s="1"/>
  <c r="O145" i="3" a="1"/>
  <c r="O145" i="3" s="1"/>
  <c r="O289" i="3" a="1"/>
  <c r="O289" i="3" s="1"/>
  <c r="O433" i="3" a="1"/>
  <c r="O433" i="3" s="1"/>
  <c r="O547" i="3" a="1"/>
  <c r="O547" i="3" s="1"/>
  <c r="O115" i="3" a="1"/>
  <c r="O115" i="3" s="1"/>
  <c r="O259" i="3" a="1"/>
  <c r="O259" i="3" s="1"/>
  <c r="O403" i="3" a="1"/>
  <c r="O403" i="3" s="1"/>
  <c r="O577" i="3" a="1"/>
  <c r="O577" i="3" s="1"/>
  <c r="O147" i="3" a="1"/>
  <c r="O147" i="3" s="1"/>
  <c r="O291" i="3" a="1"/>
  <c r="O291" i="3" s="1"/>
  <c r="O435" i="3" a="1"/>
  <c r="O435" i="3" s="1"/>
  <c r="O536" i="3" a="1"/>
  <c r="O536" i="3" s="1"/>
  <c r="O137" i="3" a="1"/>
  <c r="O137" i="3" s="1"/>
  <c r="O281" i="3" a="1"/>
  <c r="O281" i="3" s="1"/>
  <c r="O425" i="3" a="1"/>
  <c r="O425" i="3" s="1"/>
  <c r="O46" i="3" a="1"/>
  <c r="O46" i="3" s="1"/>
  <c r="O190" i="3" a="1"/>
  <c r="O190" i="3" s="1"/>
  <c r="O334" i="3" a="1"/>
  <c r="O334" i="3" s="1"/>
  <c r="O478" i="3" a="1"/>
  <c r="O478" i="3" s="1"/>
  <c r="O67" i="3" a="1"/>
  <c r="O67" i="3" s="1"/>
  <c r="O211" i="3" a="1"/>
  <c r="O211" i="3" s="1"/>
  <c r="O355" i="3" a="1"/>
  <c r="O355" i="3" s="1"/>
  <c r="O499" i="3" a="1"/>
  <c r="O499" i="3" s="1"/>
  <c r="O119" i="3" a="1"/>
  <c r="O119" i="3" s="1"/>
  <c r="O263" i="3" a="1"/>
  <c r="O263" i="3" s="1"/>
  <c r="O407" i="3" a="1"/>
  <c r="O407" i="3" s="1"/>
  <c r="O449" i="3" a="1"/>
  <c r="O449" i="3" s="1"/>
  <c r="O120" i="3" a="1"/>
  <c r="O120" i="3" s="1"/>
  <c r="O264" i="3" a="1"/>
  <c r="O264" i="3" s="1"/>
  <c r="O408" i="3" a="1"/>
  <c r="O408" i="3" s="1"/>
  <c r="O636" i="3" a="1"/>
  <c r="O636" i="3" s="1"/>
  <c r="O661" i="3" a="1"/>
  <c r="O661" i="3" s="1"/>
  <c r="O686" i="3" a="1"/>
  <c r="O686" i="3" s="1"/>
  <c r="O590" i="3" a="1"/>
  <c r="O590" i="3" s="1"/>
  <c r="O617" i="3" a="1"/>
  <c r="O617" i="3" s="1"/>
  <c r="O642" i="3" a="1"/>
  <c r="O642" i="3" s="1"/>
  <c r="O667" i="3" a="1"/>
  <c r="O667" i="3" s="1"/>
  <c r="O692" i="3" a="1"/>
  <c r="O692" i="3" s="1"/>
  <c r="O623" i="3" a="1"/>
  <c r="O623" i="3" s="1"/>
  <c r="O579" i="3" a="1"/>
  <c r="O579" i="3" s="1"/>
  <c r="O49" i="3" a="1"/>
  <c r="O49" i="3" s="1"/>
  <c r="O193" i="3" a="1"/>
  <c r="O193" i="3" s="1"/>
  <c r="O337" i="3" a="1"/>
  <c r="O337" i="3" s="1"/>
  <c r="O481" i="3" a="1"/>
  <c r="O481" i="3" s="1"/>
  <c r="O29" i="3" a="1"/>
  <c r="O29" i="3" s="1"/>
  <c r="O173" i="3" a="1"/>
  <c r="O173" i="3" s="1"/>
  <c r="O317" i="3" a="1"/>
  <c r="O317" i="3" s="1"/>
  <c r="O472" i="3" a="1"/>
  <c r="O472" i="3" s="1"/>
  <c r="O92" i="3" a="1"/>
  <c r="O92" i="3" s="1"/>
  <c r="O236" i="3" a="1"/>
  <c r="O236" i="3" s="1"/>
  <c r="O380" i="3" a="1"/>
  <c r="O380" i="3" s="1"/>
  <c r="O524" i="3" a="1"/>
  <c r="O524" i="3" s="1"/>
  <c r="O113" i="3" a="1"/>
  <c r="O113" i="3" s="1"/>
  <c r="O257" i="3" a="1"/>
  <c r="O257" i="3" s="1"/>
  <c r="O401" i="3" a="1"/>
  <c r="O401" i="3" s="1"/>
  <c r="O558" i="3" a="1"/>
  <c r="O558" i="3" s="1"/>
  <c r="O155" i="3" a="1"/>
  <c r="O155" i="3" s="1"/>
  <c r="O299" i="3" a="1"/>
  <c r="O299" i="3" s="1"/>
  <c r="O443" i="3" a="1"/>
  <c r="O443" i="3" s="1"/>
  <c r="O559" i="3" a="1"/>
  <c r="O559" i="3" s="1"/>
  <c r="O125" i="3" a="1"/>
  <c r="O125" i="3" s="1"/>
  <c r="O269" i="3" a="1"/>
  <c r="O269" i="3" s="1"/>
  <c r="O413" i="3" a="1"/>
  <c r="O413" i="3" s="1"/>
  <c r="O589" i="3" a="1"/>
  <c r="O589" i="3" s="1"/>
  <c r="O157" i="3" a="1"/>
  <c r="O157" i="3" s="1"/>
  <c r="O301" i="3" a="1"/>
  <c r="O301" i="3" s="1"/>
  <c r="O445" i="3" a="1"/>
  <c r="O445" i="3" s="1"/>
  <c r="O548" i="3" a="1"/>
  <c r="O548" i="3" s="1"/>
  <c r="O148" i="3" a="1"/>
  <c r="O148" i="3" s="1"/>
  <c r="O292" i="3" a="1"/>
  <c r="O292" i="3" s="1"/>
  <c r="O436" i="3" a="1"/>
  <c r="O436" i="3" s="1"/>
  <c r="O56" i="3" a="1"/>
  <c r="O56" i="3" s="1"/>
  <c r="O200" i="3" a="1"/>
  <c r="O200" i="3" s="1"/>
  <c r="O344" i="3" a="1"/>
  <c r="O344" i="3" s="1"/>
  <c r="O488" i="3" a="1"/>
  <c r="O488" i="3" s="1"/>
  <c r="O77" i="3" a="1"/>
  <c r="O77" i="3" s="1"/>
  <c r="O221" i="3" a="1"/>
  <c r="O221" i="3" s="1"/>
  <c r="O365" i="3" a="1"/>
  <c r="O365" i="3" s="1"/>
  <c r="O520" i="3" a="1"/>
  <c r="O520" i="3" s="1"/>
  <c r="O130" i="3" a="1"/>
  <c r="O130" i="3" s="1"/>
  <c r="O274" i="3" a="1"/>
  <c r="O274" i="3" s="1"/>
  <c r="O418" i="3" a="1"/>
  <c r="O418" i="3" s="1"/>
  <c r="O470" i="3" a="1"/>
  <c r="O470" i="3" s="1"/>
  <c r="O141" i="3" a="1"/>
  <c r="O141" i="3" s="1"/>
  <c r="O285" i="3" a="1"/>
  <c r="O285" i="3" s="1"/>
  <c r="O439" i="3" a="1"/>
  <c r="O439" i="3" s="1"/>
  <c r="O648" i="3" a="1"/>
  <c r="O648" i="3" s="1"/>
  <c r="O673" i="3" a="1"/>
  <c r="O673" i="3" s="1"/>
  <c r="O568" i="3" a="1"/>
  <c r="O568" i="3" s="1"/>
  <c r="O604" i="3" a="1"/>
  <c r="O604" i="3" s="1"/>
  <c r="O629" i="3" a="1"/>
  <c r="O629" i="3" s="1"/>
  <c r="O654" i="3" a="1"/>
  <c r="O654" i="3" s="1"/>
  <c r="O581" i="3" a="1"/>
  <c r="O581" i="3" s="1"/>
  <c r="O59" i="3" a="1"/>
  <c r="O59" i="3" s="1"/>
  <c r="O203" i="3" a="1"/>
  <c r="O203" i="3" s="1"/>
  <c r="O347" i="3" a="1"/>
  <c r="O347" i="3" s="1"/>
  <c r="O491" i="3" a="1"/>
  <c r="O491" i="3" s="1"/>
  <c r="O40" i="3" a="1"/>
  <c r="O40" i="3" s="1"/>
  <c r="O184" i="3" a="1"/>
  <c r="O184" i="3" s="1"/>
  <c r="O328" i="3" a="1"/>
  <c r="O328" i="3" s="1"/>
  <c r="O492" i="3" a="1"/>
  <c r="O492" i="3" s="1"/>
  <c r="O102" i="3" a="1"/>
  <c r="O102" i="3" s="1"/>
  <c r="O246" i="3" a="1"/>
  <c r="O246" i="3" s="1"/>
  <c r="O390" i="3" a="1"/>
  <c r="O390" i="3" s="1"/>
  <c r="O525" i="3" a="1"/>
  <c r="O525" i="3" s="1"/>
  <c r="O124" i="3" a="1"/>
  <c r="O124" i="3" s="1"/>
  <c r="O268" i="3" a="1"/>
  <c r="O268" i="3" s="1"/>
  <c r="O412" i="3" a="1"/>
  <c r="O412" i="3" s="1"/>
  <c r="O570" i="3" a="1"/>
  <c r="O570" i="3" s="1"/>
  <c r="O166" i="3" a="1"/>
  <c r="O166" i="3" s="1"/>
  <c r="O310" i="3" a="1"/>
  <c r="O310" i="3" s="1"/>
  <c r="O454" i="3" a="1"/>
  <c r="O454" i="3" s="1"/>
  <c r="O571" i="3" a="1"/>
  <c r="O571" i="3" s="1"/>
  <c r="O136" i="3" a="1"/>
  <c r="O136" i="3" s="1"/>
  <c r="O280" i="3" a="1"/>
  <c r="O280" i="3" s="1"/>
  <c r="O424" i="3" a="1"/>
  <c r="O424" i="3" s="1"/>
  <c r="O601" i="3" a="1"/>
  <c r="O601" i="3" s="1"/>
  <c r="O167" i="3" a="1"/>
  <c r="O167" i="3" s="1"/>
  <c r="O311" i="3" a="1"/>
  <c r="O311" i="3" s="1"/>
  <c r="O455" i="3" a="1"/>
  <c r="O455" i="3" s="1"/>
  <c r="O560" i="3" a="1"/>
  <c r="O560" i="3" s="1"/>
  <c r="O158" i="3" a="1"/>
  <c r="O158" i="3" s="1"/>
  <c r="O302" i="3" a="1"/>
  <c r="O302" i="3" s="1"/>
  <c r="O446" i="3" a="1"/>
  <c r="O446" i="3" s="1"/>
  <c r="O66" i="3" a="1"/>
  <c r="O66" i="3" s="1"/>
  <c r="O210" i="3" a="1"/>
  <c r="O210" i="3" s="1"/>
  <c r="O354" i="3" a="1"/>
  <c r="O354" i="3" s="1"/>
  <c r="O498" i="3" a="1"/>
  <c r="O498" i="3" s="1"/>
  <c r="O88" i="3" a="1"/>
  <c r="O88" i="3" s="1"/>
  <c r="O232" i="3" a="1"/>
  <c r="O232" i="3" s="1"/>
  <c r="O376" i="3" a="1"/>
  <c r="O376" i="3" s="1"/>
  <c r="O537" i="3" a="1"/>
  <c r="O537" i="3" s="1"/>
  <c r="O140" i="3" a="1"/>
  <c r="O140" i="3" s="1"/>
  <c r="O284" i="3" a="1"/>
  <c r="O284" i="3" s="1"/>
  <c r="O428" i="3" a="1"/>
  <c r="O428" i="3" s="1"/>
  <c r="O501" i="3" a="1"/>
  <c r="O501" i="3" s="1"/>
  <c r="O151" i="3" a="1"/>
  <c r="O151" i="3" s="1"/>
  <c r="O295" i="3" a="1"/>
  <c r="O295" i="3" s="1"/>
  <c r="O460" i="3" a="1"/>
  <c r="O460" i="3" s="1"/>
  <c r="O660" i="3" a="1"/>
  <c r="O660" i="3" s="1"/>
  <c r="O685" i="3" a="1"/>
  <c r="O685" i="3" s="1"/>
  <c r="O588" i="3" a="1"/>
  <c r="O588" i="3" s="1"/>
  <c r="O616" i="3" a="1"/>
  <c r="O616" i="3" s="1"/>
  <c r="O641" i="3" a="1"/>
  <c r="O641" i="3" s="1"/>
  <c r="O666" i="3" a="1"/>
  <c r="O666" i="3" s="1"/>
  <c r="O691" i="3" a="1"/>
  <c r="O691" i="3" s="1"/>
  <c r="O596" i="3" a="1"/>
  <c r="O596" i="3" s="1"/>
  <c r="O622" i="3" a="1"/>
  <c r="O622" i="3" s="1"/>
  <c r="O647" i="3" a="1"/>
  <c r="O647" i="3" s="1"/>
  <c r="O627" i="3" a="1"/>
  <c r="O627" i="3" s="1"/>
  <c r="O70" i="3" a="1"/>
  <c r="O70" i="3" s="1"/>
  <c r="O214" i="3" a="1"/>
  <c r="O214" i="3" s="1"/>
  <c r="O358" i="3" a="1"/>
  <c r="O358" i="3" s="1"/>
  <c r="O502" i="3" a="1"/>
  <c r="O502" i="3" s="1"/>
  <c r="O50" i="3" a="1"/>
  <c r="O50" i="3" s="1"/>
  <c r="O194" i="3" a="1"/>
  <c r="O194" i="3" s="1"/>
  <c r="O338" i="3" a="1"/>
  <c r="O338" i="3" s="1"/>
  <c r="O523" i="3" a="1"/>
  <c r="O523" i="3" s="1"/>
  <c r="O123" i="3" a="1"/>
  <c r="O123" i="3" s="1"/>
  <c r="O267" i="3" a="1"/>
  <c r="O267" i="3" s="1"/>
  <c r="O411" i="3" a="1"/>
  <c r="O411" i="3" s="1"/>
  <c r="O540" i="3" a="1"/>
  <c r="O540" i="3" s="1"/>
  <c r="O134" i="3" a="1"/>
  <c r="O134" i="3" s="1"/>
  <c r="O278" i="3" a="1"/>
  <c r="O278" i="3" s="1"/>
  <c r="O422" i="3" a="1"/>
  <c r="O422" i="3" s="1"/>
  <c r="O32" i="3" a="1"/>
  <c r="O32" i="3" s="1"/>
  <c r="O176" i="3" a="1"/>
  <c r="O176" i="3" s="1"/>
  <c r="O320" i="3" a="1"/>
  <c r="O320" i="3" s="1"/>
  <c r="O464" i="3" a="1"/>
  <c r="O464" i="3" s="1"/>
  <c r="O583" i="3" a="1"/>
  <c r="O583" i="3" s="1"/>
  <c r="O146" i="3" a="1"/>
  <c r="O146" i="3" s="1"/>
  <c r="O290" i="3" a="1"/>
  <c r="O290" i="3" s="1"/>
  <c r="O434" i="3" a="1"/>
  <c r="O434" i="3" s="1"/>
  <c r="O34" i="3" a="1"/>
  <c r="O34" i="3" s="1"/>
  <c r="O178" i="3" a="1"/>
  <c r="O178" i="3" s="1"/>
  <c r="O322" i="3" a="1"/>
  <c r="O322" i="3" s="1"/>
  <c r="O466" i="3" a="1"/>
  <c r="O466" i="3" s="1"/>
  <c r="O572" i="3" a="1"/>
  <c r="O572" i="3" s="1"/>
  <c r="O168" i="3" a="1"/>
  <c r="O168" i="3" s="1"/>
  <c r="O312" i="3" a="1"/>
  <c r="O312" i="3" s="1"/>
  <c r="O456" i="3" a="1"/>
  <c r="O456" i="3" s="1"/>
  <c r="O87" i="3" a="1"/>
  <c r="O87" i="3" s="1"/>
  <c r="O231" i="3" a="1"/>
  <c r="O231" i="3" s="1"/>
  <c r="O375" i="3" a="1"/>
  <c r="O375" i="3" s="1"/>
  <c r="O519" i="3" a="1"/>
  <c r="O519" i="3" s="1"/>
  <c r="O98" i="3" a="1"/>
  <c r="O98" i="3" s="1"/>
  <c r="O242" i="3" a="1"/>
  <c r="O242" i="3" s="1"/>
  <c r="O386" i="3" a="1"/>
  <c r="O386" i="3" s="1"/>
  <c r="O549" i="3" a="1"/>
  <c r="O549" i="3" s="1"/>
  <c r="O150" i="3" a="1"/>
  <c r="O150" i="3" s="1"/>
  <c r="O294" i="3" a="1"/>
  <c r="O294" i="3" s="1"/>
  <c r="O438" i="3" a="1"/>
  <c r="O438" i="3" s="1"/>
  <c r="O521" i="3" a="1"/>
  <c r="O521" i="3" s="1"/>
  <c r="O161" i="3" a="1"/>
  <c r="O161" i="3" s="1"/>
  <c r="O305" i="3" a="1"/>
  <c r="O305" i="3" s="1"/>
  <c r="O480" i="3" a="1"/>
  <c r="O480" i="3" s="1"/>
  <c r="O672" i="3" a="1"/>
  <c r="O672" i="3" s="1"/>
  <c r="O562" i="3" a="1"/>
  <c r="O562" i="3" s="1"/>
  <c r="O603" i="3" a="1"/>
  <c r="O603" i="3" s="1"/>
  <c r="O628" i="3" a="1"/>
  <c r="O628" i="3" s="1"/>
  <c r="O653" i="3" a="1"/>
  <c r="O653" i="3" s="1"/>
  <c r="O678" i="3" a="1"/>
  <c r="O678" i="3" s="1"/>
  <c r="O580" i="3" a="1"/>
  <c r="O580" i="3" s="1"/>
  <c r="O609" i="3" a="1"/>
  <c r="O609" i="3" s="1"/>
  <c r="O634" i="3" a="1"/>
  <c r="O634" i="3" s="1"/>
  <c r="O659" i="3" a="1"/>
  <c r="O659" i="3" s="1"/>
  <c r="O658" i="3" a="1"/>
  <c r="O658" i="3" s="1"/>
  <c r="O80" i="3" a="1"/>
  <c r="O80" i="3" s="1"/>
  <c r="O224" i="3" a="1"/>
  <c r="O224" i="3" s="1"/>
  <c r="O368" i="3" a="1"/>
  <c r="O368" i="3" s="1"/>
  <c r="O512" i="3" a="1"/>
  <c r="O512" i="3" s="1"/>
  <c r="O60" i="3" a="1"/>
  <c r="O60" i="3" s="1"/>
  <c r="O204" i="3" a="1"/>
  <c r="O204" i="3" s="1"/>
  <c r="O348" i="3" a="1"/>
  <c r="O348" i="3" s="1"/>
  <c r="O539" i="3" a="1"/>
  <c r="O539" i="3" s="1"/>
  <c r="O133" i="3" a="1"/>
  <c r="O133" i="3" s="1"/>
  <c r="O277" i="3" a="1"/>
  <c r="O277" i="3" s="1"/>
  <c r="O421" i="3" a="1"/>
  <c r="O421" i="3" s="1"/>
  <c r="O552" i="3" a="1"/>
  <c r="O552" i="3" s="1"/>
  <c r="O144" i="3" a="1"/>
  <c r="O144" i="3" s="1"/>
  <c r="O288" i="3" a="1"/>
  <c r="O288" i="3" s="1"/>
  <c r="O432" i="3" a="1"/>
  <c r="O432" i="3" s="1"/>
  <c r="O42" i="3" a="1"/>
  <c r="O42" i="3" s="1"/>
  <c r="O186" i="3" a="1"/>
  <c r="O186" i="3" s="1"/>
  <c r="O330" i="3" a="1"/>
  <c r="O330" i="3" s="1"/>
  <c r="O474" i="3" a="1"/>
  <c r="O474" i="3" s="1"/>
  <c r="O595" i="3" a="1"/>
  <c r="O595" i="3" s="1"/>
  <c r="O156" i="3" a="1"/>
  <c r="O156" i="3" s="1"/>
  <c r="O300" i="3" a="1"/>
  <c r="O300" i="3" s="1"/>
  <c r="O444" i="3" a="1"/>
  <c r="O444" i="3" s="1"/>
  <c r="O44" i="3" a="1"/>
  <c r="O44" i="3" s="1"/>
  <c r="O188" i="3" a="1"/>
  <c r="O188" i="3" s="1"/>
  <c r="O332" i="3" a="1"/>
  <c r="O332" i="3" s="1"/>
  <c r="O476" i="3" a="1"/>
  <c r="O476" i="3" s="1"/>
  <c r="O45" i="3" a="1"/>
  <c r="O45" i="3" s="1"/>
  <c r="O189" i="3" a="1"/>
  <c r="O189" i="3" s="1"/>
  <c r="O333" i="3" a="1"/>
  <c r="O333" i="3" s="1"/>
  <c r="O487" i="3" a="1"/>
  <c r="O487" i="3" s="1"/>
  <c r="O97" i="3" a="1"/>
  <c r="O97" i="3" s="1"/>
  <c r="O241" i="3" a="1"/>
  <c r="O241" i="3" s="1"/>
  <c r="O385" i="3" a="1"/>
  <c r="O385" i="3" s="1"/>
  <c r="O529" i="3" a="1"/>
  <c r="O529" i="3" s="1"/>
  <c r="O108" i="3" a="1"/>
  <c r="O108" i="3" s="1"/>
  <c r="O252" i="3" a="1"/>
  <c r="O252" i="3" s="1"/>
  <c r="O396" i="3" a="1"/>
  <c r="O396" i="3" s="1"/>
  <c r="O561" i="3" a="1"/>
  <c r="O561" i="3" s="1"/>
  <c r="O171" i="3" a="1"/>
  <c r="O171" i="3" s="1"/>
  <c r="O315" i="3" a="1"/>
  <c r="O315" i="3" s="1"/>
  <c r="O459" i="3" a="1"/>
  <c r="O459" i="3" s="1"/>
  <c r="O538" i="3" a="1"/>
  <c r="O538" i="3" s="1"/>
  <c r="O172" i="3" a="1"/>
  <c r="O172" i="3" s="1"/>
  <c r="O316" i="3" a="1"/>
  <c r="O316" i="3" s="1"/>
  <c r="O511" i="3" a="1"/>
  <c r="O511" i="3" s="1"/>
  <c r="O684" i="3" a="1"/>
  <c r="O684" i="3" s="1"/>
  <c r="O587" i="3" a="1"/>
  <c r="O587" i="3" s="1"/>
  <c r="O615" i="3" a="1"/>
  <c r="O615" i="3" s="1"/>
  <c r="O640" i="3" a="1"/>
  <c r="O640" i="3" s="1"/>
  <c r="O665" i="3" a="1"/>
  <c r="O665" i="3" s="1"/>
  <c r="O690" i="3" a="1"/>
  <c r="O690" i="3" s="1"/>
  <c r="O594" i="3" a="1"/>
  <c r="O594" i="3" s="1"/>
  <c r="O621" i="3" a="1"/>
  <c r="O621" i="3" s="1"/>
  <c r="O646" i="3" a="1"/>
  <c r="O646" i="3" s="1"/>
  <c r="O671" i="3" a="1"/>
  <c r="O671" i="3" s="1"/>
  <c r="O602" i="3" a="1"/>
  <c r="O602" i="3" s="1"/>
  <c r="O633" i="3" a="1"/>
  <c r="O633" i="3" s="1"/>
  <c r="O90" i="3" a="1"/>
  <c r="O90" i="3" s="1"/>
  <c r="O234" i="3" a="1"/>
  <c r="O234" i="3" s="1"/>
  <c r="O378" i="3" a="1"/>
  <c r="O378" i="3" s="1"/>
  <c r="O522" i="3" a="1"/>
  <c r="O522" i="3" s="1"/>
  <c r="O81" i="3" a="1"/>
  <c r="O81" i="3" s="1"/>
  <c r="O225" i="3" a="1"/>
  <c r="O225" i="3" s="1"/>
  <c r="O369" i="3" a="1"/>
  <c r="O369" i="3" s="1"/>
  <c r="O551" i="3" a="1"/>
  <c r="O551" i="3" s="1"/>
  <c r="O143" i="3" a="1"/>
  <c r="O143" i="3" s="1"/>
  <c r="O287" i="3" a="1"/>
  <c r="O287" i="3" s="1"/>
  <c r="O431" i="3" a="1"/>
  <c r="O431" i="3" s="1"/>
  <c r="O564" i="3" a="1"/>
  <c r="O564" i="3" s="1"/>
  <c r="O165" i="3" a="1"/>
  <c r="O165" i="3" s="1"/>
  <c r="O309" i="3" a="1"/>
  <c r="O309" i="3" s="1"/>
  <c r="O453" i="3" a="1"/>
  <c r="O453" i="3" s="1"/>
  <c r="O63" i="3" a="1"/>
  <c r="O63" i="3" s="1"/>
  <c r="O207" i="3" a="1"/>
  <c r="O207" i="3" s="1"/>
  <c r="O351" i="3" a="1"/>
  <c r="O351" i="3" s="1"/>
  <c r="O495" i="3" a="1"/>
  <c r="O495" i="3" s="1"/>
  <c r="O33" i="3" a="1"/>
  <c r="O33" i="3" s="1"/>
  <c r="O177" i="3" a="1"/>
  <c r="O177" i="3" s="1"/>
  <c r="O321" i="3" a="1"/>
  <c r="O321" i="3" s="1"/>
  <c r="O465" i="3" a="1"/>
  <c r="O465" i="3" s="1"/>
  <c r="O54" i="3" a="1"/>
  <c r="O54" i="3" s="1"/>
  <c r="O198" i="3" a="1"/>
  <c r="O198" i="3" s="1"/>
  <c r="O342" i="3" a="1"/>
  <c r="O342" i="3" s="1"/>
  <c r="O486" i="3" a="1"/>
  <c r="O486" i="3" s="1"/>
  <c r="O55" i="3" a="1"/>
  <c r="O55" i="3" s="1"/>
  <c r="O199" i="3" a="1"/>
  <c r="O199" i="3" s="1"/>
  <c r="O343" i="3" a="1"/>
  <c r="O343" i="3" s="1"/>
  <c r="O508" i="3" a="1"/>
  <c r="O508" i="3" s="1"/>
  <c r="O107" i="3" a="1"/>
  <c r="O107" i="3" s="1"/>
  <c r="O251" i="3" a="1"/>
  <c r="O251" i="3" s="1"/>
  <c r="O395" i="3" a="1"/>
  <c r="O395" i="3" s="1"/>
  <c r="O509" i="3" a="1"/>
  <c r="O509" i="3" s="1"/>
  <c r="O129" i="3" a="1"/>
  <c r="O129" i="3" s="1"/>
  <c r="O273" i="3" a="1"/>
  <c r="O273" i="3" s="1"/>
  <c r="O417" i="3" a="1"/>
  <c r="O417" i="3" s="1"/>
  <c r="O37" i="3" a="1"/>
  <c r="O37" i="3" s="1"/>
  <c r="O181" i="3" a="1"/>
  <c r="O181" i="3" s="1"/>
  <c r="O325" i="3" a="1"/>
  <c r="O325" i="3" s="1"/>
  <c r="O469" i="3" a="1"/>
  <c r="O469" i="3" s="1"/>
  <c r="O38" i="3" a="1"/>
  <c r="O38" i="3" s="1"/>
  <c r="O182" i="3" a="1"/>
  <c r="O182" i="3" s="1"/>
  <c r="O326" i="3" a="1"/>
  <c r="O326" i="3" s="1"/>
  <c r="O532" i="3" a="1"/>
  <c r="O532" i="3" s="1"/>
  <c r="O556" i="3" a="1"/>
  <c r="O556" i="3" s="1"/>
  <c r="O608" i="3" a="1"/>
  <c r="O608" i="3" s="1"/>
  <c r="O13" i="3" a="1"/>
  <c r="O13" i="3" s="1"/>
  <c r="O19" i="3" a="1"/>
  <c r="O19" i="3" s="1"/>
  <c r="O20" i="3" a="1"/>
  <c r="O20" i="3" s="1"/>
  <c r="O21" i="3" a="1"/>
  <c r="O21" i="3" s="1"/>
  <c r="O22" i="3" a="1"/>
  <c r="O22" i="3" s="1"/>
  <c r="M131" i="3"/>
  <c r="N131" i="3" s="1"/>
  <c r="O14" i="3" a="1"/>
  <c r="O14" i="3" s="1"/>
  <c r="O18" i="3" a="1"/>
  <c r="O18" i="3" s="1"/>
  <c r="O15" i="3" a="1"/>
  <c r="O15" i="3" s="1"/>
  <c r="O16" i="3" a="1"/>
  <c r="O16" i="3" s="1"/>
  <c r="O17" i="3" a="1"/>
  <c r="O17" i="3" s="1"/>
  <c r="O12" i="3" a="1"/>
  <c r="O12" i="3" s="1"/>
  <c r="K196" i="3"/>
  <c r="L196" i="3" s="1"/>
  <c r="M140" i="3"/>
  <c r="N140" i="3" s="1"/>
  <c r="K140" i="3" s="1"/>
  <c r="J185" i="3"/>
  <c r="K185" i="3" s="1"/>
  <c r="L185" i="3" s="1"/>
  <c r="K178" i="3"/>
  <c r="L178" i="3" s="1"/>
  <c r="K206" i="3"/>
  <c r="L206" i="3" s="1"/>
  <c r="J205" i="3"/>
  <c r="K205" i="3" s="1"/>
  <c r="L205" i="3" s="1"/>
  <c r="K195" i="3"/>
  <c r="L195" i="3" s="1"/>
  <c r="K194" i="3"/>
  <c r="L194" i="3" s="1"/>
  <c r="J211" i="3"/>
  <c r="K211" i="3" s="1"/>
  <c r="L211" i="3" s="1"/>
  <c r="J209" i="3"/>
  <c r="K209" i="3" s="1"/>
  <c r="L209" i="3" s="1"/>
  <c r="J208" i="3"/>
  <c r="K208" i="3" s="1"/>
  <c r="L208" i="3" s="1"/>
  <c r="J207" i="3"/>
  <c r="K207" i="3" s="1"/>
  <c r="L207" i="3" s="1"/>
  <c r="J210" i="3"/>
  <c r="K210" i="3" s="1"/>
  <c r="L210" i="3" s="1"/>
  <c r="K182" i="3"/>
  <c r="L182" i="3" s="1"/>
  <c r="J198" i="3"/>
  <c r="K198" i="3" s="1"/>
  <c r="L198" i="3" s="1"/>
  <c r="K201" i="3"/>
  <c r="L201" i="3" s="1"/>
  <c r="K189" i="3"/>
  <c r="L189" i="3" s="1"/>
  <c r="K202" i="3"/>
  <c r="L202" i="3" s="1"/>
  <c r="K190" i="3"/>
  <c r="L190" i="3" s="1"/>
  <c r="K183" i="3"/>
  <c r="L183" i="3" s="1"/>
  <c r="K166" i="3"/>
  <c r="L166" i="3" s="1"/>
  <c r="K199" i="3"/>
  <c r="L199" i="3" s="1"/>
  <c r="K186" i="3"/>
  <c r="L186" i="3" s="1"/>
  <c r="K197" i="3"/>
  <c r="L197" i="3" s="1"/>
  <c r="J187" i="3"/>
  <c r="K187" i="3" s="1"/>
  <c r="L187" i="3" s="1"/>
  <c r="J184" i="3"/>
  <c r="K184" i="3" s="1"/>
  <c r="L184" i="3" s="1"/>
  <c r="K193" i="3"/>
  <c r="L193" i="3" s="1"/>
  <c r="K181" i="3"/>
  <c r="L181" i="3" s="1"/>
  <c r="J204" i="3"/>
  <c r="K204" i="3" s="1"/>
  <c r="L204" i="3" s="1"/>
  <c r="J192" i="3"/>
  <c r="K192" i="3" s="1"/>
  <c r="L192" i="3" s="1"/>
  <c r="J180" i="3"/>
  <c r="K180" i="3" s="1"/>
  <c r="L180" i="3" s="1"/>
  <c r="J203" i="3"/>
  <c r="K203" i="3" s="1"/>
  <c r="L203" i="3" s="1"/>
  <c r="J191" i="3"/>
  <c r="K191" i="3" s="1"/>
  <c r="L191" i="3" s="1"/>
  <c r="J179" i="3"/>
  <c r="K179" i="3" s="1"/>
  <c r="L179" i="3" s="1"/>
  <c r="J212" i="3"/>
  <c r="K212" i="3" s="1"/>
  <c r="L212" i="3" s="1"/>
  <c r="J200" i="3"/>
  <c r="K200" i="3" s="1"/>
  <c r="L200" i="3" s="1"/>
  <c r="J188" i="3"/>
  <c r="K188" i="3" s="1"/>
  <c r="L188" i="3" s="1"/>
  <c r="K172" i="3"/>
  <c r="J169" i="3"/>
  <c r="K169" i="3" s="1"/>
  <c r="L169" i="3" s="1"/>
  <c r="K143" i="3"/>
  <c r="L143" i="3" s="1"/>
  <c r="K138" i="3"/>
  <c r="L138" i="3" s="1"/>
  <c r="J176" i="3"/>
  <c r="K149" i="3"/>
  <c r="L149" i="3" s="1"/>
  <c r="J175" i="3"/>
  <c r="K175" i="3" s="1"/>
  <c r="L175" i="3" s="1"/>
  <c r="K154" i="3"/>
  <c r="L154" i="3"/>
  <c r="K152" i="3"/>
  <c r="L152" i="3" s="1"/>
  <c r="K151" i="3"/>
  <c r="L151" i="3" s="1"/>
  <c r="J142" i="3"/>
  <c r="K142" i="3" s="1"/>
  <c r="L142" i="3" s="1"/>
  <c r="K135" i="3"/>
  <c r="L135" i="3" s="1"/>
  <c r="L133" i="3"/>
  <c r="K167" i="3"/>
  <c r="L167" i="3" s="1"/>
  <c r="K176" i="3"/>
  <c r="L176" i="3" s="1"/>
  <c r="K164" i="3"/>
  <c r="L164" i="3" s="1"/>
  <c r="J145" i="3"/>
  <c r="K145" i="3" s="1"/>
  <c r="L145" i="3" s="1"/>
  <c r="K165" i="3"/>
  <c r="L165" i="3" s="1"/>
  <c r="K160" i="3"/>
  <c r="L160" i="3" s="1"/>
  <c r="K162" i="3"/>
  <c r="L162" i="3" s="1"/>
  <c r="K159" i="3"/>
  <c r="L159" i="3" s="1"/>
  <c r="J164" i="3"/>
  <c r="K153" i="3"/>
  <c r="L153" i="3" s="1"/>
  <c r="K141" i="3"/>
  <c r="L141" i="3" s="1"/>
  <c r="K170" i="3"/>
  <c r="L170" i="3" s="1"/>
  <c r="K150" i="3"/>
  <c r="L150" i="3" s="1"/>
  <c r="K158" i="3"/>
  <c r="L158" i="3" s="1"/>
  <c r="J171" i="3"/>
  <c r="K171" i="3" s="1"/>
  <c r="L171" i="3" s="1"/>
  <c r="J144" i="3"/>
  <c r="K144" i="3" s="1"/>
  <c r="L144" i="3" s="1"/>
  <c r="K174" i="3"/>
  <c r="L174" i="3" s="1"/>
  <c r="K139" i="3"/>
  <c r="L139" i="3" s="1"/>
  <c r="K173" i="3"/>
  <c r="L173" i="3" s="1"/>
  <c r="J168" i="3"/>
  <c r="K168" i="3" s="1"/>
  <c r="L168" i="3" s="1"/>
  <c r="K137" i="3"/>
  <c r="L137" i="3" s="1"/>
  <c r="L134" i="3"/>
  <c r="K146" i="3"/>
  <c r="L146" i="3" s="1"/>
  <c r="K136" i="3"/>
  <c r="L136" i="3" s="1"/>
  <c r="K129" i="3"/>
  <c r="L129" i="3" s="1"/>
  <c r="K132" i="3"/>
  <c r="L132" i="3" s="1"/>
  <c r="J148" i="3"/>
  <c r="K148" i="3" s="1"/>
  <c r="L148" i="3" s="1"/>
  <c r="K161" i="3"/>
  <c r="L161" i="3" s="1"/>
  <c r="J147" i="3"/>
  <c r="K147" i="3" s="1"/>
  <c r="L147" i="3" s="1"/>
  <c r="K177" i="3"/>
  <c r="L177" i="3" s="1"/>
  <c r="L172" i="3"/>
  <c r="L157" i="3"/>
  <c r="L156" i="3"/>
  <c r="J131" i="3"/>
  <c r="J130" i="3"/>
  <c r="K130" i="3" s="1"/>
  <c r="L130" i="3" s="1"/>
  <c r="L163" i="3"/>
  <c r="K155" i="3"/>
  <c r="L155" i="3" s="1"/>
  <c r="F12" i="2"/>
  <c r="I4" i="4"/>
  <c r="H4" i="4"/>
  <c r="I3" i="4"/>
  <c r="H3" i="4"/>
  <c r="K131" i="3" l="1"/>
  <c r="L131" i="3" s="1"/>
  <c r="L140" i="3"/>
  <c r="D4" i="4" s="1"/>
  <c r="H5" i="4" l="1"/>
  <c r="C3" i="4"/>
  <c r="C4" i="4"/>
  <c r="D3" i="4"/>
  <c r="D5" i="4" s="1"/>
  <c r="I5" i="4" l="1"/>
  <c r="C5" i="4"/>
  <c r="E3" i="4" s="1"/>
  <c r="E4" i="4" l="1"/>
  <c r="E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JOEL SOSA</author>
  </authors>
  <commentList>
    <comment ref="C36" authorId="0" shapeId="0" xr:uid="{3097BDB1-5F5D-4FC8-A895-BEFA175031A4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 CON NOTA DE CREDITO 61</t>
        </r>
      </text>
    </comment>
    <comment ref="C37" authorId="0" shapeId="0" xr:uid="{68450FA1-D997-4332-BE67-C20CE62065B0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ANULDA CON NOTA DE CREDITO 59</t>
        </r>
      </text>
    </comment>
    <comment ref="C58" authorId="0" shapeId="0" xr:uid="{49E901A3-0551-489C-AE5C-C8E2657AF2EF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 CON NC 63</t>
        </r>
      </text>
    </comment>
    <comment ref="C87" authorId="0" shapeId="0" xr:uid="{45C4DC76-275F-4D20-8CBB-FA92938ED1EB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 CON NC 80</t>
        </r>
      </text>
    </comment>
    <comment ref="C103" authorId="0" shapeId="0" xr:uid="{0D1BD9DB-DB9A-45B9-BB59-3B9DBDED528C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 CON NC 67</t>
        </r>
      </text>
    </comment>
    <comment ref="I121" authorId="0" shapeId="0" xr:uid="{1C2A7FB6-BE8B-4FA4-ACED-0254FE59B7CB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OPERACIÓN BANCARIA 1800255</t>
        </r>
      </text>
    </comment>
    <comment ref="I130" authorId="0" shapeId="0" xr:uid="{EB12AB4A-1AA2-42E4-8EAE-331CF765BE6B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OPERACIÓN BANCARIA 1350016</t>
        </r>
      </text>
    </comment>
    <comment ref="C145" authorId="0" shapeId="0" xr:uid="{D87F065B-8D4B-4738-A88F-298D03B855F8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 CON NC 72</t>
        </r>
      </text>
    </comment>
    <comment ref="C186" authorId="0" shapeId="0" xr:uid="{D2120A67-630A-43B6-84A9-4B20DF366C8E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 CON NC 73</t>
        </r>
      </text>
    </comment>
    <comment ref="D191" authorId="0" shapeId="0" xr:uid="{1FD488AA-3307-4743-9B19-C71FC34C5F9E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2 CHEQUES DEPOSITADOS A LA CUENTA DE JAIRO</t>
        </r>
      </text>
    </comment>
    <comment ref="C263" authorId="0" shapeId="0" xr:uid="{7775056C-D3F1-44CF-865C-CDD9CABE0058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 CON NC 71</t>
        </r>
      </text>
    </comment>
    <comment ref="C314" authorId="0" shapeId="0" xr:uid="{91D473E1-DAA1-40DD-8C1D-99CBE3685EC1}">
      <text>
        <r>
          <rPr>
            <b/>
            <sz val="9"/>
            <color indexed="81"/>
            <rFont val="Tahoma"/>
            <family val="2"/>
          </rPr>
          <t>JOEL SOSA
ANULADA CON NC 80</t>
        </r>
      </text>
    </comment>
    <comment ref="C361" authorId="0" shapeId="0" xr:uid="{E3A60B2D-B77F-430E-B7BD-9066A4FBEA85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ANULADO CON NC 75</t>
        </r>
      </text>
    </comment>
    <comment ref="C387" authorId="0" shapeId="0" xr:uid="{0BC31A52-F2E8-4FC0-8AD9-F213B102FA87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 CON NC 79</t>
        </r>
      </text>
    </comment>
    <comment ref="C394" authorId="0" shapeId="0" xr:uid="{D3B7B8D3-4E53-4412-8927-7E79B28E8BD3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 CON NC 76</t>
        </r>
      </text>
    </comment>
    <comment ref="C400" authorId="0" shapeId="0" xr:uid="{7FD138BE-ACDA-4932-BE52-E7C35D4DA58F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 CON NC 77</t>
        </r>
      </text>
    </comment>
    <comment ref="C401" authorId="0" shapeId="0" xr:uid="{36D874C7-8EDE-4A24-B227-C6F97FCE24CF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 CON NC 78</t>
        </r>
      </text>
    </comment>
    <comment ref="C418" authorId="0" shapeId="0" xr:uid="{4AB47C8A-2147-4B32-9CB8-2AA7B731286F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 CON NC 84</t>
        </r>
      </text>
    </comment>
    <comment ref="C470" authorId="0" shapeId="0" xr:uid="{49F0C0C7-3680-4FDB-B6AD-669FD7F6038E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 CON NC 82</t>
        </r>
      </text>
    </comment>
    <comment ref="C488" authorId="0" shapeId="0" xr:uid="{F048DBFE-4025-4398-8244-C91AEF1058A1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DINERO LO TIENE BELEN</t>
        </r>
      </text>
    </comment>
    <comment ref="C500" authorId="0" shapeId="0" xr:uid="{FA3E70AF-C9FD-44AF-BE47-EEAA59BED4E8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 CON NC 83</t>
        </r>
      </text>
    </comment>
    <comment ref="D730" authorId="0" shapeId="0" xr:uid="{0B94CCA4-3CAA-413D-A41D-4B625ED462CA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 CON NC POR ERROR EN CANTIDAD</t>
        </r>
      </text>
    </comment>
    <comment ref="C953" authorId="0" shapeId="0" xr:uid="{C638D7F0-7124-4F81-B2E8-71B40E839195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</t>
        </r>
      </text>
    </comment>
    <comment ref="C964" authorId="0" shapeId="0" xr:uid="{E9406CB3-45DC-4617-BE8D-03C98B3B766E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 CON NC</t>
        </r>
      </text>
    </comment>
    <comment ref="C973" authorId="0" shapeId="0" xr:uid="{BD333EA2-7E78-4476-9C0A-4FCED68E8B22}">
      <text>
        <r>
          <rPr>
            <b/>
            <sz val="9"/>
            <color indexed="81"/>
            <rFont val="Tahoma"/>
            <family val="2"/>
          </rPr>
          <t>JOEL SOSA:</t>
        </r>
        <r>
          <rPr>
            <sz val="9"/>
            <color indexed="81"/>
            <rFont val="Tahoma"/>
            <family val="2"/>
          </rPr>
          <t xml:space="preserve">
ANULADA CON NC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<sst xmlns="http://schemas.openxmlformats.org/spreadsheetml/2006/main" count="3060" uniqueCount="841">
  <si>
    <t>CELULAR</t>
  </si>
  <si>
    <t>INICIAL</t>
  </si>
  <si>
    <t>NRO DOC</t>
  </si>
  <si>
    <t>CONDICIÓN DE PAGO</t>
  </si>
  <si>
    <t>FECHA DE EMISIÓN</t>
  </si>
  <si>
    <t>FECHA DE VENCIMIENTO</t>
  </si>
  <si>
    <t>DÍAS POR VENCER</t>
  </si>
  <si>
    <t>ESTADO DE PAGO</t>
  </si>
  <si>
    <t>DÍAS DE CRÉDITO</t>
  </si>
  <si>
    <t>GLOSA</t>
  </si>
  <si>
    <t>No vencido</t>
  </si>
  <si>
    <t>Vencido</t>
  </si>
  <si>
    <t>Documentos</t>
  </si>
  <si>
    <t>Importe</t>
  </si>
  <si>
    <t>% Docs</t>
  </si>
  <si>
    <t>Estado pago</t>
  </si>
  <si>
    <t>IMPORTE DEL DOC.</t>
  </si>
  <si>
    <t>COD CLIENTE</t>
  </si>
  <si>
    <t>CLIENTE</t>
  </si>
  <si>
    <t>IMPORTE A COBRAR</t>
  </si>
  <si>
    <t>IMPORTE POR COBRAR</t>
  </si>
  <si>
    <t>IMPORTE ABONADO</t>
  </si>
  <si>
    <t>FECHA DE ABONO</t>
  </si>
  <si>
    <t>FECHA DE ULTIMO ABONO</t>
  </si>
  <si>
    <t>12219231-8</t>
  </si>
  <si>
    <t>WILSON ELEODORO MERINO ROJAS</t>
  </si>
  <si>
    <t>RUT</t>
  </si>
  <si>
    <t>14485102-1</t>
  </si>
  <si>
    <t>LORENA CARMEN OTAROLA SOTO</t>
  </si>
  <si>
    <t>18218891-3</t>
  </si>
  <si>
    <t>FERNANDO ESTEBAN DIAZ SANQUINETTI</t>
  </si>
  <si>
    <t>92475000-6</t>
  </si>
  <si>
    <t>78320430-4</t>
  </si>
  <si>
    <t>77578446-6</t>
  </si>
  <si>
    <t>78747740-2</t>
  </si>
  <si>
    <t>78055616-1</t>
  </si>
  <si>
    <t>76574783-K</t>
  </si>
  <si>
    <t>77520219-K</t>
  </si>
  <si>
    <t>76410595-8</t>
  </si>
  <si>
    <t>77978769-9</t>
  </si>
  <si>
    <t>76336122-5</t>
  </si>
  <si>
    <t>77758444-8</t>
  </si>
  <si>
    <t>76829102-0</t>
  </si>
  <si>
    <t>76946732-7</t>
  </si>
  <si>
    <t>76686138-5</t>
  </si>
  <si>
    <t>76548223-2</t>
  </si>
  <si>
    <t>8929149-6</t>
  </si>
  <si>
    <t>76744135-5</t>
  </si>
  <si>
    <t>77721807-7</t>
  </si>
  <si>
    <t>77789862-0</t>
  </si>
  <si>
    <t>78105542-5</t>
  </si>
  <si>
    <t>76271472-8</t>
  </si>
  <si>
    <t>76032289-K</t>
  </si>
  <si>
    <t>96792430-K</t>
  </si>
  <si>
    <t>77382153-4</t>
  </si>
  <si>
    <t>78442450-2</t>
  </si>
  <si>
    <t>8491016-3</t>
  </si>
  <si>
    <t>3231880-0</t>
  </si>
  <si>
    <t>76948401-9</t>
  </si>
  <si>
    <t>78083174-K</t>
  </si>
  <si>
    <t>76881519-4</t>
  </si>
  <si>
    <t>76679762-8</t>
  </si>
  <si>
    <t>77723189-8</t>
  </si>
  <si>
    <t>77511008-2</t>
  </si>
  <si>
    <t>78110199-0</t>
  </si>
  <si>
    <t>7307203-4</t>
  </si>
  <si>
    <t>KAUFMANN SA VEHICULOS MOTORIZADOS</t>
  </si>
  <si>
    <t>AUTOMOTRIZ NICOLAS LTDA.</t>
  </si>
  <si>
    <t>JOYERIA Y RELOJERIA KARIME DAU SPA</t>
  </si>
  <si>
    <t>SERVICIOS INDUSTRIALES WARNER SPA</t>
  </si>
  <si>
    <t>SERVICIOS INTEGRALES LA RIVERA SPA</t>
  </si>
  <si>
    <t>LC GROUP INTERNATIONAL SPA</t>
  </si>
  <si>
    <t>AILUV SPA</t>
  </si>
  <si>
    <t>CROSAN SPA</t>
  </si>
  <si>
    <t>PALMON SPA</t>
  </si>
  <si>
    <t>INGENIERIA Y SERVICIOS TERRACOP SPA</t>
  </si>
  <si>
    <t>TRANSPORTE DOBLE C SPA</t>
  </si>
  <si>
    <t>CONSTRUCTORA ROJAS Y FIERRO FERSMETAL LIMITADA</t>
  </si>
  <si>
    <t>SKC RED SPA</t>
  </si>
  <si>
    <t>INGEGROUP INGENIERIA  SPA</t>
  </si>
  <si>
    <t>ANGEL CUSTODIO CONCHA SANCHEZ</t>
  </si>
  <si>
    <t>PATAGONIA SERVICIOS SPA</t>
  </si>
  <si>
    <t>RESITER SERVICIOS GENERALES SPA</t>
  </si>
  <si>
    <t>MOINCO INGENIERIA SPA</t>
  </si>
  <si>
    <t>CORREDORAS DE PROPIEDADES P  F SPA</t>
  </si>
  <si>
    <t>ANDINOR SPA</t>
  </si>
  <si>
    <t>PAVIMENTOS CHILENOS LIMITADA</t>
  </si>
  <si>
    <t>SODIMAC S.A.</t>
  </si>
  <si>
    <t>AUCAN LOGISTIC SPA</t>
  </si>
  <si>
    <t>MINERA NITTETSU CHILE LTDA</t>
  </si>
  <si>
    <t>JACINTO PRUDENCIO QUISPE GERONIMO</t>
  </si>
  <si>
    <t>ERNESTO OMAR MOLINA MOLINA</t>
  </si>
  <si>
    <t>ZACH PROYECTOS SA</t>
  </si>
  <si>
    <t>DWORK SPA</t>
  </si>
  <si>
    <t>CENTRO DE MANTENIMIENTO AUTOMOTRIZ Y MAQUINARIA SPA</t>
  </si>
  <si>
    <t>SEMINET SPA</t>
  </si>
  <si>
    <t>MULTISERVICIOS SANABRIA SPA</t>
  </si>
  <si>
    <t>SOLEDAD DE LOS ANGELES LEIVA UGARTE  TRASLADO Y TRANSPORTES  E.I.R.L.</t>
  </si>
  <si>
    <t>CECILIA MARCELA MATULIC CARMONA</t>
  </si>
  <si>
    <t>SERVICIOS DE INGENIERIA Y MAESTRANZA SPA</t>
  </si>
  <si>
    <t>INGENIERIA Y PROYECTOS ELECTRICOS LIMITADA</t>
  </si>
  <si>
    <t>PUBLICIDAD</t>
  </si>
  <si>
    <t>76346498-9</t>
  </si>
  <si>
    <t>76646820-9</t>
  </si>
  <si>
    <t>77490658-4</t>
  </si>
  <si>
    <t>76478614-9</t>
  </si>
  <si>
    <t>77313060-4</t>
  </si>
  <si>
    <t>18403693-2</t>
  </si>
  <si>
    <t>76451155-7</t>
  </si>
  <si>
    <t>77471172-4</t>
  </si>
  <si>
    <t>77902909-3</t>
  </si>
  <si>
    <t>99598680-9</t>
  </si>
  <si>
    <t>77524646-4</t>
  </si>
  <si>
    <t>77183342-K</t>
  </si>
  <si>
    <t>76258990-7</t>
  </si>
  <si>
    <t>76419914-6</t>
  </si>
  <si>
    <t>SERVICIOS,TRANSPORTE Y ARRIENDO DE MAQUINARIAS LIMITADA</t>
  </si>
  <si>
    <t>SA INVERSIONES SPA</t>
  </si>
  <si>
    <t>INGENIERIA C Y G LIMITADA</t>
  </si>
  <si>
    <t>COMERCIAL SERPAN SPA</t>
  </si>
  <si>
    <t>CAROLINA ANDREA BARRERA QUINELEN</t>
  </si>
  <si>
    <t>IMPORTADORA Y COMERCIAL JOMIAL LIMITADA</t>
  </si>
  <si>
    <t>AMAZONAS SPA</t>
  </si>
  <si>
    <t>SERVICIOS DE INGENIERIA MIRAITEK TI SPA</t>
  </si>
  <si>
    <t>GRAN CASINO DE COPIAPO S.A.</t>
  </si>
  <si>
    <t>TRANSPORTE Y SERVICIO ALEXIS ALEJANDRO SARRIA ALDEA EMPRESA INDIVIDUAL</t>
  </si>
  <si>
    <t>ON STREET S.A.</t>
  </si>
  <si>
    <t>SOCIEDAD DE SERVICIOS FUNERARIOS S.A.</t>
  </si>
  <si>
    <t>CONSTRUCTORA CARLOS ALBERTO ANDRES ALBISTUR REYES E.I.R.L.</t>
  </si>
  <si>
    <t>SOCIEDAD COMERCIAL MASKOLANDIA Y COMPAÑIA LIMITADA</t>
  </si>
  <si>
    <t>76713010-4</t>
  </si>
  <si>
    <t>SERVICIOS INDS JOSE SANTOS OSSA MANICKE EIRL</t>
  </si>
  <si>
    <t>76586659-6</t>
  </si>
  <si>
    <t>ESPACIO LUAN SPA</t>
  </si>
  <si>
    <t>OBRAS CIVILES</t>
  </si>
  <si>
    <t>76974491-6</t>
  </si>
  <si>
    <t>76848781-2</t>
  </si>
  <si>
    <t>77280057-6</t>
  </si>
  <si>
    <t>SERVICIOS INFORMATICOS APROSYSTEMS SPA</t>
  </si>
  <si>
    <t>MENA E HIJOS SPA</t>
  </si>
  <si>
    <t>COMERCIALIZADORA Y SERVICIOS VILNA GALIANO E.I.R.L.</t>
  </si>
  <si>
    <t>INGENIERIA PD GROUP LIMITADA</t>
  </si>
  <si>
    <t>76515035-3</t>
  </si>
  <si>
    <t>96532730-4</t>
  </si>
  <si>
    <t>MICROTEC SPA</t>
  </si>
  <si>
    <t>90844000-5</t>
  </si>
  <si>
    <t>76334979-9</t>
  </si>
  <si>
    <t>78924390-5</t>
  </si>
  <si>
    <t>76891489-3</t>
  </si>
  <si>
    <t>77117830-8</t>
  </si>
  <si>
    <t>76239400-6</t>
  </si>
  <si>
    <t>78205140-7</t>
  </si>
  <si>
    <t>KUPFER HERMANOS SA</t>
  </si>
  <si>
    <t>TIPO</t>
  </si>
  <si>
    <t>ELECTRICIDAD CRISTIAN ANDRÉS CASTRO VILLANUEVA EMPRESA INDIVIDUAL</t>
  </si>
  <si>
    <t>PARQUES HERNAN JOHNSON LTDA</t>
  </si>
  <si>
    <t>CONSTRUCCIÓN, SERVICIOS INTEGRALES, INGENIERÍA Y CONSULTORIA OPPORTUNITY</t>
  </si>
  <si>
    <t>FOUCHER Y NOGUEIRA LIMITADA</t>
  </si>
  <si>
    <t>SOC INMOBILIARIA DE INVERSIONES DEL REY LIMITADA</t>
  </si>
  <si>
    <t>COMERCIAL PRODECO LIMITADA</t>
  </si>
  <si>
    <t>78415820-9</t>
  </si>
  <si>
    <t>77741219-1</t>
  </si>
  <si>
    <t>76280382-8</t>
  </si>
  <si>
    <t>76008735-1</t>
  </si>
  <si>
    <t>76897208-7</t>
  </si>
  <si>
    <t>77007600-5</t>
  </si>
  <si>
    <t>77539753-5</t>
  </si>
  <si>
    <t>96774300-3</t>
  </si>
  <si>
    <t>76250422-7</t>
  </si>
  <si>
    <t>77028674-3</t>
  </si>
  <si>
    <t>9051431-8</t>
  </si>
  <si>
    <t>78808300-9</t>
  </si>
  <si>
    <t>76096151-5</t>
  </si>
  <si>
    <t>76549850-3</t>
  </si>
  <si>
    <t>77067531-6</t>
  </si>
  <si>
    <t>76523982-6</t>
  </si>
  <si>
    <t>AGRICOLA MILLAHUE LTDA</t>
  </si>
  <si>
    <t>AT-RENTAL SPA</t>
  </si>
  <si>
    <t>SEGURIDAD PRIVADA CENTURIONS LIMITADA</t>
  </si>
  <si>
    <t>SERVICIOS DE INGENIERIA ELECTRICA LIMITADA</t>
  </si>
  <si>
    <t>JSTEC SPA</t>
  </si>
  <si>
    <t>ALGORITMOS Y MEDICIONES AMBIENTALES SPA</t>
  </si>
  <si>
    <t>INTRAMIN SPA</t>
  </si>
  <si>
    <t>ENORCHILE S.A.</t>
  </si>
  <si>
    <t>CENTRO DE RECICLAJE DEL NORTE LIMITADA</t>
  </si>
  <si>
    <t>SOCIEDAD COMERCIAL HERMANOS GODOY  ARAYA  SPA</t>
  </si>
  <si>
    <t>RAMON ANGEL RIQUELME OLIVARES</t>
  </si>
  <si>
    <t>EDWIN HOLVOET Y COMPANIA LIMITADA</t>
  </si>
  <si>
    <t>JP ELECTRONIC SOCIEDAD ANONIMA</t>
  </si>
  <si>
    <t>COMERCIAL ATACAMA TRUCKS PARTS LIMITADA</t>
  </si>
  <si>
    <t>VIDRIERIA Y TRANSPORTES ROX SPA</t>
  </si>
  <si>
    <t>SUDAMERICANA DE GESTION EMPRESARIAL LIMITADA</t>
  </si>
  <si>
    <t>77225118-1</t>
  </si>
  <si>
    <t>76808242-1</t>
  </si>
  <si>
    <t>76652918-6</t>
  </si>
  <si>
    <t>77885825-8</t>
  </si>
  <si>
    <t>77002348-3</t>
  </si>
  <si>
    <t>89470200-1</t>
  </si>
  <si>
    <t>77154334-0</t>
  </si>
  <si>
    <t>76343386-2</t>
  </si>
  <si>
    <t>76069910-1</t>
  </si>
  <si>
    <t>77274308-4</t>
  </si>
  <si>
    <t>76913732-7</t>
  </si>
  <si>
    <t>77695869-7</t>
  </si>
  <si>
    <t>77850619-K</t>
  </si>
  <si>
    <t>84060600-7</t>
  </si>
  <si>
    <t>78747370-9</t>
  </si>
  <si>
    <t>4612619-K</t>
  </si>
  <si>
    <t>6475833-0</t>
  </si>
  <si>
    <t>76862381-3</t>
  </si>
  <si>
    <t>50413920-4</t>
  </si>
  <si>
    <t>77917754-8</t>
  </si>
  <si>
    <t>76962050-8</t>
  </si>
  <si>
    <t>76987478-K</t>
  </si>
  <si>
    <t>76187388-1</t>
  </si>
  <si>
    <t>JERALDO TOPOGRAFÃA SUBTERRÃNEA Y GEODÃ‰SICA SPA</t>
  </si>
  <si>
    <t>TRANSNORTE SPA</t>
  </si>
  <si>
    <t>PRESTACION DE SERVICIOS MEDICOS JOSE LUIS GUERRA DIAZ E.I.R.L.</t>
  </si>
  <si>
    <t>SERVICIOS ARDIRAB SPA</t>
  </si>
  <si>
    <t>SERVICIOS INDUSTRIALES ROBERTO FERNANDEZ SPA</t>
  </si>
  <si>
    <t>FRUTICOLA Y EXPORTADORA ATACAMA LTDA</t>
  </si>
  <si>
    <t>SOCIEDAD DE INVERSIONES E INMOBILIARIA ASEGEN PROPIEDADES LIMITADA</t>
  </si>
  <si>
    <t>SERCOING LTDA</t>
  </si>
  <si>
    <t>QUANTOS LA SPA</t>
  </si>
  <si>
    <t>ATACAMA SERVICIOS LIMITADA</t>
  </si>
  <si>
    <t>CABALLERO RALLYSERVICE SPA</t>
  </si>
  <si>
    <t>MCV SERVICIOS GENERALES SPA</t>
  </si>
  <si>
    <t>CONSTRUCTORA DE PAVIMENTOS ASFALTICOS BITUMIX S.A</t>
  </si>
  <si>
    <t>AMFFAL SPA</t>
  </si>
  <si>
    <t>JUAN ALONSO SILVA ARMIJO</t>
  </si>
  <si>
    <t>LUIS OSVALDO CASTRO ARRIAGADA</t>
  </si>
  <si>
    <t>SOCIEDAD COMERCIAL E INDUSTRIAL HYDRO CLEANING VAPOR LIMITADA</t>
  </si>
  <si>
    <t>CASTHER SPA.</t>
  </si>
  <si>
    <t>CONSTRUCTORA, REPARACIONES, APLICACIONES E INSTALACIONES GRUPO ATADURA</t>
  </si>
  <si>
    <t>SOCIEDAD INGENIERIA Y SERVICIOS AF LIMITADA</t>
  </si>
  <si>
    <t>INVERSIONES RÃO BIO BIO SPA</t>
  </si>
  <si>
    <t>COAX SPA</t>
  </si>
  <si>
    <t>NORTENERGY SOCIEDAD POR ACCIONES SPA</t>
  </si>
  <si>
    <t>78648780-3</t>
  </si>
  <si>
    <t>77508244-5</t>
  </si>
  <si>
    <t>76311879-7</t>
  </si>
  <si>
    <t>76575710-K</t>
  </si>
  <si>
    <t>77841885-1</t>
  </si>
  <si>
    <t>76350127-2</t>
  </si>
  <si>
    <t>77005394-3</t>
  </si>
  <si>
    <t>76953805-4</t>
  </si>
  <si>
    <t>78089646-9</t>
  </si>
  <si>
    <t>77320063-7</t>
  </si>
  <si>
    <t>76752001-8</t>
  </si>
  <si>
    <t>77193770-5</t>
  </si>
  <si>
    <t>77361091-6</t>
  </si>
  <si>
    <t>77137806-4</t>
  </si>
  <si>
    <t>77907297-5</t>
  </si>
  <si>
    <t>10730171-2</t>
  </si>
  <si>
    <t>76506336-1</t>
  </si>
  <si>
    <t>77176830-K</t>
  </si>
  <si>
    <t>76164075-5</t>
  </si>
  <si>
    <t>77513077-6</t>
  </si>
  <si>
    <t>8849558-6</t>
  </si>
  <si>
    <t>77801672-9</t>
  </si>
  <si>
    <t>77288671-3</t>
  </si>
  <si>
    <t>78047391-6</t>
  </si>
  <si>
    <t>77294468-3</t>
  </si>
  <si>
    <t>16468608-6</t>
  </si>
  <si>
    <t>76113262-8</t>
  </si>
  <si>
    <t>76416561-6</t>
  </si>
  <si>
    <t>76303840-8</t>
  </si>
  <si>
    <t>77490759-9</t>
  </si>
  <si>
    <t>76309046-9</t>
  </si>
  <si>
    <t>78003761-K</t>
  </si>
  <si>
    <t>OSSAVAL SPA</t>
  </si>
  <si>
    <t>CONSTRUCTORA GARY LIMITADA</t>
  </si>
  <si>
    <t>LEYARZ SPA</t>
  </si>
  <si>
    <t>LUIS MANUEL CONTRERAS YANEZ</t>
  </si>
  <si>
    <t>KRADE SPA</t>
  </si>
  <si>
    <t>SOC COMERCIAL TRANSPORTES TAPE LTDA</t>
  </si>
  <si>
    <t>GRAU Y COMPANIA LIMITADA</t>
  </si>
  <si>
    <t>SOCIEDAD SB CARRASQUERO SPA</t>
  </si>
  <si>
    <t>MARIELA ELIZABETH ALVAREZ MORENO</t>
  </si>
  <si>
    <t>TRIBU DEL DESIERTO SPA</t>
  </si>
  <si>
    <t>TRANSPORTES GALLARDO LIMITADA</t>
  </si>
  <si>
    <t>TRANSPORTE MARCIA YORDANA CARVAJAL TAPIA E.I.R.L.</t>
  </si>
  <si>
    <t>GLOBAL PRO GROUP SPA</t>
  </si>
  <si>
    <t>JENNIFER ANDREA HEREDIA PEREZ</t>
  </si>
  <si>
    <t>SERVICIO DE AMBULANCIAS Y TRASLADO DE ENFERMOS SPA</t>
  </si>
  <si>
    <t>SOCIEDAD RENT A CAR EMM LIMITADA</t>
  </si>
  <si>
    <t>TRANSPORTES VERASAY SPA</t>
  </si>
  <si>
    <t>ESTAFETA CARGO EXPRESS LIMITADA</t>
  </si>
  <si>
    <t>COMERCIALIZADORA FERCASTA SPA</t>
  </si>
  <si>
    <t>GALEB  GALEB EVENTOS LIMITADA</t>
  </si>
  <si>
    <t>SC CLEAN CAR SPA</t>
  </si>
  <si>
    <t>SOCIEDAD DEMOLICIONES MARIO PORZIO S.A.</t>
  </si>
  <si>
    <t>INVERSIONES O4 SPA</t>
  </si>
  <si>
    <t>SOCIEDAD DE INVERSIONES SAN ALONSO SPA</t>
  </si>
  <si>
    <t>TRANSPORTES TOLECAR SPA</t>
  </si>
  <si>
    <t>TRANSPORTES C Y C LIMITADA</t>
  </si>
  <si>
    <t>INVERSIONES FPG SPA</t>
  </si>
  <si>
    <t>SERVICIOS MONTENEGRO SPA</t>
  </si>
  <si>
    <t>MADOM SERVICIO AUTOMOTRIZ SPA</t>
  </si>
  <si>
    <t>YACAR SPA</t>
  </si>
  <si>
    <t>ALTE INDUSTRIAL S.A.</t>
  </si>
  <si>
    <t>INMOBILIARIA E INVERSIONES QUILODRAN LIMITADA</t>
  </si>
  <si>
    <t>76397007-8</t>
  </si>
  <si>
    <t>76918452-K</t>
  </si>
  <si>
    <t>SERVICIO DE HOSPEDAJE, ALIMENTACIÓN Y OTROS SERVICIOS A LA MINERÍA LOS</t>
  </si>
  <si>
    <t>DIANA ELBECIA FREDES SAEZ SERVICIOS Y VENTAS E.I.R.L.</t>
  </si>
  <si>
    <t>78029565-1</t>
  </si>
  <si>
    <t>76493582-9</t>
  </si>
  <si>
    <t>77398963-K</t>
  </si>
  <si>
    <t>11189165-6</t>
  </si>
  <si>
    <t>77713103-6</t>
  </si>
  <si>
    <t>77082646-2</t>
  </si>
  <si>
    <t>69030200-4</t>
  </si>
  <si>
    <t>8834702-1</t>
  </si>
  <si>
    <t>76556170-1</t>
  </si>
  <si>
    <t>76537760-9</t>
  </si>
  <si>
    <t>78557210-6</t>
  </si>
  <si>
    <t>77069564-3</t>
  </si>
  <si>
    <t>76081327-3</t>
  </si>
  <si>
    <t>76219811-8</t>
  </si>
  <si>
    <t>76920615-9</t>
  </si>
  <si>
    <t>77661099-2</t>
  </si>
  <si>
    <t>76244049-0</t>
  </si>
  <si>
    <t>78152611-8</t>
  </si>
  <si>
    <t>77984044-1</t>
  </si>
  <si>
    <t>77080879-0</t>
  </si>
  <si>
    <t>10549624-9</t>
  </si>
  <si>
    <t>76057911-4</t>
  </si>
  <si>
    <t>COMERCIAL SAN AGUSTÃN SPA</t>
  </si>
  <si>
    <t>SOCIEDAD DE SERVICIOS INVERSIONES Y COMERCIALIZADORA LEBAKSAF CHILE SP</t>
  </si>
  <si>
    <t>LA OLLA DE TAMY  SPA</t>
  </si>
  <si>
    <t>PATRICIO ORLANDO OSORIO RIVERA</t>
  </si>
  <si>
    <t>MARINA MARKET SPA</t>
  </si>
  <si>
    <t>SOCIEDAD COMERCIALIZADORA Y DISTRIBUIDORA TRES VALLES SPA</t>
  </si>
  <si>
    <t>I MUNICIPALIDAD DE COPIAPO</t>
  </si>
  <si>
    <t>MANUEL ANTONIO ROJAS ORDENES</t>
  </si>
  <si>
    <t>TEPSAC S.A.</t>
  </si>
  <si>
    <t>TECNOLOGIA DE MATERIALES CHILE SOCIEDAD ANONIMA</t>
  </si>
  <si>
    <t>SOC COMERCIAL Y AGRICOLA CARVAJAL Y SALINAS LIMITADA</t>
  </si>
  <si>
    <t>COMERCIAL NINA RODRÃGUEZ TOLEDO E.I.R.L.</t>
  </si>
  <si>
    <t>VALLES DEL NORTE S.A.</t>
  </si>
  <si>
    <t>COMERCIAL BOREAL SPA</t>
  </si>
  <si>
    <t>SOCIEDAD COMERCIAL RODRIGO URBANO SPA</t>
  </si>
  <si>
    <t>DISTRIBUIDORA Y COMERCIALIZADORA DE PRODUCTOS CONGELADOS VICTOR MANUEL</t>
  </si>
  <si>
    <t>PRO DRILLING S.A.</t>
  </si>
  <si>
    <t>TRANSPORTES Y ARRIENDOS VM LIMITADA</t>
  </si>
  <si>
    <t>AS PROTECCION SPA</t>
  </si>
  <si>
    <t>INVERSIONES VIALUM SPA</t>
  </si>
  <si>
    <t>ANA SOLEDAD ALFARO ALCOTA</t>
  </si>
  <si>
    <t>INVERSIONES CORTES BUSTOS LIMITADA</t>
  </si>
  <si>
    <t>76068932-7</t>
  </si>
  <si>
    <t>77529987-8</t>
  </si>
  <si>
    <t>77338558-0</t>
  </si>
  <si>
    <t>77231749-2</t>
  </si>
  <si>
    <t>77551117-6</t>
  </si>
  <si>
    <t>77823149-2</t>
  </si>
  <si>
    <t>78129529-9</t>
  </si>
  <si>
    <t>76667881-5</t>
  </si>
  <si>
    <t>MINERA SAN FIERRO CHILE LIMITADA</t>
  </si>
  <si>
    <t>TURBOMAQ SPA</t>
  </si>
  <si>
    <t>MAFA COMERCIAL SPA</t>
  </si>
  <si>
    <t>MAESTRANZA INDUSTRIAL MASIMAR  SPA</t>
  </si>
  <si>
    <t>J2 PUBLICIDAD SPA</t>
  </si>
  <si>
    <t>TRANSPORTES NORTE TRUCKS SPA</t>
  </si>
  <si>
    <t>DEFENSA Y JUSTICIA ASESORÃAS JURÃDICAS LIMITADA</t>
  </si>
  <si>
    <t>MONTAJES LAM SPA</t>
  </si>
  <si>
    <t>78130200-7</t>
  </si>
  <si>
    <t>78057314-7</t>
  </si>
  <si>
    <t>76255245-0</t>
  </si>
  <si>
    <t>SIDESA CHILE S.A.</t>
  </si>
  <si>
    <t>EL BAJON DE HOMERO SPA</t>
  </si>
  <si>
    <t>SOCIEDAD RODERIK AVILA Y COMPANIA LIMITADA</t>
  </si>
  <si>
    <t>77928137-K</t>
  </si>
  <si>
    <t>96576440-2</t>
  </si>
  <si>
    <t>76512246-5</t>
  </si>
  <si>
    <t>76398726-4</t>
  </si>
  <si>
    <t>10002106-4</t>
  </si>
  <si>
    <t>77575868-6</t>
  </si>
  <si>
    <t>76947776-4</t>
  </si>
  <si>
    <t>76976580-8</t>
  </si>
  <si>
    <t>TRANSPORTES Y GRUAS LEYTON SPA</t>
  </si>
  <si>
    <t>MAJOR DRILLING CHILE S A</t>
  </si>
  <si>
    <t>ESLABÃ“N CAPACITACIÃ“N MAURICIO CASTRO LÃ“PEZ E.I.R.L.</t>
  </si>
  <si>
    <t>CENTRO DE GESTIÃ“N Y NEGOCIOS SPA</t>
  </si>
  <si>
    <t>ALEJANDRO SALVADOR ALQUINTA ALARCON</t>
  </si>
  <si>
    <t>IMPORTADORA Y COMERCIALIZADORA CARLOS PIZARRO E.I.R.L.</t>
  </si>
  <si>
    <t>RBM FIRE PROTECTION SPA</t>
  </si>
  <si>
    <t>GRANDLEASING SPA</t>
  </si>
  <si>
    <t>15612090-1</t>
  </si>
  <si>
    <t>77320970-7</t>
  </si>
  <si>
    <t>8601375-4</t>
  </si>
  <si>
    <t>JEAN MAURICIO OLIVARES TOLEDO</t>
  </si>
  <si>
    <t>NEWTRANS LOGISTICS CHILE SPA</t>
  </si>
  <si>
    <t>CLARA ELENA GONZALEZ OCAYO</t>
  </si>
  <si>
    <t>BELEN</t>
  </si>
  <si>
    <t>76650779-4</t>
  </si>
  <si>
    <t>SOLUCIONES GLOBALES CARLOS HERBERTO MOSCOSO</t>
  </si>
  <si>
    <t>76096835-8</t>
  </si>
  <si>
    <t>78095644-5</t>
  </si>
  <si>
    <t>COMERCIAL TOTAL TRADER LIMITADA</t>
  </si>
  <si>
    <t>TRANSPORTE Y ARRIENDO MAQUINARIAS RAYKAR SPA</t>
  </si>
  <si>
    <t>76864812-3</t>
  </si>
  <si>
    <t>INVERSIONES SANTA LUISA LIMITADA</t>
  </si>
  <si>
    <t>77406968-2</t>
  </si>
  <si>
    <t>ROCPER INGENIERIA &amp; CONSTRUCCION SPA</t>
  </si>
  <si>
    <t>76518034-1</t>
  </si>
  <si>
    <t>76787662-9</t>
  </si>
  <si>
    <t>76655851-8</t>
  </si>
  <si>
    <t>70055500-3</t>
  </si>
  <si>
    <t>77936569-7</t>
  </si>
  <si>
    <t>19450089-0</t>
  </si>
  <si>
    <t>UNO DESARROLLOS CONSTRUCTIVOS SPA</t>
  </si>
  <si>
    <t>LUBRICENTRO  IRMA TRONCOSO PAREDES E.I.R.L.</t>
  </si>
  <si>
    <t>MAESTRANZA INDUSTRIAL FRITIS LIMITADA</t>
  </si>
  <si>
    <t>OBISPADO DE COPIAPO</t>
  </si>
  <si>
    <t>GYB SPA</t>
  </si>
  <si>
    <t>ELISA DENISE LEON GUERRERO</t>
  </si>
  <si>
    <t>76118728-7</t>
  </si>
  <si>
    <t>INGENIERIA HIDRAULICA LIMITADA</t>
  </si>
  <si>
    <t>15611576-2</t>
  </si>
  <si>
    <t>KARINA VALESKA CERDA ARAYA</t>
  </si>
  <si>
    <t>9364286-4</t>
  </si>
  <si>
    <t>GUILLERMO EDUARDO PACHECO BOLADO</t>
  </si>
  <si>
    <t>99505900-2</t>
  </si>
  <si>
    <t>78511870-7</t>
  </si>
  <si>
    <t>DISTRIBUIDORA DE EXPLOSIVOS Y ACCESORIOS S A</t>
  </si>
  <si>
    <t>EMPRESA DE TRANSPORTE DE PASAJEROS QUILICAL LIMITADA</t>
  </si>
  <si>
    <t>83714300-4</t>
  </si>
  <si>
    <t>COMPAÑÍA EXPLOTADORA MINERA SAN ANDRES</t>
  </si>
  <si>
    <t>77449132-5</t>
  </si>
  <si>
    <t>77389370-5</t>
  </si>
  <si>
    <t>76366587-9</t>
  </si>
  <si>
    <t>76606960-6</t>
  </si>
  <si>
    <t>ALICE IMPORT EXPORT LIMITADA</t>
  </si>
  <si>
    <t>PROTAB SPA</t>
  </si>
  <si>
    <t>CONSTRUCTORA VGA SPA</t>
  </si>
  <si>
    <t>ETYCA PROFESIONALES CAPACITACION LIMITADA</t>
  </si>
  <si>
    <t>,</t>
  </si>
  <si>
    <t>77062894-6</t>
  </si>
  <si>
    <t>76591503-1</t>
  </si>
  <si>
    <t>65583040-5</t>
  </si>
  <si>
    <t>MENDOZA CAZ  SPA</t>
  </si>
  <si>
    <t>VALTECK CHILE SPA</t>
  </si>
  <si>
    <t>CLUB EDAD DE ORO DEL CONSULTORIO ARMANDO OSSA</t>
  </si>
  <si>
    <t>25834369-7</t>
  </si>
  <si>
    <t>60505105-7</t>
  </si>
  <si>
    <t>78220086-0</t>
  </si>
  <si>
    <t>9515956-7</t>
  </si>
  <si>
    <t>77654554-6</t>
  </si>
  <si>
    <t>77903950-1</t>
  </si>
  <si>
    <t>76956816-6</t>
  </si>
  <si>
    <t>JONATHAN STEVEN ESCOBAR ZAPATA</t>
  </si>
  <si>
    <t>ZONA DE CARABINEROS ATACAMA</t>
  </si>
  <si>
    <t>VITAPRO LIMPIEZA SPA</t>
  </si>
  <si>
    <t>CARLOS EDUARDO MOYANO RODRIGUEZ</t>
  </si>
  <si>
    <t>INVERSIONES KUNZA SALUD SPA</t>
  </si>
  <si>
    <t>SOC DE ASMECO INGENIERIA LIMITADA</t>
  </si>
  <si>
    <t>SERVICIOS EDUCACIONALES BYENNÃˆT SPA</t>
  </si>
  <si>
    <t>77111933-6</t>
  </si>
  <si>
    <t>76591748-4</t>
  </si>
  <si>
    <t>77840923-2</t>
  </si>
  <si>
    <t>77900448-1</t>
  </si>
  <si>
    <t>VIDRIOS Y ALUMINIOS SERVAL SPA</t>
  </si>
  <si>
    <t>JAG SERVICIOS CHILE SPA</t>
  </si>
  <si>
    <t>INGENIERIA GACITUA SPA</t>
  </si>
  <si>
    <t>SOCIEDAD DE ALIMENTACION SUPO SPA</t>
  </si>
  <si>
    <t>77916387-3</t>
  </si>
  <si>
    <t>76994396-K</t>
  </si>
  <si>
    <t>76183251-4</t>
  </si>
  <si>
    <t>77878342-8</t>
  </si>
  <si>
    <t>77437999-1</t>
  </si>
  <si>
    <t>10446368-1</t>
  </si>
  <si>
    <t>71236700-8</t>
  </si>
  <si>
    <t>76310683-7</t>
  </si>
  <si>
    <t>DHARMA SPA</t>
  </si>
  <si>
    <t>ASESORIAS E INVERSIONES BETANIAÂ´S COMPANY SPA</t>
  </si>
  <si>
    <t>ELIAS RESK CONTRERAS TRANSPORTES Y SERVICIOS LIMITADA</t>
  </si>
  <si>
    <t>SERVICIOS GRAFICOS DESERT GRAPHICS LIMITADA</t>
  </si>
  <si>
    <t>INVERSIONES SAFUMAR LIMITADA</t>
  </si>
  <si>
    <t>MARIO HERNAN CASTILLO FUENTES</t>
  </si>
  <si>
    <t>UNIVERSIDAD DE ATACAMA</t>
  </si>
  <si>
    <t>MAQUINARIAS Y TRANSPORTES BULL SPA.</t>
  </si>
  <si>
    <t>89622400-K</t>
  </si>
  <si>
    <t>77929415-3</t>
  </si>
  <si>
    <t>77317168-8</t>
  </si>
  <si>
    <t>76186894-2</t>
  </si>
  <si>
    <t>PULLMAN CARGO S A</t>
  </si>
  <si>
    <t>SERVICIOS INTEGRALES GENERALES SPA</t>
  </si>
  <si>
    <t>TECNOLOGIA Y EQUIPOS METCAM SPA</t>
  </si>
  <si>
    <t>SAN RAFAEL INGENIERIA Y  SERVICIOS LIMITADA</t>
  </si>
  <si>
    <t>77288904-6</t>
  </si>
  <si>
    <t>77432213-2</t>
  </si>
  <si>
    <t>14333206-3</t>
  </si>
  <si>
    <t>65203258-3</t>
  </si>
  <si>
    <t>S.C.I. DIGNA SPA</t>
  </si>
  <si>
    <t>NAVARRO Y AVALOS SPA</t>
  </si>
  <si>
    <t>FREDY ELISEO ONATE REYES</t>
  </si>
  <si>
    <t>AGRUPACION CULTURAL SOCIAL QUINZEL</t>
  </si>
  <si>
    <t>7175917-2</t>
  </si>
  <si>
    <t>MATILDE DEL CARMEN ZAMBRA LOPEZ</t>
  </si>
  <si>
    <t>78193252-3</t>
  </si>
  <si>
    <t>76198448-9</t>
  </si>
  <si>
    <t>76041220-1</t>
  </si>
  <si>
    <t>77563372-7</t>
  </si>
  <si>
    <t>77490067-5</t>
  </si>
  <si>
    <t>76377750-2</t>
  </si>
  <si>
    <t>LAVADO DE VEHÃCULOS RICHARDS MICHAEL VILLALOBOS ROJAS E.I.R.L.</t>
  </si>
  <si>
    <t>RES ENERGY SERVICES SPA</t>
  </si>
  <si>
    <t>OXYTEK SPA</t>
  </si>
  <si>
    <t>TRANSMART SPA</t>
  </si>
  <si>
    <t>INTEGRAL SPA</t>
  </si>
  <si>
    <t>ANDES ANALYTICAL ASSAY SPA</t>
  </si>
  <si>
    <t>77208815-9</t>
  </si>
  <si>
    <t>78018625-9</t>
  </si>
  <si>
    <t>78172191-3</t>
  </si>
  <si>
    <t>76478810-9</t>
  </si>
  <si>
    <t>77855920-K</t>
  </si>
  <si>
    <t>FARMATERRA SPA</t>
  </si>
  <si>
    <t>LIDERA AGENCIA DE MARKETING SPA</t>
  </si>
  <si>
    <t>RIVERA COMPANY SPA</t>
  </si>
  <si>
    <t>MER INFRAESTRUCTURA CHILE S.A.</t>
  </si>
  <si>
    <t>SOC NICOLAS GEYWITZ Y COMPANIA LIMITADA</t>
  </si>
  <si>
    <t>76272239-9</t>
  </si>
  <si>
    <t>77208603-2</t>
  </si>
  <si>
    <t>77622962-8</t>
  </si>
  <si>
    <t>77029848-2</t>
  </si>
  <si>
    <t>78088831-8</t>
  </si>
  <si>
    <t>78823250-0</t>
  </si>
  <si>
    <t>INSTITUTO INTEGRAL DE SALUD OCUPACIONAL SPA</t>
  </si>
  <si>
    <t>SERVICIOS SAN LUIS SPA</t>
  </si>
  <si>
    <t>INSTROTEC SERVICIOS  SPA</t>
  </si>
  <si>
    <t>PEDRO ALBERTO GALLO CEBALLOS TELECOMUNICACIONES E.I.R.L.</t>
  </si>
  <si>
    <t>TRANSPORTES ZULEMA MANCILLA CARDOZO E.I.R.L.</t>
  </si>
  <si>
    <t>CROSAN CAPACITACION SPA</t>
  </si>
  <si>
    <t>76093123-3</t>
  </si>
  <si>
    <t>SERVICIOS INTEGRALES CACCIUTTOLO LIMITADA</t>
  </si>
  <si>
    <t>77621582-1</t>
  </si>
  <si>
    <t>76783709-7</t>
  </si>
  <si>
    <t>76300628-K</t>
  </si>
  <si>
    <t>ALTOS GLACIARES SPA</t>
  </si>
  <si>
    <t>ATLAS COPCO CHILE SPA</t>
  </si>
  <si>
    <t>ATACAMA TECH SPA</t>
  </si>
  <si>
    <t>+569 9998 0343</t>
  </si>
  <si>
    <t>+569 9674 2967</t>
  </si>
  <si>
    <t>PERSONA CLAVE</t>
  </si>
  <si>
    <t>LUIS ASTUDILLO ARAYA</t>
  </si>
  <si>
    <t>CONFIRMAR</t>
  </si>
  <si>
    <t>+569 6654 2647</t>
  </si>
  <si>
    <t>ALEJANDRO MORALES</t>
  </si>
  <si>
    <t xml:space="preserve">+569 8404 1713 </t>
  </si>
  <si>
    <t>FERNANDO MORALES</t>
  </si>
  <si>
    <t>+569 9444 4471</t>
  </si>
  <si>
    <t>SEBASTIAN SANCHEZ</t>
  </si>
  <si>
    <t>+569 7966 1893</t>
  </si>
  <si>
    <t>MIRIAM</t>
  </si>
  <si>
    <t xml:space="preserve">+569 6468 1946 </t>
  </si>
  <si>
    <t>FELIPE felipeholvoet@holvoet.cl</t>
  </si>
  <si>
    <t>+569 9948 2539</t>
  </si>
  <si>
    <t>CAROLINA</t>
  </si>
  <si>
    <t>+569 8323 7247</t>
  </si>
  <si>
    <t>HUMBERTO UBILLA</t>
  </si>
  <si>
    <t>9232004-9</t>
  </si>
  <si>
    <t>EDWIN HERMAN HOLVOET TAPIA</t>
  </si>
  <si>
    <t>SOCIEDAD DE SERVICIOS INVERSIONES Y COMERCIALIZADORA LEBAKSAF CHILE SPA</t>
  </si>
  <si>
    <t>76059313-3</t>
  </si>
  <si>
    <t>TRI CICLOS SOCIEDAD ANONIMA</t>
  </si>
  <si>
    <t>76399731-6</t>
  </si>
  <si>
    <t>RESMED TRANSPORTES LIMITADA</t>
  </si>
  <si>
    <t>77744755-6</t>
  </si>
  <si>
    <t>RID INGENIERÃA SPA</t>
  </si>
  <si>
    <t>76921814-9</t>
  </si>
  <si>
    <t>JUAN ALBERTO CALDERON GUTIERREZ TRANSPORTE DE PERSONAL EMPRESA INDIVIDUAL</t>
  </si>
  <si>
    <t>77919041-2</t>
  </si>
  <si>
    <t>MUNDO CORPORATIVO SPA</t>
  </si>
  <si>
    <t>76380941-2</t>
  </si>
  <si>
    <t>TILSECO SERVICIOS ELECTRICOS CHILE SPA</t>
  </si>
  <si>
    <t>83628100-4</t>
  </si>
  <si>
    <t>10193231-1</t>
  </si>
  <si>
    <t>77323546-5</t>
  </si>
  <si>
    <t>76446430-3</t>
  </si>
  <si>
    <t>76402290-4</t>
  </si>
  <si>
    <t>SONDA S A</t>
  </si>
  <si>
    <t>DAVID VIEYRA FELDMAN</t>
  </si>
  <si>
    <t>MLV SPA</t>
  </si>
  <si>
    <t>COMERCIALIZADORA TEC RAPOL LIMITADA</t>
  </si>
  <si>
    <t>LABORATORIO CLINICO ATACAMA LIMITADA</t>
  </si>
  <si>
    <t>77147537-K</t>
  </si>
  <si>
    <t>78276657-0</t>
  </si>
  <si>
    <t>77228233-8</t>
  </si>
  <si>
    <t>78029033-1</t>
  </si>
  <si>
    <t>77591285-5</t>
  </si>
  <si>
    <t>SOLYSERV SPA</t>
  </si>
  <si>
    <t>JUAN ALBERTO CALDERON GUTIERREZ TRANSPORTE</t>
  </si>
  <si>
    <t>TRANSPORTES DESERTIS SPA</t>
  </si>
  <si>
    <t>RINCÃ“NTRD SPA</t>
  </si>
  <si>
    <t>INGENIERIA Y SOLUCIONES ELECTRICAS INGINSEL LIMITADA</t>
  </si>
  <si>
    <t>TRANSPORTES Y LOGISTICA PAZ OCHOA SPA</t>
  </si>
  <si>
    <t>76351223-1</t>
  </si>
  <si>
    <t>76686099-0</t>
  </si>
  <si>
    <t>78175978-3</t>
  </si>
  <si>
    <t>77866835-1</t>
  </si>
  <si>
    <t>73603200-7</t>
  </si>
  <si>
    <t>76639069-2</t>
  </si>
  <si>
    <t>78201362-9</t>
  </si>
  <si>
    <t>76393919-7</t>
  </si>
  <si>
    <t>76377720-0</t>
  </si>
  <si>
    <t>18968974-8</t>
  </si>
  <si>
    <t>76976894-7</t>
  </si>
  <si>
    <t>77672701-6</t>
  </si>
  <si>
    <t>CITEXCO SPA</t>
  </si>
  <si>
    <t>EMPRESA MILLAN LIMITADA</t>
  </si>
  <si>
    <t>RAMOS SERVICES SPA</t>
  </si>
  <si>
    <t>MARTEX SPA</t>
  </si>
  <si>
    <t>ASOC DE BASQUETBOL DE COPIAPO</t>
  </si>
  <si>
    <t>EL SALADO SPA</t>
  </si>
  <si>
    <t>BLAST TRUCK INGENIERÃA Y MANTENIMIENTO SPA</t>
  </si>
  <si>
    <t>SERVICIO Y TRANSPORTE MERCATUR LIMITADA</t>
  </si>
  <si>
    <t>HIDRAULIC MOTOR SERVICES LTDA</t>
  </si>
  <si>
    <t>PIETRO GIULIANO DIAZ VITALI</t>
  </si>
  <si>
    <t>AGROLOAR SPA</t>
  </si>
  <si>
    <t>INGENIO SPA</t>
  </si>
  <si>
    <t>77850528-2</t>
  </si>
  <si>
    <t>89696400-3</t>
  </si>
  <si>
    <t>9246657-4</t>
  </si>
  <si>
    <t>7861936-8</t>
  </si>
  <si>
    <t>77263041-7</t>
  </si>
  <si>
    <t>76220664-1</t>
  </si>
  <si>
    <t>78310281-1</t>
  </si>
  <si>
    <t>77481065-K</t>
  </si>
  <si>
    <t>77680509-2</t>
  </si>
  <si>
    <t>77880032-2</t>
  </si>
  <si>
    <t>SERVICIOS DE INGENIERÃA Y CONSTRUCCIÃ“N PIÃ‘ONES  LIMITADA</t>
  </si>
  <si>
    <t>RESITER S.A.</t>
  </si>
  <si>
    <t>MARIA CRISTINA MOLINA CASTILLO</t>
  </si>
  <si>
    <t>MARIA ANGELICA FIGUEROA ARDILES</t>
  </si>
  <si>
    <t>EMPRESA DE SERVICIOS DE INGENIERIA Y CONSTRUCCIÃ“N SERNEWMAS SPA</t>
  </si>
  <si>
    <t>GREEN PEST CONTROL SPA</t>
  </si>
  <si>
    <t>COMERCIALIZADORA Y DISTRIBUIDORA MEGA COSTO SPA</t>
  </si>
  <si>
    <t>AGRITRANS SERVICIOS SPA</t>
  </si>
  <si>
    <t>RCR TÃCTICAL  TECHNOLOGY SUPPORT SPA</t>
  </si>
  <si>
    <t>OPTICAS JOVAL SPA</t>
  </si>
  <si>
    <t>77461548-2</t>
  </si>
  <si>
    <t>52003237-1</t>
  </si>
  <si>
    <t>78080199-9</t>
  </si>
  <si>
    <t>78121741-7</t>
  </si>
  <si>
    <t>77957597-7</t>
  </si>
  <si>
    <t>65174277-3</t>
  </si>
  <si>
    <t>77295766-1</t>
  </si>
  <si>
    <t>76833007-7</t>
  </si>
  <si>
    <t>78025350-9</t>
  </si>
  <si>
    <t>77779481-7</t>
  </si>
  <si>
    <t>78192732-5</t>
  </si>
  <si>
    <t>78202569-4</t>
  </si>
  <si>
    <t>10262923-K</t>
  </si>
  <si>
    <t>77363286-3</t>
  </si>
  <si>
    <t>16832653-K</t>
  </si>
  <si>
    <t>76674227-0</t>
  </si>
  <si>
    <t>76756768-5</t>
  </si>
  <si>
    <t>10955509-6</t>
  </si>
  <si>
    <t>78239647-1</t>
  </si>
  <si>
    <t>78028700-4</t>
  </si>
  <si>
    <t>76997670-1</t>
  </si>
  <si>
    <t>85674600-3</t>
  </si>
  <si>
    <t>TRANSPORTES KIMSA, SERVICIOS DISTRIBUCION SPA</t>
  </si>
  <si>
    <t>ANAKENA GROUP SPA</t>
  </si>
  <si>
    <t>LATORRE INGENIERIA SPA</t>
  </si>
  <si>
    <t>TRANSPORTES GALLARDO SPA</t>
  </si>
  <si>
    <t>GEARMINDS SPA</t>
  </si>
  <si>
    <t>CLUB ATLETICO BATALLON DE ATACAMA</t>
  </si>
  <si>
    <t>LATINOS PAINT CARS SPA</t>
  </si>
  <si>
    <t>CONSTRUCTORA RIVERA CUBILLOS LIMITADA</t>
  </si>
  <si>
    <t>AL INGENIERIA Y SERVICIOS LIMITADA</t>
  </si>
  <si>
    <t>SERVICIOS INTEGRALES MAS GRAFIMANIA SPA</t>
  </si>
  <si>
    <t>CMBL SPA</t>
  </si>
  <si>
    <t>ARRIENDO DE MAQUINARIAS Y SERVICIOS SERMAK SPA</t>
  </si>
  <si>
    <t>LADISLAO LINCOYAN ELGUETA CASTRO</t>
  </si>
  <si>
    <t>BASSI E HIJOS SPA</t>
  </si>
  <si>
    <t>JUAN ALFREDO TRIGO DORADOR</t>
  </si>
  <si>
    <t>COMERCIAL OVIDIO LUIS RODRIGUEZ QUEVEDO MOVIMIENTO DE TIERRA SPA</t>
  </si>
  <si>
    <t>MAX SERVICE SEGURIDAD INDUSTRIAL SPA</t>
  </si>
  <si>
    <t>JUAN CARLOS CORDOVA AVILA</t>
  </si>
  <si>
    <t>INVERSIONES IBARRA HERMANAS SPA</t>
  </si>
  <si>
    <t>INGENIERIA, PROYECTOS Y MONTAJES PROPAMAT SPA</t>
  </si>
  <si>
    <t>MARÃŒA BALLESTERO TARDON Y SERVICIOS E.I.R.L.</t>
  </si>
  <si>
    <t>IMPORTADORA NICOLAS LIMITADA</t>
  </si>
  <si>
    <t>70344400-8</t>
  </si>
  <si>
    <t>78330223-3</t>
  </si>
  <si>
    <t>77549794-7</t>
  </si>
  <si>
    <t>85840100-3</t>
  </si>
  <si>
    <t>JUNTA DE VIGILANCIA DEL RIO COPIAPO Y SUS AFLUENTES</t>
  </si>
  <si>
    <t>SERVICIOS INTEGRALES GALLARDO SPA</t>
  </si>
  <si>
    <t>SOCIEDAD COMERCIAL ROMSA SERVICIOS SPA</t>
  </si>
  <si>
    <t>COMPANIA DE SERVICIOS INDUSTRIALES LIMITADA</t>
  </si>
  <si>
    <t>76942022-3</t>
  </si>
  <si>
    <t>76587344-4</t>
  </si>
  <si>
    <t>76625089-0</t>
  </si>
  <si>
    <t>76245525-0</t>
  </si>
  <si>
    <t>77748910-0</t>
  </si>
  <si>
    <t>76779803-2</t>
  </si>
  <si>
    <t>77764798-9</t>
  </si>
  <si>
    <t>76496563-9</t>
  </si>
  <si>
    <t>76006514-5</t>
  </si>
  <si>
    <t>78943670-3</t>
  </si>
  <si>
    <t>ARAYA CORTÃ‰S SOLUCIONES EMPRESARIALES SINÃ‰RGICAS SPA</t>
  </si>
  <si>
    <t>SOCIEDAD COMERCIAL GALLEGUILLOS Y GALLEGUILLOS REPUESTOS LIMITADA</t>
  </si>
  <si>
    <t>BESALCO CONSTRUCCIONES S.A.</t>
  </si>
  <si>
    <t>ARANDA PAREDES E HIJOS LIMITADA</t>
  </si>
  <si>
    <t>TRANSPORTES OSSA LIMITADA</t>
  </si>
  <si>
    <t>TRANSPORTES Y SERVICIOS ATACAMA SPA</t>
  </si>
  <si>
    <t>PIRQA SPA</t>
  </si>
  <si>
    <t>INGENIERIA Y CONSTRUCCION GONZALO PATRICIO BENAVENTE ARIAS E.I.R.L.</t>
  </si>
  <si>
    <t>SOCIEDAD GALLEGOS Y RIOS LIMITADA</t>
  </si>
  <si>
    <t>ZEPOL INDUSTRIAL LIMITADA</t>
  </si>
  <si>
    <t>76624716-4</t>
  </si>
  <si>
    <t>19538716-8</t>
  </si>
  <si>
    <t>77158216-8</t>
  </si>
  <si>
    <t>76638730-6</t>
  </si>
  <si>
    <t>76428128-4</t>
  </si>
  <si>
    <t>77664604-0</t>
  </si>
  <si>
    <t>EQUIPMENT  SOLUTIONS CHILE SPA</t>
  </si>
  <si>
    <t>CAMILA ANDREA ALVAREZ GONZALEZ</t>
  </si>
  <si>
    <t>MPF INGENIERÃA CIVIL SPA</t>
  </si>
  <si>
    <t>CONSTRUCCIONES METALICAS JOSE EDUARDO SOTO NAVEA E.I.R.L</t>
  </si>
  <si>
    <t>OBRAS CIVILES ARRIENDO Y REPARACION DE MAQUINARIAS Y EQUIPOS LTDA</t>
  </si>
  <si>
    <t>TRANSPORTES PUELLES SPA</t>
  </si>
  <si>
    <t>78125514-9</t>
  </si>
  <si>
    <t>BELLEZA Y CREACIONES J.A. SPA</t>
  </si>
  <si>
    <t>77935323-0</t>
  </si>
  <si>
    <t>SM TERMOFUSIONES SPA</t>
  </si>
  <si>
    <t>78003369-K</t>
  </si>
  <si>
    <t>EMPRESA DE TRANSPORTES DE PASAJEROS NUEVA COPIAPO 1 SPA</t>
  </si>
  <si>
    <t>76369338-4</t>
  </si>
  <si>
    <t>IACOP INGENIERIA SPA</t>
  </si>
  <si>
    <t>77187395-2</t>
  </si>
  <si>
    <t>RGP COMPRA Y VENTA DE EXCEDENTES SPA</t>
  </si>
  <si>
    <t>76227269-5</t>
  </si>
  <si>
    <t>FVP MINING  INDUSTRY SPA</t>
  </si>
  <si>
    <t>78139819-5</t>
  </si>
  <si>
    <t>ADIXION SPA</t>
  </si>
  <si>
    <t>76160003-6</t>
  </si>
  <si>
    <t>VALENZUELA Y VALENZUELA LIMITADA,</t>
  </si>
  <si>
    <t>77126836-6</t>
  </si>
  <si>
    <t>CONSTRUCCIÃ“N Y SERVICIOS VARACE SPA</t>
  </si>
  <si>
    <t>78153465-K</t>
  </si>
  <si>
    <t>POLARI SPA</t>
  </si>
  <si>
    <t>78038686-K</t>
  </si>
  <si>
    <t>SERVICIOS INTEGRALES DEL VALLE SPA</t>
  </si>
  <si>
    <t>77158633-3</t>
  </si>
  <si>
    <t>PEREIRA RENTAL Y SERVICIOS INDUSTRIALES SPA</t>
  </si>
  <si>
    <t>8264829-1</t>
  </si>
  <si>
    <t>77996929-0</t>
  </si>
  <si>
    <t>76374411-6</t>
  </si>
  <si>
    <t>15017794-4</t>
  </si>
  <si>
    <t>76680253-2</t>
  </si>
  <si>
    <t>76813809-5</t>
  </si>
  <si>
    <t>76845043-9</t>
  </si>
  <si>
    <t>78338638-0</t>
  </si>
  <si>
    <t>77098923-K</t>
  </si>
  <si>
    <t>RODOLFO HUMBERTO TAMBLAY CAMPILLAY</t>
  </si>
  <si>
    <t>SOCIEDAD CONCESIONARIA AEROPUERTOS DEL NORTE S.A.</t>
  </si>
  <si>
    <t>TRANSPORTES GONZALEZ E HIJOS  LIMITADA</t>
  </si>
  <si>
    <t>LESLY PATRICIA ALVAREZ ZEPEDA</t>
  </si>
  <si>
    <t>NORTHFITT SPA</t>
  </si>
  <si>
    <t>AUTOMOTRIZ MMG SPA</t>
  </si>
  <si>
    <t>SERVICIOS EN ACCIONAMIENTO Y CONTROL AUTOMATICO SPA</t>
  </si>
  <si>
    <t>LA PALMERA  ATACAMA SPA</t>
  </si>
  <si>
    <t>MARIO ALEJANDRO UBILLO GARATE CONSTRUCCIONES E.I.R.L.</t>
  </si>
  <si>
    <t>78320171-2</t>
  </si>
  <si>
    <t>77694334-7</t>
  </si>
  <si>
    <t>78317659-9</t>
  </si>
  <si>
    <t>77947375-9</t>
  </si>
  <si>
    <t>77781210-6</t>
  </si>
  <si>
    <t>77597787-6</t>
  </si>
  <si>
    <t>77117647-K</t>
  </si>
  <si>
    <t>96972750-1</t>
  </si>
  <si>
    <t>78020967-4</t>
  </si>
  <si>
    <t>77363025-9</t>
  </si>
  <si>
    <t>ALAMME MOTORS ARRIENDO, MANTENCIONES Y VENTA DE REPUESTOS SPA</t>
  </si>
  <si>
    <t>PROYECTO APOLO SPA</t>
  </si>
  <si>
    <t>SOCIEDAD DE SERVICIOS, ADMINISTRACIÃ“N Y LOGÃSTICA HOLVOET LIMITADA</t>
  </si>
  <si>
    <t>ATACAMA DUNE SPA</t>
  </si>
  <si>
    <t>BOGGIONI  BOGGIONI LIMITADA</t>
  </si>
  <si>
    <t>SOCIEDAD DE TRANSPORTES LJ HERMANOS  LIMITADA</t>
  </si>
  <si>
    <t>TRANSPORTES Y TURISMOS ALVARO ANIBAL TAMBLAY FABREGA E.I.R.L.</t>
  </si>
  <si>
    <t>SOC CONSULTORA EXPRO SOCIEDAD ANONIMA</t>
  </si>
  <si>
    <t>SOLUCIONES TECNOLOGICAS E INDUSTRIALES FACYMAR SPA</t>
  </si>
  <si>
    <t>SERVICIOS IRIARTE SPA</t>
  </si>
  <si>
    <t>77421442-9</t>
  </si>
  <si>
    <t>77641056-K</t>
  </si>
  <si>
    <t>77288637-3</t>
  </si>
  <si>
    <t>76920339-7</t>
  </si>
  <si>
    <t>77708922-6</t>
  </si>
  <si>
    <t>77704254-8</t>
  </si>
  <si>
    <t>JRVA INGENIERIA  SERVICIOS SPA</t>
  </si>
  <si>
    <t>SERVICIOS LEIVA  Y LEIVA  SPA</t>
  </si>
  <si>
    <t>JOCELYN STYLIST SPA</t>
  </si>
  <si>
    <t>PAOLA RUBINA PROPIEDADES SPA</t>
  </si>
  <si>
    <t>INVERSIONES Y SERVICIOS ANAIS SPA</t>
  </si>
  <si>
    <t>CONSTRUCTORA BOL SPA</t>
  </si>
  <si>
    <t>77587083-4</t>
  </si>
  <si>
    <t>8814922-K</t>
  </si>
  <si>
    <t>77151784-6</t>
  </si>
  <si>
    <t>77338744-3</t>
  </si>
  <si>
    <t>78409889-3</t>
  </si>
  <si>
    <t>COMERCIAL PIETRAMONTE SPA</t>
  </si>
  <si>
    <t>RAUL ERNESTO STUCKRATH BARRIA</t>
  </si>
  <si>
    <t>NOVACLEAN SPA</t>
  </si>
  <si>
    <t>COMERCIAL VAS LIMITADA</t>
  </si>
  <si>
    <t>PROSSAN SPA</t>
  </si>
  <si>
    <t>76342164-3</t>
  </si>
  <si>
    <t>76571076-6</t>
  </si>
  <si>
    <t>8703487-9</t>
  </si>
  <si>
    <t>11469364-2</t>
  </si>
  <si>
    <t>76329964-3</t>
  </si>
  <si>
    <t>76344963-7</t>
  </si>
  <si>
    <t>76091703-6</t>
  </si>
  <si>
    <t>76754569-K</t>
  </si>
  <si>
    <t>77014665-8</t>
  </si>
  <si>
    <t>78171211-6</t>
  </si>
  <si>
    <t>77154788-5</t>
  </si>
  <si>
    <t>15870750-0</t>
  </si>
  <si>
    <t>61935400-1</t>
  </si>
  <si>
    <t>28603682-1</t>
  </si>
  <si>
    <t>76613200-6</t>
  </si>
  <si>
    <t>92909000-4</t>
  </si>
  <si>
    <t>COMERCIAL INVERCAN LIMITADA</t>
  </si>
  <si>
    <t>CÃ“RDOVA INGENIERÃA SPA</t>
  </si>
  <si>
    <t>JORGE ABRAHAM HAWAS JASEN</t>
  </si>
  <si>
    <t>CLAUDIO FRANCISCO NEHME CARPANETTI</t>
  </si>
  <si>
    <t>GMT PROJECTS SPA</t>
  </si>
  <si>
    <t>BOSSÃ“ COMUNICACIONES LIMITADA</t>
  </si>
  <si>
    <t>IT TRANSPORTES S.A.</t>
  </si>
  <si>
    <t>MARVAL SPA</t>
  </si>
  <si>
    <t>DMC MINING SERVICES CHILE SPA</t>
  </si>
  <si>
    <t>INVERSIONES NALAM SPA</t>
  </si>
  <si>
    <t>SOCIEDAD COMERCIAL MECANICA MAURICIO ARROYAVE ERIRA E.I.R.L.</t>
  </si>
  <si>
    <t>CARLOS ALFONSO IRIBARREN MARIN</t>
  </si>
  <si>
    <t>MINISTERIO PUBLICO</t>
  </si>
  <si>
    <t>LUIS GABRIEL GARCIA LOPEZ</t>
  </si>
  <si>
    <t>LOS LLANOS SOCIEDAD ANÃ“NIMA</t>
  </si>
  <si>
    <t>CURIFOR 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</si>
</sst>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* #,##0.00_-;\-* #,##0.00_-;_-* &quot;-&quot;??_-;_-@_-"/>
    <numFmt numFmtId="165" formatCode="dd/mm/yyyy;@"/>
    <numFmt numFmtId="166" formatCode="&quot;Crédito a &quot;0&quot; días&quot;"/>
    <numFmt numFmtId="167" formatCode="0.0%"/>
    <numFmt numFmtId="168" formatCode="\ #,##0;\-#,##0;&quot;-&quot;"/>
    <numFmt numFmtId="169" formatCode="\ #,##0;[Red]\-#,##0;&quot;-&quot;"/>
    <numFmt numFmtId="170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2" borderId="0" xfId="0" applyFill="1"/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4" fontId="0" fillId="0" borderId="0" xfId="1" applyFont="1"/>
    <xf numFmtId="0" fontId="0" fillId="0" borderId="1" xfId="0" applyBorder="1"/>
    <xf numFmtId="164" fontId="0" fillId="0" borderId="1" xfId="1" applyFont="1" applyBorder="1"/>
    <xf numFmtId="0" fontId="6" fillId="0" borderId="1" xfId="0" applyFont="1" applyBorder="1"/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/>
    <xf numFmtId="164" fontId="6" fillId="5" borderId="1" xfId="1" applyFont="1" applyFill="1" applyBorder="1"/>
    <xf numFmtId="167" fontId="6" fillId="5" borderId="1" xfId="0" applyNumberFormat="1" applyFont="1" applyFill="1" applyBorder="1"/>
    <xf numFmtId="9" fontId="6" fillId="0" borderId="1" xfId="2" applyFont="1" applyBorder="1"/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/>
    <xf numFmtId="0" fontId="0" fillId="0" borderId="0" xfId="0" applyProtection="1"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165" fontId="0" fillId="0" borderId="0" xfId="0" applyNumberFormat="1" applyAlignment="1" applyProtection="1">
      <alignment horizontal="center" vertical="center"/>
      <protection locked="0" hidden="1"/>
    </xf>
    <xf numFmtId="166" fontId="0" fillId="4" borderId="0" xfId="1" applyNumberFormat="1" applyFont="1" applyFill="1" applyAlignment="1" applyProtection="1">
      <alignment horizontal="center" vertical="center"/>
      <protection locked="0" hidden="1"/>
    </xf>
    <xf numFmtId="165" fontId="0" fillId="4" borderId="0" xfId="1" applyNumberFormat="1" applyFont="1" applyFill="1" applyAlignment="1" applyProtection="1">
      <alignment horizontal="center" vertical="center"/>
      <protection locked="0" hidden="1"/>
    </xf>
    <xf numFmtId="0" fontId="0" fillId="4" borderId="0" xfId="1" applyNumberFormat="1" applyFont="1" applyFill="1" applyAlignment="1" applyProtection="1">
      <alignment horizontal="center" vertical="center"/>
      <protection locked="0" hidden="1"/>
    </xf>
    <xf numFmtId="0" fontId="0" fillId="0" borderId="0" xfId="0" applyProtection="1">
      <protection locked="0" hidden="1"/>
    </xf>
    <xf numFmtId="165" fontId="0" fillId="0" borderId="0" xfId="1" applyNumberFormat="1" applyFont="1" applyFill="1" applyAlignment="1" applyProtection="1">
      <alignment horizontal="center" vertical="center"/>
      <protection locked="0" hidden="1"/>
    </xf>
    <xf numFmtId="168" fontId="0" fillId="0" borderId="0" xfId="1" applyNumberFormat="1" applyFont="1" applyAlignment="1" applyProtection="1">
      <alignment horizontal="center" vertical="center"/>
      <protection locked="0" hidden="1"/>
    </xf>
    <xf numFmtId="169" fontId="0" fillId="4" borderId="0" xfId="1" applyNumberFormat="1" applyFont="1" applyFill="1" applyAlignment="1" applyProtection="1">
      <alignment horizontal="center" vertical="center"/>
      <protection locked="0" hidden="1"/>
    </xf>
    <xf numFmtId="165" fontId="0" fillId="7" borderId="0" xfId="0" applyNumberFormat="1" applyFill="1" applyAlignment="1" applyProtection="1">
      <alignment horizontal="center" vertical="center"/>
      <protection locked="0" hidden="1"/>
    </xf>
    <xf numFmtId="0" fontId="0" fillId="7" borderId="0" xfId="1" applyNumberFormat="1" applyFont="1" applyFill="1" applyAlignment="1" applyProtection="1">
      <alignment vertical="center"/>
      <protection locked="0" hidden="1"/>
    </xf>
    <xf numFmtId="0" fontId="2" fillId="8" borderId="0" xfId="0" applyFont="1" applyFill="1" applyAlignment="1">
      <alignment horizontal="center" vertical="center"/>
    </xf>
    <xf numFmtId="170" fontId="0" fillId="0" borderId="0" xfId="1" applyNumberFormat="1" applyFont="1" applyAlignment="1" applyProtection="1">
      <alignment vertical="center"/>
      <protection locked="0" hidden="1"/>
    </xf>
    <xf numFmtId="164" fontId="0" fillId="0" borderId="0" xfId="0" applyNumberFormat="1" applyProtection="1">
      <protection locked="0" hidden="1"/>
    </xf>
    <xf numFmtId="0" fontId="0" fillId="0" borderId="0" xfId="0" applyNumberFormat="1" applyAlignment="1">
      <alignment horizontal="center" vertical="center"/>
    </xf>
    <xf numFmtId="0" fontId="0" fillId="7" borderId="0" xfId="0" applyNumberFormat="1" applyFill="1" applyAlignment="1" applyProtection="1">
      <alignment horizontal="center" vertical="center"/>
      <protection locked="0" hidden="1"/>
    </xf>
    <xf numFmtId="0" fontId="0" fillId="7" borderId="0" xfId="0" applyNumberFormat="1" applyFill="1" applyAlignment="1" applyProtection="1">
      <alignment vertical="center"/>
      <protection locked="0" hidden="1"/>
    </xf>
    <xf numFmtId="170" fontId="0" fillId="4" borderId="0" xfId="1" applyNumberFormat="1" applyFont="1" applyFill="1" applyAlignment="1" applyProtection="1">
      <alignment vertical="center"/>
      <protection locked="0" hidden="1"/>
    </xf>
    <xf numFmtId="0" fontId="0" fillId="4" borderId="0" xfId="0" applyNumberFormat="1" applyFill="1" applyAlignment="1" applyProtection="1">
      <alignment vertical="center"/>
      <protection locked="0" hidden="1"/>
    </xf>
    <xf numFmtId="170" fontId="0" fillId="7" borderId="0" xfId="1" applyNumberFormat="1" applyFont="1" applyFill="1" applyAlignment="1" applyProtection="1">
      <alignment vertical="center"/>
      <protection locked="0" hidden="1"/>
    </xf>
    <xf numFmtId="0" fontId="0" fillId="0" borderId="0" xfId="0" applyFill="1" applyAlignment="1" applyProtection="1">
      <alignment horizontal="center" vertical="center"/>
      <protection locked="0" hidden="1"/>
    </xf>
    <xf numFmtId="0" fontId="0" fillId="0" borderId="0" xfId="0" applyNumberFormat="1" applyAlignment="1" applyProtection="1">
      <alignment horizontal="center" vertical="center"/>
      <protection locked="0" hidden="1"/>
    </xf>
    <xf numFmtId="0" fontId="0" fillId="0" borderId="0" xfId="1" applyNumberFormat="1" applyFont="1" applyAlignment="1" applyProtection="1">
      <alignment vertical="center"/>
      <protection locked="0" hidden="1"/>
    </xf>
    <xf numFmtId="49" fontId="0" fillId="0" borderId="0" xfId="0" applyNumberFormat="1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vertical="center"/>
      <protection locked="0"/>
    </xf>
    <xf numFmtId="0" fontId="0" fillId="0" borderId="0" xfId="0" applyNumberFormat="1" applyFill="1" applyAlignment="1">
      <alignment horizontal="center" vertical="center"/>
    </xf>
    <xf numFmtId="0" fontId="0" fillId="0" borderId="0" xfId="0" applyFill="1"/>
  </cellXfs>
  <cellStyles count="3">
    <cellStyle name="Millares" xfId="1" builtinId="3"/>
    <cellStyle name="Normal" xfId="0" builtinId="0"/>
    <cellStyle name="Porcentaje" xfId="2" builtinId="5"/>
  </cellStyles>
  <dxfs count="52">
    <dxf>
      <font>
        <color rgb="FF9C0006"/>
      </font>
      <fill>
        <patternFill>
          <bgColor rgb="FFFFC7CE"/>
        </patternFill>
      </fill>
    </dxf>
    <dxf>
      <fill>
        <patternFill>
          <bgColor theme="5" tint="-0.499984740745262"/>
        </patternFill>
      </fill>
      <border>
        <bottom style="thin">
          <color theme="0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66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1"/>
    </dxf>
    <dxf>
      <numFmt numFmtId="170" formatCode="_-* #,##0_-;\-* #,##0_-;_-* &quot;-&quot;??_-;_-@_-"/>
      <fill>
        <patternFill patternType="solid">
          <fgColor indexed="64"/>
          <bgColor theme="5" tint="0.59999389629810485"/>
        </patternFill>
      </fill>
      <alignment horizontal="general" vertical="center" textRotation="0" wrapText="0" indent="0" justifyLastLine="0" shrinkToFit="0" readingOrder="0"/>
      <protection locked="0" hidden="1"/>
    </dxf>
    <dxf>
      <numFmt numFmtId="0" formatCode="General"/>
      <fill>
        <patternFill patternType="solid">
          <fgColor indexed="64"/>
          <bgColor theme="5" tint="0.59999389629810485"/>
        </patternFill>
      </fill>
      <alignment horizontal="general" vertical="center" textRotation="0" wrapText="0" indent="0" justifyLastLine="0" shrinkToFit="0" readingOrder="0"/>
      <protection locked="0" hidden="1"/>
    </dxf>
    <dxf>
      <numFmt numFmtId="170" formatCode="_-* #,##0_-;\-* #,##0_-;_-* &quot;-&quot;??_-;_-@_-"/>
      <fill>
        <patternFill patternType="solid">
          <fgColor indexed="64"/>
          <bgColor theme="5" tint="0.59999389629810485"/>
        </patternFill>
      </fill>
      <alignment vertical="center" textRotation="0" wrapText="0" indent="0" justifyLastLine="0" shrinkToFit="0" readingOrder="0"/>
      <protection locked="0" hidden="1"/>
    </dxf>
    <dxf>
      <numFmt numFmtId="0" formatCode="General"/>
      <fill>
        <patternFill patternType="solid">
          <fgColor indexed="64"/>
          <bgColor theme="5" tint="0.59999389629810485"/>
        </patternFill>
      </fill>
      <alignment vertical="center" textRotation="0" wrapText="0" indent="0" justifyLastLine="0" shrinkToFit="0" readingOrder="0"/>
      <protection locked="0" hidden="1"/>
    </dxf>
    <dxf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protection locked="0" hidden="1"/>
    </dxf>
    <dxf>
      <numFmt numFmtId="165" formatCode="dd/mm/yyyy;@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protection locked="0" hidden="1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1"/>
    </dxf>
    <dxf>
      <alignment vertical="center" textRotation="0" wrapText="0" indent="0" justifyLastLine="0" shrinkToFit="0" readingOrder="0"/>
      <protection locked="0" hidden="1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dd/mm/yyyy;@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protection locked="0" hidden="1"/>
    </dxf>
    <dxf>
      <numFmt numFmtId="170" formatCode="_-* #,##0_-;\-* #,##0_-;_-* &quot;-&quot;??_-;_-@_-"/>
      <fill>
        <patternFill patternType="solid">
          <fgColor indexed="64"/>
          <bgColor theme="7" tint="0.59999389629810485"/>
        </patternFill>
      </fill>
      <alignment horizontal="general" vertical="center" textRotation="0" wrapText="0" indent="0" justifyLastLine="0" shrinkToFit="0" readingOrder="0"/>
      <protection locked="0" hidden="1"/>
    </dxf>
    <dxf>
      <numFmt numFmtId="170" formatCode="_-* #,##0_-;\-* #,##0_-;_-* &quot;-&quot;??_-;_-@_-"/>
      <fill>
        <patternFill patternType="solid">
          <fgColor indexed="64"/>
          <bgColor theme="7" tint="0.59999389629810485"/>
        </patternFill>
      </fill>
      <alignment horizontal="general" vertical="center" textRotation="0" wrapText="0" indent="0" justifyLastLine="0" shrinkToFit="0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\ #,##0;[Red]\-#,##0;&quot;-&quot;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dd/mm/yyyy;@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Crédito a &quot;0&quot; días&quot;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\ #,##0;\-#,##0;&quot;-&quot;"/>
      <alignment horizontal="center" vertical="center" textRotation="0" wrapText="0" indent="0" justifyLastLine="0" shrinkToFit="0" readingOrder="0"/>
      <protection locked="0" hidden="1"/>
    </dxf>
    <dxf>
      <numFmt numFmtId="0" formatCode="General"/>
      <alignment horizontal="general" vertical="center" textRotation="0" wrapText="0" indent="0" justifyLastLine="0" shrinkToFit="0" readingOrder="0"/>
      <protection locked="0" hidden="1"/>
    </dxf>
    <dxf>
      <numFmt numFmtId="170" formatCode="_-* #,##0_-;\-* #,##0_-;_-* &quot;-&quot;??_-;_-@_-"/>
      <alignment vertical="center" textRotation="0" wrapText="0" indent="0" justifyLastLine="0" shrinkToFit="0" readingOrder="0"/>
      <protection locked="0" hidden="1"/>
    </dxf>
    <dxf>
      <numFmt numFmtId="0" formatCode="General"/>
      <fill>
        <patternFill patternType="solid">
          <fgColor indexed="64"/>
          <bgColor theme="7" tint="0.59999389629810485"/>
        </patternFill>
      </fill>
      <alignment vertical="center" textRotation="0" wrapText="0" indent="0" justifyLastLine="0" shrinkToFit="0" readingOrder="0"/>
      <protection locked="0" hidden="1"/>
    </dxf>
    <dxf>
      <numFmt numFmtId="0" formatCode="General"/>
      <alignment horizontal="center" vertical="center" textRotation="0" wrapText="0" indent="0" justifyLastLine="0" shrinkToFit="0" readingOrder="0"/>
      <protection locked="0" hidden="1"/>
    </dxf>
    <dxf>
      <numFmt numFmtId="165" formatCode="dd/mm/yyyy;@"/>
      <alignment horizontal="center" vertical="center" textRotation="0" wrapText="0" indent="0" justifyLastLine="0" shrinkToFit="0" readingOrder="0"/>
      <protection locked="0" hidden="1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1"/>
    </dxf>
    <dxf>
      <alignment vertical="center" textRotation="0" wrapText="0" indent="0" justifyLastLine="0" shrinkToFit="0" readingOrder="0"/>
      <protection locked="0" hidden="1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  <protection locked="0" hidden="0"/>
    </dxf>
    <dxf>
      <numFmt numFmtId="30" formatCode="@"/>
      <alignment horizontal="center" vertical="center" textRotation="0" wrapText="0" indent="0" justifyLastLine="0" shrinkToFit="0" readingOrder="0"/>
      <protection locked="0" hidden="0"/>
    </dxf>
    <dxf>
      <alignment vertical="center" textRotation="0" wrapText="0" indent="0" justifyLastLine="0" shrinkToFit="0" readingOrder="0"/>
      <protection locked="0" hidden="0"/>
    </dxf>
    <dxf>
      <numFmt numFmtId="30" formatCode="@"/>
      <alignment horizontal="center" vertical="center" textRotation="0" wrapText="0" indent="0" justifyLastLine="0" shrinkToFit="0" readingOrder="0"/>
      <protection locked="0" hidden="0"/>
    </dxf>
    <dxf>
      <alignment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2" tint="-0.74999237037263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>
          <bgColor theme="0"/>
        </patternFill>
      </fill>
      <border>
        <top/>
        <bottom style="thin">
          <color theme="0" tint="-0.499984740745262"/>
        </bottom>
        <vertical/>
      </border>
    </dxf>
    <dxf>
      <fill>
        <patternFill>
          <bgColor theme="5" tint="0.79998168889431442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  <vertical style="thick">
          <color theme="0"/>
        </vertical>
        <horizontal style="thick">
          <color theme="0"/>
        </horizontal>
      </border>
    </dxf>
    <dxf>
      <fill>
        <patternFill>
          <bgColor theme="0"/>
        </patternFill>
      </fill>
      <border>
        <top/>
        <bottom style="thin">
          <color theme="0" tint="-0.499984740745262"/>
        </bottom>
        <vertical/>
      </border>
    </dxf>
    <dxf>
      <fill>
        <patternFill>
          <bgColor theme="9" tint="0.79998168889431442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  <vertical style="thick">
          <color theme="0"/>
        </vertical>
        <horizontal style="thick">
          <color theme="0"/>
        </horizontal>
      </border>
    </dxf>
    <dxf>
      <fill>
        <patternFill>
          <bgColor theme="0"/>
        </patternFill>
      </fill>
      <border>
        <top/>
        <bottom style="thin">
          <color theme="0" tint="-0.499984740745262"/>
        </bottom>
        <vertical/>
      </border>
    </dxf>
    <dxf>
      <fill>
        <patternFill>
          <bgColor theme="4" tint="0.79998168889431442"/>
        </patternFill>
      </fill>
      <border>
        <left/>
        <right/>
        <top style="thin">
          <color theme="0" tint="-0.499984740745262"/>
        </top>
        <bottom style="thin">
          <color theme="0" tint="-0.499984740745262"/>
        </bottom>
        <vertical style="thick">
          <color theme="0"/>
        </vertical>
        <horizontal style="thick">
          <color theme="0"/>
        </horizontal>
      </border>
    </dxf>
    <dxf>
      <fill>
        <patternFill>
          <bgColor theme="5" tint="0.59996337778862885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7" tint="0.79998168889431442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7" tint="0.79998168889431442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9" tint="0.79998168889431442"/>
        </patternFill>
      </fill>
      <border diagonalUp="0" diagonalDown="0">
        <left/>
        <right/>
        <top/>
        <bottom/>
        <vertical/>
        <horizontal/>
      </border>
    </dxf>
  </dxfs>
  <tableStyles count="7" defaultTableStyle="TableStyleMedium2" defaultPivotStyle="PivotStyleLight16">
    <tableStyle name="Estilo de segmentación de datos 1" pivot="0" table="0" count="5" xr9:uid="{8D8AE5B2-AC78-4BF7-9AA0-89386605838F}">
      <tableStyleElement type="wholeTable" dxfId="51"/>
    </tableStyle>
    <tableStyle name="Estilo de segmentación de datos 1 2" pivot="0" table="0" count="5" xr9:uid="{FA8FA266-1673-4B50-ABA7-CDBB57F74E88}">
      <tableStyleElement type="wholeTable" dxfId="50"/>
    </tableStyle>
    <tableStyle name="Estilo de segmentación de datos 1 3" pivot="0" table="0" count="5" xr9:uid="{811AF6E7-4B42-41AE-B2DD-460339AF0B91}">
      <tableStyleElement type="wholeTable" dxfId="49"/>
    </tableStyle>
    <tableStyle name="Estilo de segmentación de datos 1 4" pivot="0" table="0" count="5" xr9:uid="{48951FA4-F657-4FFB-B473-77A99D894827}">
      <tableStyleElement type="wholeTable" dxfId="48"/>
    </tableStyle>
    <tableStyle name="Estilo de tabla 1" pivot="0" count="2" xr9:uid="{7A45C2A0-0F0F-4706-A4C3-3744C4F50509}">
      <tableStyleElement type="wholeTable" dxfId="47"/>
      <tableStyleElement type="headerRow" dxfId="46"/>
    </tableStyle>
    <tableStyle name="Estilo de tabla 1 2" pivot="0" count="2" xr9:uid="{6805CCBC-4608-4F13-AED9-C92D0AE73E90}">
      <tableStyleElement type="wholeTable" dxfId="45"/>
      <tableStyleElement type="headerRow" dxfId="44"/>
    </tableStyle>
    <tableStyle name="Estilo de tabla 1 2 2" pivot="0" count="2" xr9:uid="{3D6FF6BE-A357-4DE5-ADF9-DCD748EA28B7}">
      <tableStyleElement type="wholeTable" dxfId="43"/>
      <tableStyleElement type="headerRow" dxfId="42"/>
    </tableStyle>
  </tableStyles>
  <colors>
    <mruColors>
      <color rgb="FF0000FF"/>
      <color rgb="FFFF6600"/>
      <color rgb="FFCC9900"/>
      <color rgb="FFFFFFCC"/>
    </mruColors>
  </colors>
  <extLst>
    <ext xmlns:x14="http://schemas.microsoft.com/office/spreadsheetml/2009/9/main" uri="{46F421CA-312F-682f-3DD2-61675219B42D}">
      <x14:dxfs count="16">
        <dxf>
          <font>
            <b/>
            <i val="0"/>
            <color theme="0"/>
          </font>
          <fill>
            <patternFill>
              <bgColor theme="5" tint="0.39994506668294322"/>
            </patternFill>
          </fill>
        </dxf>
        <dxf>
          <font>
            <b/>
            <i val="0"/>
            <color theme="0"/>
          </font>
          <fill>
            <patternFill>
              <bgColor theme="5" tint="0.39994506668294322"/>
            </patternFill>
          </fill>
        </dxf>
        <dxf>
          <font>
            <b/>
            <i val="0"/>
            <color theme="0"/>
          </font>
          <fill>
            <patternFill>
              <bgColor theme="4"/>
            </patternFill>
          </fill>
        </dxf>
        <dxf>
          <fill>
            <patternFill>
              <bgColor theme="0"/>
            </patternFill>
          </fill>
        </dxf>
        <dxf>
          <font>
            <b/>
            <i val="0"/>
            <color theme="0"/>
          </font>
          <fill>
            <patternFill>
              <bgColor theme="5" tint="0.39994506668294322"/>
            </patternFill>
          </fill>
        </dxf>
        <dxf>
          <font>
            <b/>
            <i val="0"/>
            <color theme="0"/>
          </font>
          <fill>
            <patternFill>
              <bgColor theme="5" tint="0.39994506668294322"/>
            </patternFill>
          </fill>
        </dxf>
        <dxf>
          <font>
            <b/>
            <i val="0"/>
            <color theme="0"/>
          </font>
          <fill>
            <patternFill>
              <bgColor theme="4"/>
            </patternFill>
          </fill>
        </dxf>
        <dxf>
          <fill>
            <patternFill>
              <bgColor theme="0"/>
            </patternFill>
          </fill>
        </dxf>
        <dxf>
          <font>
            <b/>
            <i val="0"/>
            <color theme="0"/>
          </font>
          <fill>
            <patternFill>
              <bgColor theme="7" tint="0.39994506668294322"/>
            </patternFill>
          </fill>
        </dxf>
        <dxf>
          <font>
            <b/>
            <i val="0"/>
            <color theme="0"/>
          </font>
          <fill>
            <patternFill>
              <bgColor theme="7" tint="0.39994506668294322"/>
            </patternFill>
          </fill>
        </dxf>
        <dxf>
          <font>
            <b/>
            <i val="0"/>
            <color theme="0"/>
          </font>
          <fill>
            <patternFill>
              <bgColor theme="7" tint="-0.24994659260841701"/>
            </patternFill>
          </fill>
        </dxf>
        <dxf>
          <fill>
            <patternFill>
              <bgColor theme="0"/>
            </patternFill>
          </fill>
        </dxf>
        <dxf>
          <font>
            <b/>
            <i val="0"/>
            <color theme="0"/>
          </font>
          <fill>
            <patternFill>
              <bgColor theme="5" tint="0.39994506668294322"/>
            </patternFill>
          </fill>
        </dxf>
        <dxf>
          <font>
            <b/>
            <i val="0"/>
            <color theme="0"/>
          </font>
          <fill>
            <patternFill>
              <bgColor theme="5" tint="0.39994506668294322"/>
            </patternFill>
          </fill>
        </dxf>
        <dxf>
          <font>
            <b/>
            <i val="0"/>
            <color theme="0"/>
          </font>
          <fill>
            <patternFill>
              <bgColor theme="8"/>
            </patternFill>
          </fill>
        </dxf>
        <dxf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unselectedItemWithData" dxfId="15"/>
            <x14:slicerStyleElement type="selectedItemWithData" dxfId="14"/>
            <x14:slicerStyleElement type="hoveredUnselectedItemWithData" dxfId="13"/>
            <x14:slicerStyleElement type="hoveredSelectedItemWithData" dxfId="12"/>
          </x14:slicerStyleElements>
        </x14:slicerStyle>
        <x14:slicerStyle name="Estilo de segmentación de datos 1 2">
          <x14:slicerStyleElements>
            <x14:slicerStyleElement type="unselectedItemWithData" dxfId="11"/>
            <x14:slicerStyleElement type="selectedItemWithData" dxfId="10"/>
            <x14:slicerStyleElement type="hoveredUnselectedItemWithData" dxfId="9"/>
            <x14:slicerStyleElement type="hoveredSelectedItemWithData" dxfId="8"/>
          </x14:slicerStyleElements>
        </x14:slicerStyle>
        <x14:slicerStyle name="Estilo de segmentación de datos 1 3">
          <x14:slicerStyleElements>
            <x14:slicerStyleElement type="unselectedItemWithData" dxfId="7"/>
            <x14:slicerStyleElement type="selectedItemWithData" dxfId="6"/>
            <x14:slicerStyleElement type="hoveredUnselectedItemWithData" dxfId="5"/>
            <x14:slicerStyleElement type="hoveredSelectedItemWithData" dxfId="4"/>
          </x14:slicerStyleElements>
        </x14:slicerStyle>
        <x14:slicerStyle name="Estilo de segmentación de datos 1 4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FFC000"/>
              </a:solidFill>
              <a:ln w="9525">
                <a:solidFill>
                  <a:srgbClr val="CC99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2B-447C-975E-766E36C43D3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2B-447C-975E-766E36C43D3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2B-447C-975E-766E36C43D39}"/>
              </c:ext>
            </c:extLst>
          </c:dPt>
          <c:dLbls>
            <c:delete val="1"/>
          </c:dLbls>
          <c:cat>
            <c:strRef>
              <c:f>CALCULOS!$B$3:$B$5</c:f>
              <c:strCache>
                <c:ptCount val="2"/>
                <c:pt idx="0">
                  <c:v>No vencido</c:v>
                </c:pt>
                <c:pt idx="1">
                  <c:v>Vencido</c:v>
                </c:pt>
              </c:strCache>
            </c:strRef>
          </c:cat>
          <c:val>
            <c:numRef>
              <c:f>CALCULOS!$E$3:$E$5</c:f>
              <c:numCache>
                <c:formatCode>0%</c:formatCode>
                <c:ptCount val="3"/>
                <c:pt idx="0">
                  <c:v>0.14864864864864866</c:v>
                </c:pt>
                <c:pt idx="1">
                  <c:v>0.85135135135135132</c:v>
                </c:pt>
                <c:pt idx="2" formatCode="0.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2B-447C-975E-766E36C43D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9.png"/><Relationship Id="rId3" Type="http://schemas.openxmlformats.org/officeDocument/2006/relationships/hyperlink" Target="#CLIENTES!A1"/><Relationship Id="rId7" Type="http://schemas.openxmlformats.org/officeDocument/2006/relationships/image" Target="../media/image5.png"/><Relationship Id="rId12" Type="http://schemas.openxmlformats.org/officeDocument/2006/relationships/hyperlink" Target="#REPORTE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DOCUMENTOS!A1"/><Relationship Id="rId11" Type="http://schemas.openxmlformats.org/officeDocument/2006/relationships/image" Target="../media/image8.svg"/><Relationship Id="rId5" Type="http://schemas.openxmlformats.org/officeDocument/2006/relationships/image" Target="../media/image4.sv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ABONOS!A1"/><Relationship Id="rId14" Type="http://schemas.openxmlformats.org/officeDocument/2006/relationships/image" Target="../media/image10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svg"/><Relationship Id="rId13" Type="http://schemas.openxmlformats.org/officeDocument/2006/relationships/image" Target="../media/image7.png"/><Relationship Id="rId3" Type="http://schemas.openxmlformats.org/officeDocument/2006/relationships/image" Target="../media/image13.png"/><Relationship Id="rId7" Type="http://schemas.openxmlformats.org/officeDocument/2006/relationships/image" Target="../media/image15.png"/><Relationship Id="rId12" Type="http://schemas.openxmlformats.org/officeDocument/2006/relationships/hyperlink" Target="#ABONOS!A1"/><Relationship Id="rId17" Type="http://schemas.openxmlformats.org/officeDocument/2006/relationships/image" Target="../media/image10.svg"/><Relationship Id="rId2" Type="http://schemas.openxmlformats.org/officeDocument/2006/relationships/image" Target="../media/image12.svg"/><Relationship Id="rId16" Type="http://schemas.openxmlformats.org/officeDocument/2006/relationships/image" Target="../media/image9.png"/><Relationship Id="rId1" Type="http://schemas.openxmlformats.org/officeDocument/2006/relationships/image" Target="../media/image11.png"/><Relationship Id="rId6" Type="http://schemas.openxmlformats.org/officeDocument/2006/relationships/hyperlink" Target="#CLIENTES!A1"/><Relationship Id="rId11" Type="http://schemas.openxmlformats.org/officeDocument/2006/relationships/image" Target="../media/image18.svg"/><Relationship Id="rId5" Type="http://schemas.openxmlformats.org/officeDocument/2006/relationships/chart" Target="../charts/chart1.xml"/><Relationship Id="rId15" Type="http://schemas.openxmlformats.org/officeDocument/2006/relationships/hyperlink" Target="#REPORTE!A1"/><Relationship Id="rId10" Type="http://schemas.openxmlformats.org/officeDocument/2006/relationships/image" Target="../media/image17.png"/><Relationship Id="rId4" Type="http://schemas.openxmlformats.org/officeDocument/2006/relationships/image" Target="../media/image14.svg"/><Relationship Id="rId9" Type="http://schemas.openxmlformats.org/officeDocument/2006/relationships/hyperlink" Target="#DOCUMENTOS!A1"/><Relationship Id="rId14" Type="http://schemas.openxmlformats.org/officeDocument/2006/relationships/image" Target="../media/image8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DOCUMENTOS!A1"/><Relationship Id="rId13" Type="http://schemas.openxmlformats.org/officeDocument/2006/relationships/image" Target="../media/image21.svg"/><Relationship Id="rId3" Type="http://schemas.openxmlformats.org/officeDocument/2006/relationships/image" Target="../media/image13.png"/><Relationship Id="rId7" Type="http://schemas.openxmlformats.org/officeDocument/2006/relationships/image" Target="../media/image16.svg"/><Relationship Id="rId12" Type="http://schemas.openxmlformats.org/officeDocument/2006/relationships/image" Target="../media/image20.png"/><Relationship Id="rId17" Type="http://schemas.openxmlformats.org/officeDocument/2006/relationships/image" Target="../media/image22.png"/><Relationship Id="rId2" Type="http://schemas.openxmlformats.org/officeDocument/2006/relationships/image" Target="../media/image19.svg"/><Relationship Id="rId16" Type="http://schemas.openxmlformats.org/officeDocument/2006/relationships/image" Target="../media/image10.svg"/><Relationship Id="rId1" Type="http://schemas.openxmlformats.org/officeDocument/2006/relationships/image" Target="../media/image11.png"/><Relationship Id="rId6" Type="http://schemas.openxmlformats.org/officeDocument/2006/relationships/image" Target="../media/image15.png"/><Relationship Id="rId11" Type="http://schemas.openxmlformats.org/officeDocument/2006/relationships/hyperlink" Target="#ABONOS!A1"/><Relationship Id="rId5" Type="http://schemas.openxmlformats.org/officeDocument/2006/relationships/hyperlink" Target="#CLIENTES!A1"/><Relationship Id="rId15" Type="http://schemas.openxmlformats.org/officeDocument/2006/relationships/image" Target="../media/image9.png"/><Relationship Id="rId10" Type="http://schemas.openxmlformats.org/officeDocument/2006/relationships/image" Target="../media/image6.svg"/><Relationship Id="rId4" Type="http://schemas.openxmlformats.org/officeDocument/2006/relationships/image" Target="../media/image14.svg"/><Relationship Id="rId9" Type="http://schemas.openxmlformats.org/officeDocument/2006/relationships/image" Target="../media/image5.png"/><Relationship Id="rId14" Type="http://schemas.openxmlformats.org/officeDocument/2006/relationships/hyperlink" Target="#REPORT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3388</xdr:rowOff>
    </xdr:from>
    <xdr:to>
      <xdr:col>6</xdr:col>
      <xdr:colOff>11207</xdr:colOff>
      <xdr:row>8</xdr:row>
      <xdr:rowOff>127001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FF0CF47F-B24F-48F6-AF77-A84816989D1D}"/>
            </a:ext>
          </a:extLst>
        </xdr:cNvPr>
        <xdr:cNvSpPr/>
      </xdr:nvSpPr>
      <xdr:spPr>
        <a:xfrm>
          <a:off x="177800" y="632038"/>
          <a:ext cx="13435107" cy="1266613"/>
        </a:xfrm>
        <a:prstGeom prst="roundRect">
          <a:avLst>
            <a:gd name="adj" fmla="val 7639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2</xdr:col>
      <xdr:colOff>2175842</xdr:colOff>
      <xdr:row>4</xdr:row>
      <xdr:rowOff>2802</xdr:rowOff>
    </xdr:from>
    <xdr:to>
      <xdr:col>5</xdr:col>
      <xdr:colOff>571500</xdr:colOff>
      <xdr:row>8</xdr:row>
      <xdr:rowOff>38100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INICIAL">
              <a:extLst>
                <a:ext uri="{FF2B5EF4-FFF2-40B4-BE49-F238E27FC236}">
                  <a16:creationId xmlns:a16="http://schemas.microsoft.com/office/drawing/2014/main" id="{C60B68B9-1E3B-47C9-84C9-FDDD5796FA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I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8367" y="1012452"/>
              <a:ext cx="10073308" cy="7972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 fLocksWithSheet="0"/>
  </xdr:twoCellAnchor>
  <xdr:twoCellAnchor editAs="oneCell">
    <xdr:from>
      <xdr:col>1</xdr:col>
      <xdr:colOff>495300</xdr:colOff>
      <xdr:row>3</xdr:row>
      <xdr:rowOff>35049</xdr:rowOff>
    </xdr:from>
    <xdr:to>
      <xdr:col>2</xdr:col>
      <xdr:colOff>1714500</xdr:colOff>
      <xdr:row>8</xdr:row>
      <xdr:rowOff>47625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5BF7A8E4-2BF4-463D-943F-F07C4958BF3D}"/>
            </a:ext>
          </a:extLst>
        </xdr:cNvPr>
        <xdr:cNvGrpSpPr/>
      </xdr:nvGrpSpPr>
      <xdr:grpSpPr>
        <a:xfrm>
          <a:off x="647700" y="854199"/>
          <a:ext cx="2171700" cy="965076"/>
          <a:chOff x="8923868" y="194733"/>
          <a:chExt cx="1490132" cy="592667"/>
        </a:xfrm>
      </xdr:grpSpPr>
      <xdr:sp macro="" textlink="$C$4">
        <xdr:nvSpPr>
          <xdr:cNvPr id="7" name="Rectángulo: esquinas redondeadas 6">
            <a:extLst>
              <a:ext uri="{FF2B5EF4-FFF2-40B4-BE49-F238E27FC236}">
                <a16:creationId xmlns:a16="http://schemas.microsoft.com/office/drawing/2014/main" id="{F12402BF-3668-0022-BDFA-BA0D8F319EF2}"/>
              </a:ext>
            </a:extLst>
          </xdr:cNvPr>
          <xdr:cNvSpPr/>
        </xdr:nvSpPr>
        <xdr:spPr>
          <a:xfrm>
            <a:off x="8923868" y="194733"/>
            <a:ext cx="1490132" cy="592667"/>
          </a:xfrm>
          <a:prstGeom prst="roundRect">
            <a:avLst>
              <a:gd name="adj" fmla="val 42381"/>
            </a:avLst>
          </a:prstGeom>
          <a:ln/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r"/>
            <a:fld id="{69C888AD-FDCE-41A2-AC1C-C8BEF131D3E5}" type="TxLink">
              <a:rPr lang="en-US" sz="2000" b="1" i="0" u="none" strike="noStrike">
                <a:solidFill>
                  <a:schemeClr val="accent5"/>
                </a:solidFill>
                <a:latin typeface="Aptos Narrow"/>
              </a:rPr>
              <a:pPr algn="r"/>
              <a:t>392</a:t>
            </a:fld>
            <a:endParaRPr lang="es-PE" sz="4000" b="1">
              <a:solidFill>
                <a:schemeClr val="accent5"/>
              </a:solidFill>
            </a:endParaRPr>
          </a:p>
        </xdr:txBody>
      </xdr:sp>
      <xdr:pic>
        <xdr:nvPicPr>
          <xdr:cNvPr id="8" name="Gráfico 7" descr="Grupo de hombres con relleno sólido">
            <a:extLst>
              <a:ext uri="{FF2B5EF4-FFF2-40B4-BE49-F238E27FC236}">
                <a16:creationId xmlns:a16="http://schemas.microsoft.com/office/drawing/2014/main" id="{5ED7F377-B0A5-D96D-010B-AF7116B394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9093199" y="228598"/>
            <a:ext cx="524933" cy="52493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0</xdr:colOff>
      <xdr:row>0</xdr:row>
      <xdr:rowOff>76200</xdr:rowOff>
    </xdr:from>
    <xdr:to>
      <xdr:col>6</xdr:col>
      <xdr:colOff>22412</xdr:colOff>
      <xdr:row>1</xdr:row>
      <xdr:rowOff>25400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3EE9EEE0-78D2-4478-BADE-924F63381C38}"/>
            </a:ext>
          </a:extLst>
        </xdr:cNvPr>
        <xdr:cNvSpPr/>
      </xdr:nvSpPr>
      <xdr:spPr>
        <a:xfrm>
          <a:off x="185021" y="76200"/>
          <a:ext cx="15379950" cy="498288"/>
        </a:xfrm>
        <a:prstGeom prst="roundRect">
          <a:avLst>
            <a:gd name="adj" fmla="val 20972"/>
          </a:avLst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/>
            <a:t>DIRECTORIO</a:t>
          </a:r>
          <a:r>
            <a:rPr lang="es-PE" sz="3200" baseline="0"/>
            <a:t> DE CLIENTES</a:t>
          </a:r>
          <a:endParaRPr lang="es-PE" sz="3200"/>
        </a:p>
      </xdr:txBody>
    </xdr:sp>
    <xdr:clientData/>
  </xdr:twoCellAnchor>
  <xdr:twoCellAnchor>
    <xdr:from>
      <xdr:col>1</xdr:col>
      <xdr:colOff>69226</xdr:colOff>
      <xdr:row>0</xdr:row>
      <xdr:rowOff>93134</xdr:rowOff>
    </xdr:from>
    <xdr:to>
      <xdr:col>2</xdr:col>
      <xdr:colOff>1041899</xdr:colOff>
      <xdr:row>1</xdr:row>
      <xdr:rowOff>25899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42255970-E1E8-65EC-F740-7FE7BA658DD6}"/>
            </a:ext>
          </a:extLst>
        </xdr:cNvPr>
        <xdr:cNvGrpSpPr/>
      </xdr:nvGrpSpPr>
      <xdr:grpSpPr>
        <a:xfrm>
          <a:off x="221626" y="93134"/>
          <a:ext cx="1925173" cy="485215"/>
          <a:chOff x="266450" y="93134"/>
          <a:chExt cx="1958790" cy="488577"/>
        </a:xfrm>
      </xdr:grpSpPr>
      <xdr:pic>
        <xdr:nvPicPr>
          <xdr:cNvPr id="10" name="Gráfico 9" descr="Grupo de hombres con relleno sólido">
            <a:hlinkClick xmlns:r="http://schemas.openxmlformats.org/officeDocument/2006/relationships" r:id="rId3" tooltip="CLIENTES"/>
            <a:extLst>
              <a:ext uri="{FF2B5EF4-FFF2-40B4-BE49-F238E27FC236}">
                <a16:creationId xmlns:a16="http://schemas.microsoft.com/office/drawing/2014/main" id="{CD7DA962-F35C-47D2-A60F-2B3DDE4DB6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rcRect/>
          <a:stretch/>
        </xdr:blipFill>
        <xdr:spPr>
          <a:xfrm>
            <a:off x="266450" y="93134"/>
            <a:ext cx="479613" cy="479613"/>
          </a:xfrm>
          <a:prstGeom prst="rect">
            <a:avLst/>
          </a:prstGeom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</xdr:pic>
      <xdr:pic>
        <xdr:nvPicPr>
          <xdr:cNvPr id="11" name="Gráfico 10" descr="Lista con relleno sólido">
            <a:hlinkClick xmlns:r="http://schemas.openxmlformats.org/officeDocument/2006/relationships" r:id="rId6" tooltip="DOCUMENTOS"/>
            <a:extLst>
              <a:ext uri="{FF2B5EF4-FFF2-40B4-BE49-F238E27FC236}">
                <a16:creationId xmlns:a16="http://schemas.microsoft.com/office/drawing/2014/main" id="{43A198B3-3515-4334-89A0-9EDEB53918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/>
        </xdr:blipFill>
        <xdr:spPr>
          <a:xfrm>
            <a:off x="822261" y="102098"/>
            <a:ext cx="479613" cy="479613"/>
          </a:xfrm>
          <a:prstGeom prst="rect">
            <a:avLst/>
          </a:prstGeom>
        </xdr:spPr>
      </xdr:pic>
      <xdr:pic>
        <xdr:nvPicPr>
          <xdr:cNvPr id="12" name="Gráfico 11" descr="Dólar con relleno sólido">
            <a:hlinkClick xmlns:r="http://schemas.openxmlformats.org/officeDocument/2006/relationships" r:id="rId9" tooltip="ABONOS"/>
            <a:extLst>
              <a:ext uri="{FF2B5EF4-FFF2-40B4-BE49-F238E27FC236}">
                <a16:creationId xmlns:a16="http://schemas.microsoft.com/office/drawing/2014/main" id="{BD267FBA-AEC0-41B0-B23A-9A05006F64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rcRect/>
          <a:stretch/>
        </xdr:blipFill>
        <xdr:spPr>
          <a:xfrm>
            <a:off x="1288425" y="102098"/>
            <a:ext cx="479613" cy="479613"/>
          </a:xfrm>
          <a:prstGeom prst="rect">
            <a:avLst/>
          </a:prstGeom>
        </xdr:spPr>
      </xdr:pic>
      <xdr:pic>
        <xdr:nvPicPr>
          <xdr:cNvPr id="13" name="Gráfico 12" descr="Gráfico de barras con relleno sólido">
            <a:hlinkClick xmlns:r="http://schemas.openxmlformats.org/officeDocument/2006/relationships" r:id="rId12" tooltip="REPORTE"/>
            <a:extLst>
              <a:ext uri="{FF2B5EF4-FFF2-40B4-BE49-F238E27FC236}">
                <a16:creationId xmlns:a16="http://schemas.microsoft.com/office/drawing/2014/main" id="{868AD9D5-B7D0-4ED9-8EB9-7CD5ACC4AD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rcRect/>
          <a:stretch/>
        </xdr:blipFill>
        <xdr:spPr>
          <a:xfrm>
            <a:off x="1745627" y="102096"/>
            <a:ext cx="479613" cy="4796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47811</xdr:colOff>
      <xdr:row>1</xdr:row>
      <xdr:rowOff>59418</xdr:rowOff>
    </xdr:from>
    <xdr:to>
      <xdr:col>14</xdr:col>
      <xdr:colOff>952500</xdr:colOff>
      <xdr:row>8</xdr:row>
      <xdr:rowOff>104590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F209DC8D-419A-46DE-9FCD-0584E6B754AA}"/>
            </a:ext>
          </a:extLst>
        </xdr:cNvPr>
        <xdr:cNvSpPr/>
      </xdr:nvSpPr>
      <xdr:spPr>
        <a:xfrm>
          <a:off x="372782" y="608506"/>
          <a:ext cx="18531542" cy="1546760"/>
        </a:xfrm>
        <a:prstGeom prst="roundRect">
          <a:avLst>
            <a:gd name="adj" fmla="val 7639"/>
          </a:avLst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absolute">
    <xdr:from>
      <xdr:col>4</xdr:col>
      <xdr:colOff>1167660</xdr:colOff>
      <xdr:row>2</xdr:row>
      <xdr:rowOff>138951</xdr:rowOff>
    </xdr:from>
    <xdr:to>
      <xdr:col>4</xdr:col>
      <xdr:colOff>2984696</xdr:colOff>
      <xdr:row>4</xdr:row>
      <xdr:rowOff>40340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8C22271-D065-8DB6-1759-6D6B76CAFCE3}"/>
            </a:ext>
          </a:extLst>
        </xdr:cNvPr>
        <xdr:cNvSpPr txBox="1"/>
      </xdr:nvSpPr>
      <xdr:spPr>
        <a:xfrm>
          <a:off x="4159630" y="775445"/>
          <a:ext cx="1434354" cy="259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200" b="1" kern="1200">
              <a:solidFill>
                <a:sysClr val="windowText" lastClr="000000"/>
              </a:solidFill>
            </a:rPr>
            <a:t>POR</a:t>
          </a:r>
          <a:r>
            <a:rPr lang="es-PE" sz="1200" b="1" kern="1200" baseline="0">
              <a:solidFill>
                <a:sysClr val="windowText" lastClr="000000"/>
              </a:solidFill>
            </a:rPr>
            <a:t> COBRAR</a:t>
          </a:r>
          <a:endParaRPr lang="es-PE" sz="1200" b="1" kern="12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4</xdr:col>
      <xdr:colOff>3213850</xdr:colOff>
      <xdr:row>4</xdr:row>
      <xdr:rowOff>98612</xdr:rowOff>
    </xdr:from>
    <xdr:to>
      <xdr:col>4</xdr:col>
      <xdr:colOff>4554077</xdr:colOff>
      <xdr:row>7</xdr:row>
      <xdr:rowOff>157878</xdr:rowOff>
    </xdr:to>
    <xdr:sp macro="" textlink="CALCULOS!C4">
      <xdr:nvSpPr>
        <xdr:cNvPr id="7" name="Rectángulo: esquinas redondeadas 6">
          <a:extLst>
            <a:ext uri="{FF2B5EF4-FFF2-40B4-BE49-F238E27FC236}">
              <a16:creationId xmlns:a16="http://schemas.microsoft.com/office/drawing/2014/main" id="{63AE7983-A4A8-4468-87A0-442C0E297B86}"/>
            </a:ext>
          </a:extLst>
        </xdr:cNvPr>
        <xdr:cNvSpPr/>
      </xdr:nvSpPr>
      <xdr:spPr>
        <a:xfrm>
          <a:off x="5898778" y="1093694"/>
          <a:ext cx="1237133" cy="597149"/>
        </a:xfrm>
        <a:prstGeom prst="roundRect">
          <a:avLst>
            <a:gd name="adj" fmla="val 42381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C90C8809-CD57-4BBA-BFAE-A2BA47AEFBE2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r"/>
            <a:t>63</a:t>
          </a:fld>
          <a:endParaRPr lang="es-PE" sz="400000" b="1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4</xdr:col>
      <xdr:colOff>2153761</xdr:colOff>
      <xdr:row>4</xdr:row>
      <xdr:rowOff>98612</xdr:rowOff>
    </xdr:from>
    <xdr:to>
      <xdr:col>4</xdr:col>
      <xdr:colOff>3697936</xdr:colOff>
      <xdr:row>7</xdr:row>
      <xdr:rowOff>157878</xdr:rowOff>
    </xdr:to>
    <xdr:sp macro="" textlink="CALCULOS!C3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EA0FDFEB-FB64-410E-854B-5C5722CF6538}"/>
            </a:ext>
          </a:extLst>
        </xdr:cNvPr>
        <xdr:cNvSpPr/>
      </xdr:nvSpPr>
      <xdr:spPr>
        <a:xfrm>
          <a:off x="5145731" y="1093694"/>
          <a:ext cx="1237133" cy="597149"/>
        </a:xfrm>
        <a:prstGeom prst="roundRect">
          <a:avLst>
            <a:gd name="adj" fmla="val 42381"/>
          </a:avLst>
        </a:prstGeom>
        <a:solidFill>
          <a:srgbClr val="FFFFCC"/>
        </a:solidFill>
        <a:ln w="9525">
          <a:solidFill>
            <a:srgbClr val="CC9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0842D210-2B9A-4C3F-8B5C-1EA6097E4352}" type="TxLink">
            <a:rPr lang="en-US" sz="2000" b="1" i="0" u="none" strike="noStrike">
              <a:solidFill>
                <a:srgbClr val="CC9900"/>
              </a:solidFill>
              <a:latin typeface="Aptos Narrow"/>
            </a:rPr>
            <a:pPr algn="r"/>
            <a:t>11</a:t>
          </a:fld>
          <a:endParaRPr lang="es-PE" sz="255800" b="1">
            <a:solidFill>
              <a:srgbClr val="CC9900"/>
            </a:solidFill>
          </a:endParaRPr>
        </a:p>
      </xdr:txBody>
    </xdr:sp>
    <xdr:clientData/>
  </xdr:twoCellAnchor>
  <xdr:twoCellAnchor editAs="absolute">
    <xdr:from>
      <xdr:col>4</xdr:col>
      <xdr:colOff>1122833</xdr:colOff>
      <xdr:row>4</xdr:row>
      <xdr:rowOff>98612</xdr:rowOff>
    </xdr:from>
    <xdr:to>
      <xdr:col>4</xdr:col>
      <xdr:colOff>2986122</xdr:colOff>
      <xdr:row>7</xdr:row>
      <xdr:rowOff>157878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A4BC4660-AD30-4A51-9D3E-CD33297CFD6A}"/>
            </a:ext>
          </a:extLst>
        </xdr:cNvPr>
        <xdr:cNvGrpSpPr/>
      </xdr:nvGrpSpPr>
      <xdr:grpSpPr>
        <a:xfrm>
          <a:off x="4047568" y="1107141"/>
          <a:ext cx="1863289" cy="630766"/>
          <a:chOff x="8923868" y="194733"/>
          <a:chExt cx="1490132" cy="592667"/>
        </a:xfrm>
      </xdr:grpSpPr>
      <xdr:sp macro="" textlink="CALCULOS!C5">
        <xdr:nvSpPr>
          <xdr:cNvPr id="13" name="Rectángulo: esquinas redondeadas 12">
            <a:extLst>
              <a:ext uri="{FF2B5EF4-FFF2-40B4-BE49-F238E27FC236}">
                <a16:creationId xmlns:a16="http://schemas.microsoft.com/office/drawing/2014/main" id="{885FBC3C-C482-A6BE-6339-3D6A0DF7E299}"/>
              </a:ext>
            </a:extLst>
          </xdr:cNvPr>
          <xdr:cNvSpPr/>
        </xdr:nvSpPr>
        <xdr:spPr>
          <a:xfrm>
            <a:off x="8923868" y="194733"/>
            <a:ext cx="1490132" cy="592667"/>
          </a:xfrm>
          <a:prstGeom prst="roundRect">
            <a:avLst>
              <a:gd name="adj" fmla="val 42381"/>
            </a:avLst>
          </a:prstGeom>
          <a:solidFill>
            <a:schemeClr val="bg1">
              <a:lumMod val="95000"/>
            </a:schemeClr>
          </a:solidFill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CEC86554-443F-4CC7-87E8-75283D88ED32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r"/>
              <a:t>74</a:t>
            </a:fld>
            <a:endParaRPr lang="es-PE" sz="16600" b="1">
              <a:solidFill>
                <a:sysClr val="windowText" lastClr="000000"/>
              </a:solidFill>
            </a:endParaRPr>
          </a:p>
        </xdr:txBody>
      </xdr:sp>
      <xdr:pic>
        <xdr:nvPicPr>
          <xdr:cNvPr id="14" name="Gráfico 13" descr="Lista con relleno sólido">
            <a:extLst>
              <a:ext uri="{FF2B5EF4-FFF2-40B4-BE49-F238E27FC236}">
                <a16:creationId xmlns:a16="http://schemas.microsoft.com/office/drawing/2014/main" id="{D5D49019-DC43-12B8-1BEA-4E5AB22FF0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/>
        </xdr:blipFill>
        <xdr:spPr>
          <a:xfrm>
            <a:off x="9048374" y="230568"/>
            <a:ext cx="524933" cy="520993"/>
          </a:xfrm>
          <a:prstGeom prst="rect">
            <a:avLst/>
          </a:prstGeom>
        </xdr:spPr>
      </xdr:pic>
    </xdr:grpSp>
    <xdr:clientData/>
  </xdr:twoCellAnchor>
  <xdr:twoCellAnchor editAs="absolute">
    <xdr:from>
      <xdr:col>4</xdr:col>
      <xdr:colOff>2404783</xdr:colOff>
      <xdr:row>2</xdr:row>
      <xdr:rowOff>138951</xdr:rowOff>
    </xdr:from>
    <xdr:to>
      <xdr:col>4</xdr:col>
      <xdr:colOff>3611825</xdr:colOff>
      <xdr:row>4</xdr:row>
      <xdr:rowOff>40340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8B6BD080-2C14-43AC-9037-07B20351732C}"/>
            </a:ext>
          </a:extLst>
        </xdr:cNvPr>
        <xdr:cNvSpPr txBox="1"/>
      </xdr:nvSpPr>
      <xdr:spPr>
        <a:xfrm>
          <a:off x="5396753" y="775445"/>
          <a:ext cx="900000" cy="259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200" b="1" kern="1200">
              <a:solidFill>
                <a:srgbClr val="CC9900"/>
              </a:solidFill>
            </a:rPr>
            <a:t>No</a:t>
          </a:r>
          <a:r>
            <a:rPr lang="es-PE" sz="1200" b="1" kern="1200" baseline="0">
              <a:solidFill>
                <a:srgbClr val="CC9900"/>
              </a:solidFill>
            </a:rPr>
            <a:t> vencido</a:t>
          </a:r>
          <a:endParaRPr lang="es-PE" sz="1200" b="1" kern="1200">
            <a:solidFill>
              <a:srgbClr val="CC9900"/>
            </a:solidFill>
          </a:endParaRPr>
        </a:p>
      </xdr:txBody>
    </xdr:sp>
    <xdr:clientData/>
  </xdr:twoCellAnchor>
  <xdr:twoCellAnchor editAs="absolute">
    <xdr:from>
      <xdr:col>4</xdr:col>
      <xdr:colOff>3536580</xdr:colOff>
      <xdr:row>2</xdr:row>
      <xdr:rowOff>138951</xdr:rowOff>
    </xdr:from>
    <xdr:to>
      <xdr:col>4</xdr:col>
      <xdr:colOff>4431674</xdr:colOff>
      <xdr:row>4</xdr:row>
      <xdr:rowOff>40340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993C2C9-18FD-46AB-AB73-5D9849148930}"/>
            </a:ext>
          </a:extLst>
        </xdr:cNvPr>
        <xdr:cNvSpPr txBox="1"/>
      </xdr:nvSpPr>
      <xdr:spPr>
        <a:xfrm>
          <a:off x="6221508" y="775445"/>
          <a:ext cx="792000" cy="259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200" b="1" kern="1200">
              <a:solidFill>
                <a:srgbClr val="FF0000"/>
              </a:solidFill>
            </a:rPr>
            <a:t>Vencido</a:t>
          </a:r>
        </a:p>
      </xdr:txBody>
    </xdr:sp>
    <xdr:clientData/>
  </xdr:twoCellAnchor>
  <xdr:twoCellAnchor editAs="absolute">
    <xdr:from>
      <xdr:col>6</xdr:col>
      <xdr:colOff>1828803</xdr:colOff>
      <xdr:row>2</xdr:row>
      <xdr:rowOff>129986</xdr:rowOff>
    </xdr:from>
    <xdr:to>
      <xdr:col>7</xdr:col>
      <xdr:colOff>159128</xdr:colOff>
      <xdr:row>4</xdr:row>
      <xdr:rowOff>31375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7223331-DDB1-4B0A-BEE6-1153C78F2E8D}"/>
            </a:ext>
          </a:extLst>
        </xdr:cNvPr>
        <xdr:cNvSpPr txBox="1"/>
      </xdr:nvSpPr>
      <xdr:spPr>
        <a:xfrm>
          <a:off x="10999698" y="766480"/>
          <a:ext cx="1434354" cy="259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200" b="1" kern="1200">
              <a:solidFill>
                <a:sysClr val="windowText" lastClr="000000"/>
              </a:solidFill>
            </a:rPr>
            <a:t>POR</a:t>
          </a:r>
          <a:r>
            <a:rPr lang="es-PE" sz="1200" b="1" kern="1200" baseline="0">
              <a:solidFill>
                <a:sysClr val="windowText" lastClr="000000"/>
              </a:solidFill>
            </a:rPr>
            <a:t> COBRAR</a:t>
          </a:r>
          <a:endParaRPr lang="es-PE" sz="1200" b="1" kern="12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9</xdr:col>
      <xdr:colOff>797858</xdr:colOff>
      <xdr:row>4</xdr:row>
      <xdr:rowOff>78441</xdr:rowOff>
    </xdr:from>
    <xdr:to>
      <xdr:col>12</xdr:col>
      <xdr:colOff>261722</xdr:colOff>
      <xdr:row>7</xdr:row>
      <xdr:rowOff>137707</xdr:rowOff>
    </xdr:to>
    <xdr:sp macro="" textlink="CALCULOS!D4">
      <xdr:nvSpPr>
        <xdr:cNvPr id="5" name="Rectángulo: esquinas redondeadas 4">
          <a:extLst>
            <a:ext uri="{FF2B5EF4-FFF2-40B4-BE49-F238E27FC236}">
              <a16:creationId xmlns:a16="http://schemas.microsoft.com/office/drawing/2014/main" id="{078C4ACA-4D57-4D99-B69F-381E1811105B}"/>
            </a:ext>
          </a:extLst>
        </xdr:cNvPr>
        <xdr:cNvSpPr/>
      </xdr:nvSpPr>
      <xdr:spPr>
        <a:xfrm>
          <a:off x="14278534" y="1086970"/>
          <a:ext cx="2007600" cy="630766"/>
        </a:xfrm>
        <a:prstGeom prst="roundRect">
          <a:avLst>
            <a:gd name="adj" fmla="val 42381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663B1C2F-E16B-47EE-9590-45E057BB26EE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r"/>
            <a:t> 20.727.204,00 </a:t>
          </a:fld>
          <a:endParaRPr lang="es-PE" sz="400000" b="1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7</xdr:col>
      <xdr:colOff>531142</xdr:colOff>
      <xdr:row>4</xdr:row>
      <xdr:rowOff>89647</xdr:rowOff>
    </xdr:from>
    <xdr:to>
      <xdr:col>10</xdr:col>
      <xdr:colOff>91378</xdr:colOff>
      <xdr:row>7</xdr:row>
      <xdr:rowOff>148913</xdr:rowOff>
    </xdr:to>
    <xdr:sp macro="" textlink="CALCULOS!D3">
      <xdr:nvSpPr>
        <xdr:cNvPr id="6" name="Rectángulo: esquinas redondeadas 5">
          <a:extLst>
            <a:ext uri="{FF2B5EF4-FFF2-40B4-BE49-F238E27FC236}">
              <a16:creationId xmlns:a16="http://schemas.microsoft.com/office/drawing/2014/main" id="{1F04F3DF-F89A-453F-8434-D95419EA9B29}"/>
            </a:ext>
          </a:extLst>
        </xdr:cNvPr>
        <xdr:cNvSpPr/>
      </xdr:nvSpPr>
      <xdr:spPr>
        <a:xfrm>
          <a:off x="12476613" y="1098176"/>
          <a:ext cx="2081559" cy="630766"/>
        </a:xfrm>
        <a:prstGeom prst="roundRect">
          <a:avLst>
            <a:gd name="adj" fmla="val 42381"/>
          </a:avLst>
        </a:prstGeom>
        <a:solidFill>
          <a:srgbClr val="FFFFCC"/>
        </a:solidFill>
        <a:ln w="9525">
          <a:solidFill>
            <a:srgbClr val="CC9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1EECA4C2-7C84-413D-ABB9-EEC58D13A773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r"/>
            <a:t> 3.813.236,00 </a:t>
          </a:fld>
          <a:endParaRPr lang="es-PE" sz="333300" b="1">
            <a:solidFill>
              <a:srgbClr val="CC9900"/>
            </a:solidFill>
          </a:endParaRPr>
        </a:p>
      </xdr:txBody>
    </xdr:sp>
    <xdr:clientData/>
  </xdr:twoCellAnchor>
  <xdr:twoCellAnchor editAs="absolute">
    <xdr:from>
      <xdr:col>6</xdr:col>
      <xdr:colOff>970427</xdr:colOff>
      <xdr:row>4</xdr:row>
      <xdr:rowOff>80929</xdr:rowOff>
    </xdr:from>
    <xdr:to>
      <xdr:col>8</xdr:col>
      <xdr:colOff>107575</xdr:colOff>
      <xdr:row>7</xdr:row>
      <xdr:rowOff>148913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07131768-66F3-DA5E-6FFC-E5CAF38796AF}"/>
            </a:ext>
          </a:extLst>
        </xdr:cNvPr>
        <xdr:cNvGrpSpPr/>
      </xdr:nvGrpSpPr>
      <xdr:grpSpPr>
        <a:xfrm>
          <a:off x="10125633" y="1089458"/>
          <a:ext cx="2622177" cy="639484"/>
          <a:chOff x="10309412" y="1076011"/>
          <a:chExt cx="2823882" cy="605867"/>
        </a:xfrm>
      </xdr:grpSpPr>
      <xdr:sp macro="" textlink="CALCULOS!D5">
        <xdr:nvSpPr>
          <xdr:cNvPr id="18" name="Rectángulo: esquinas redondeadas 17">
            <a:extLst>
              <a:ext uri="{FF2B5EF4-FFF2-40B4-BE49-F238E27FC236}">
                <a16:creationId xmlns:a16="http://schemas.microsoft.com/office/drawing/2014/main" id="{2BFEC687-A7E0-2728-2748-5BFB3C6F6360}"/>
              </a:ext>
            </a:extLst>
          </xdr:cNvPr>
          <xdr:cNvSpPr/>
        </xdr:nvSpPr>
        <xdr:spPr>
          <a:xfrm>
            <a:off x="10309412" y="1084729"/>
            <a:ext cx="2823882" cy="597149"/>
          </a:xfrm>
          <a:prstGeom prst="roundRect">
            <a:avLst>
              <a:gd name="adj" fmla="val 42381"/>
            </a:avLst>
          </a:prstGeom>
          <a:solidFill>
            <a:schemeClr val="bg1">
              <a:lumMod val="95000"/>
            </a:schemeClr>
          </a:solidFill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22EF33FB-7BF0-4F13-9290-C5AB66D3F00F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r"/>
              <a:t> 24.540.440,00 </a:t>
            </a:fld>
            <a:endParaRPr lang="es-PE" sz="102800" b="1">
              <a:solidFill>
                <a:sysClr val="windowText" lastClr="000000"/>
              </a:solidFill>
            </a:endParaRPr>
          </a:p>
        </xdr:txBody>
      </xdr:sp>
      <xdr:pic>
        <xdr:nvPicPr>
          <xdr:cNvPr id="19" name="Gráfico 18" descr="Dinero con relleno sólido">
            <a:extLst>
              <a:ext uri="{FF2B5EF4-FFF2-40B4-BE49-F238E27FC236}">
                <a16:creationId xmlns:a16="http://schemas.microsoft.com/office/drawing/2014/main" id="{49EFF366-F69B-4272-EDE8-9ABF7308AB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/>
        </xdr:blipFill>
        <xdr:spPr>
          <a:xfrm>
            <a:off x="10451849" y="1076011"/>
            <a:ext cx="601635" cy="601635"/>
          </a:xfrm>
          <a:prstGeom prst="rect">
            <a:avLst/>
          </a:prstGeom>
        </xdr:spPr>
      </xdr:pic>
    </xdr:grpSp>
    <xdr:clientData/>
  </xdr:twoCellAnchor>
  <xdr:twoCellAnchor editAs="absolute">
    <xdr:from>
      <xdr:col>8</xdr:col>
      <xdr:colOff>295834</xdr:colOff>
      <xdr:row>2</xdr:row>
      <xdr:rowOff>129986</xdr:rowOff>
    </xdr:from>
    <xdr:to>
      <xdr:col>9</xdr:col>
      <xdr:colOff>560294</xdr:colOff>
      <xdr:row>4</xdr:row>
      <xdr:rowOff>31375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112EE402-6369-4993-983A-FA3B852DD564}"/>
            </a:ext>
          </a:extLst>
        </xdr:cNvPr>
        <xdr:cNvSpPr txBox="1"/>
      </xdr:nvSpPr>
      <xdr:spPr>
        <a:xfrm>
          <a:off x="12924863" y="757515"/>
          <a:ext cx="1116107" cy="2823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200" b="1" kern="1200">
              <a:solidFill>
                <a:srgbClr val="CC9900"/>
              </a:solidFill>
            </a:rPr>
            <a:t>No</a:t>
          </a:r>
          <a:r>
            <a:rPr lang="es-PE" sz="1200" b="1" kern="1200" baseline="0">
              <a:solidFill>
                <a:srgbClr val="CC9900"/>
              </a:solidFill>
            </a:rPr>
            <a:t> vencido</a:t>
          </a:r>
          <a:endParaRPr lang="es-PE" sz="1200" b="1" kern="1200">
            <a:solidFill>
              <a:srgbClr val="CC9900"/>
            </a:solidFill>
          </a:endParaRPr>
        </a:p>
      </xdr:txBody>
    </xdr:sp>
    <xdr:clientData/>
  </xdr:twoCellAnchor>
  <xdr:twoCellAnchor editAs="absolute">
    <xdr:from>
      <xdr:col>10</xdr:col>
      <xdr:colOff>60519</xdr:colOff>
      <xdr:row>2</xdr:row>
      <xdr:rowOff>129986</xdr:rowOff>
    </xdr:from>
    <xdr:to>
      <xdr:col>11</xdr:col>
      <xdr:colOff>103967</xdr:colOff>
      <xdr:row>4</xdr:row>
      <xdr:rowOff>31375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F6570276-F490-4280-9101-7A69885A9EA7}"/>
            </a:ext>
          </a:extLst>
        </xdr:cNvPr>
        <xdr:cNvSpPr txBox="1"/>
      </xdr:nvSpPr>
      <xdr:spPr>
        <a:xfrm>
          <a:off x="14935207" y="766480"/>
          <a:ext cx="792000" cy="259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200" b="1" kern="1200">
              <a:solidFill>
                <a:srgbClr val="FF0000"/>
              </a:solidFill>
            </a:rPr>
            <a:t>Vencido</a:t>
          </a:r>
        </a:p>
      </xdr:txBody>
    </xdr:sp>
    <xdr:clientData/>
  </xdr:twoCellAnchor>
  <xdr:twoCellAnchor editAs="absolute">
    <xdr:from>
      <xdr:col>4</xdr:col>
      <xdr:colOff>5224182</xdr:colOff>
      <xdr:row>2</xdr:row>
      <xdr:rowOff>22414</xdr:rowOff>
    </xdr:from>
    <xdr:to>
      <xdr:col>6</xdr:col>
      <xdr:colOff>1098176</xdr:colOff>
      <xdr:row>10</xdr:row>
      <xdr:rowOff>145676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D490AC9C-9B55-4C3D-B540-A9000BBA5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4</xdr:col>
      <xdr:colOff>4843182</xdr:colOff>
      <xdr:row>5</xdr:row>
      <xdr:rowOff>136710</xdr:rowOff>
    </xdr:from>
    <xdr:to>
      <xdr:col>4</xdr:col>
      <xdr:colOff>5223063</xdr:colOff>
      <xdr:row>7</xdr:row>
      <xdr:rowOff>237564</xdr:rowOff>
    </xdr:to>
    <xdr:sp macro="" textlink="CALCULOS!E4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02B1FC0F-7BAD-5EAB-A389-7F194B156E00}"/>
            </a:ext>
          </a:extLst>
        </xdr:cNvPr>
        <xdr:cNvSpPr/>
      </xdr:nvSpPr>
      <xdr:spPr>
        <a:xfrm>
          <a:off x="8160122" y="1302122"/>
          <a:ext cx="970431" cy="448236"/>
        </a:xfrm>
        <a:prstGeom prst="roundRect">
          <a:avLst>
            <a:gd name="adj" fmla="val 44667"/>
          </a:avLst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0CA048A-4535-4462-8A90-D716C3004D10}" type="TxLink">
            <a:rPr lang="en-US" sz="1400" b="1" i="0" u="none" strike="noStrike" kern="1200">
              <a:solidFill>
                <a:schemeClr val="bg1"/>
              </a:solidFill>
              <a:latin typeface="Aptos Narrow"/>
            </a:rPr>
            <a:pPr algn="ctr"/>
            <a:t>85%</a:t>
          </a:fld>
          <a:endParaRPr lang="es-PE" sz="1800" kern="12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4809564</xdr:colOff>
      <xdr:row>2</xdr:row>
      <xdr:rowOff>82922</xdr:rowOff>
    </xdr:from>
    <xdr:to>
      <xdr:col>4</xdr:col>
      <xdr:colOff>5218020</xdr:colOff>
      <xdr:row>4</xdr:row>
      <xdr:rowOff>172571</xdr:rowOff>
    </xdr:to>
    <xdr:sp macro="" textlink="CALCULOS!E3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0EFF141E-5F87-47FB-B7E3-5FA68F6619D9}"/>
            </a:ext>
          </a:extLst>
        </xdr:cNvPr>
        <xdr:cNvSpPr/>
      </xdr:nvSpPr>
      <xdr:spPr>
        <a:xfrm>
          <a:off x="8126504" y="710451"/>
          <a:ext cx="970431" cy="448238"/>
        </a:xfrm>
        <a:prstGeom prst="roundRect">
          <a:avLst>
            <a:gd name="adj" fmla="val 44667"/>
          </a:avLst>
        </a:prstGeom>
        <a:solidFill>
          <a:srgbClr val="FFC000"/>
        </a:solidFill>
        <a:ln>
          <a:solidFill>
            <a:srgbClr val="CC9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8E7AD07-23FB-4CCD-A795-6E8063C28AE0}" type="TxLink">
            <a:rPr lang="en-US" sz="1400" b="1" i="0" u="none" strike="noStrike" kern="1200">
              <a:solidFill>
                <a:sysClr val="windowText" lastClr="000000"/>
              </a:solidFill>
              <a:latin typeface="Aptos Narrow"/>
            </a:rPr>
            <a:pPr algn="ctr"/>
            <a:t>15%</a:t>
          </a:fld>
          <a:endParaRPr lang="es-PE" sz="1800" kern="12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</xdr:col>
      <xdr:colOff>793375</xdr:colOff>
      <xdr:row>2</xdr:row>
      <xdr:rowOff>19272</xdr:rowOff>
    </xdr:from>
    <xdr:to>
      <xdr:col>4</xdr:col>
      <xdr:colOff>800435</xdr:colOff>
      <xdr:row>7</xdr:row>
      <xdr:rowOff>298077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6" name="ESTADO DE PAGO">
              <a:extLst>
                <a:ext uri="{FF2B5EF4-FFF2-40B4-BE49-F238E27FC236}">
                  <a16:creationId xmlns:a16="http://schemas.microsoft.com/office/drawing/2014/main" id="{0C2002CC-E8A3-1FEA-2459-B31E2C046A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DE 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2405" y="655766"/>
              <a:ext cx="1800000" cy="1164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 fLocksWithSheet="0"/>
  </xdr:twoCellAnchor>
  <xdr:twoCellAnchor>
    <xdr:from>
      <xdr:col>1</xdr:col>
      <xdr:colOff>0</xdr:colOff>
      <xdr:row>0</xdr:row>
      <xdr:rowOff>76200</xdr:rowOff>
    </xdr:from>
    <xdr:to>
      <xdr:col>15</xdr:col>
      <xdr:colOff>19799</xdr:colOff>
      <xdr:row>1</xdr:row>
      <xdr:rowOff>25400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98AEAAE0-B0B5-C3B7-7568-7395AD832C20}"/>
            </a:ext>
          </a:extLst>
        </xdr:cNvPr>
        <xdr:cNvGrpSpPr/>
      </xdr:nvGrpSpPr>
      <xdr:grpSpPr>
        <a:xfrm>
          <a:off x="324971" y="76200"/>
          <a:ext cx="18610357" cy="498288"/>
          <a:chOff x="169332" y="76200"/>
          <a:chExt cx="16479996" cy="505012"/>
        </a:xfrm>
      </xdr:grpSpPr>
      <xdr:sp macro="" textlink="">
        <xdr:nvSpPr>
          <xdr:cNvPr id="8" name="Rectángulo: esquinas redondeadas 7">
            <a:extLst>
              <a:ext uri="{FF2B5EF4-FFF2-40B4-BE49-F238E27FC236}">
                <a16:creationId xmlns:a16="http://schemas.microsoft.com/office/drawing/2014/main" id="{6C552CBD-EDC1-4054-BBF4-A3254A43C42B}"/>
              </a:ext>
            </a:extLst>
          </xdr:cNvPr>
          <xdr:cNvSpPr/>
        </xdr:nvSpPr>
        <xdr:spPr>
          <a:xfrm>
            <a:off x="169332" y="76200"/>
            <a:ext cx="16479996" cy="505012"/>
          </a:xfrm>
          <a:prstGeom prst="roundRect">
            <a:avLst>
              <a:gd name="adj" fmla="val 20972"/>
            </a:avLst>
          </a:prstGeom>
          <a:solidFill>
            <a:schemeClr val="accent4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3200"/>
              <a:t>REGISTRO</a:t>
            </a:r>
            <a:r>
              <a:rPr lang="es-PE" sz="3200" baseline="0"/>
              <a:t> DE DOCUMENTOS DE CLIENTES</a:t>
            </a:r>
            <a:endParaRPr lang="es-PE" sz="3200"/>
          </a:p>
        </xdr:txBody>
      </xdr:sp>
      <xdr:pic>
        <xdr:nvPicPr>
          <xdr:cNvPr id="28" name="Gráfico 27" descr="Grupo de hombres con relleno sólido">
            <a:hlinkClick xmlns:r="http://schemas.openxmlformats.org/officeDocument/2006/relationships" r:id="rId6" tooltip="CLIENTES"/>
            <a:extLst>
              <a:ext uri="{FF2B5EF4-FFF2-40B4-BE49-F238E27FC236}">
                <a16:creationId xmlns:a16="http://schemas.microsoft.com/office/drawing/2014/main" id="{1CE98FDA-DAF2-91FF-D6C5-CE90BED560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/>
        </xdr:blipFill>
        <xdr:spPr>
          <a:xfrm>
            <a:off x="268940" y="89649"/>
            <a:ext cx="479613" cy="479613"/>
          </a:xfrm>
          <a:prstGeom prst="rect">
            <a:avLst/>
          </a:prstGeom>
        </xdr:spPr>
      </xdr:pic>
      <xdr:pic>
        <xdr:nvPicPr>
          <xdr:cNvPr id="29" name="Gráfico 28" descr="Lista con relleno sólido">
            <a:hlinkClick xmlns:r="http://schemas.openxmlformats.org/officeDocument/2006/relationships" r:id="rId9" tooltip="DOCUMENTOS"/>
            <a:extLst>
              <a:ext uri="{FF2B5EF4-FFF2-40B4-BE49-F238E27FC236}">
                <a16:creationId xmlns:a16="http://schemas.microsoft.com/office/drawing/2014/main" id="{249C8BAE-AA56-93D4-6DC6-F20DC9B65C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rcRect/>
          <a:stretch/>
        </xdr:blipFill>
        <xdr:spPr>
          <a:xfrm>
            <a:off x="824751" y="98613"/>
            <a:ext cx="479613" cy="479613"/>
          </a:xfrm>
          <a:prstGeom prst="rect">
            <a:avLst/>
          </a:prstGeom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</xdr:pic>
      <xdr:pic>
        <xdr:nvPicPr>
          <xdr:cNvPr id="30" name="Gráfico 29" descr="Dólar con relleno sólido">
            <a:hlinkClick xmlns:r="http://schemas.openxmlformats.org/officeDocument/2006/relationships" r:id="rId12" tooltip="ABONOS"/>
            <a:extLst>
              <a:ext uri="{FF2B5EF4-FFF2-40B4-BE49-F238E27FC236}">
                <a16:creationId xmlns:a16="http://schemas.microsoft.com/office/drawing/2014/main" id="{6B906728-1FA7-77B5-7126-76481E28F2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rcRect/>
          <a:stretch/>
        </xdr:blipFill>
        <xdr:spPr>
          <a:xfrm>
            <a:off x="1290915" y="98613"/>
            <a:ext cx="479613" cy="479613"/>
          </a:xfrm>
          <a:prstGeom prst="rect">
            <a:avLst/>
          </a:prstGeom>
        </xdr:spPr>
      </xdr:pic>
      <xdr:pic>
        <xdr:nvPicPr>
          <xdr:cNvPr id="31" name="Gráfico 30" descr="Gráfico de barras con relleno sólido">
            <a:hlinkClick xmlns:r="http://schemas.openxmlformats.org/officeDocument/2006/relationships" r:id="rId15" tooltip="REPORTE"/>
            <a:extLst>
              <a:ext uri="{FF2B5EF4-FFF2-40B4-BE49-F238E27FC236}">
                <a16:creationId xmlns:a16="http://schemas.microsoft.com/office/drawing/2014/main" id="{4DEC170E-434C-1349-60A1-15B566E140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96DAC541-7B7A-43D3-8B79-37D633B846F1}">
                <asvg:svgBlip xmlns:asvg="http://schemas.microsoft.com/office/drawing/2016/SVG/main" r:embed="rId17"/>
              </a:ext>
            </a:extLst>
          </a:blip>
          <a:srcRect/>
          <a:stretch/>
        </xdr:blipFill>
        <xdr:spPr>
          <a:xfrm>
            <a:off x="1748117" y="98611"/>
            <a:ext cx="479613" cy="479613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2</xdr:row>
      <xdr:rowOff>3388</xdr:rowOff>
    </xdr:from>
    <xdr:to>
      <xdr:col>10</xdr:col>
      <xdr:colOff>16934</xdr:colOff>
      <xdr:row>8</xdr:row>
      <xdr:rowOff>127001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B02A7E6C-AE98-43B8-B1EF-C44AC09A3F4B}"/>
            </a:ext>
          </a:extLst>
        </xdr:cNvPr>
        <xdr:cNvSpPr/>
      </xdr:nvSpPr>
      <xdr:spPr>
        <a:xfrm>
          <a:off x="193488" y="630917"/>
          <a:ext cx="13461005" cy="1199378"/>
        </a:xfrm>
        <a:prstGeom prst="roundRect">
          <a:avLst>
            <a:gd name="adj" fmla="val 7639"/>
          </a:avLst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16932</xdr:colOff>
      <xdr:row>0</xdr:row>
      <xdr:rowOff>76200</xdr:rowOff>
    </xdr:from>
    <xdr:to>
      <xdr:col>10</xdr:col>
      <xdr:colOff>19799</xdr:colOff>
      <xdr:row>1</xdr:row>
      <xdr:rowOff>25400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900ED93A-74ED-45C6-B224-4FB609185E22}"/>
            </a:ext>
          </a:extLst>
        </xdr:cNvPr>
        <xdr:cNvSpPr/>
      </xdr:nvSpPr>
      <xdr:spPr>
        <a:xfrm>
          <a:off x="185020" y="76200"/>
          <a:ext cx="13472338" cy="498288"/>
        </a:xfrm>
        <a:prstGeom prst="roundRect">
          <a:avLst>
            <a:gd name="adj" fmla="val 20972"/>
          </a:avLst>
        </a:prstGeom>
        <a:solidFill>
          <a:schemeClr val="accent2">
            <a:lumMod val="5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3200"/>
            <a:t>REGISTRO</a:t>
          </a:r>
          <a:r>
            <a:rPr lang="es-PE" sz="3200" baseline="0"/>
            <a:t> DE ABONOS POR DOCUMENTO</a:t>
          </a:r>
          <a:endParaRPr lang="es-PE" sz="3200"/>
        </a:p>
      </xdr:txBody>
    </xdr:sp>
    <xdr:clientData/>
  </xdr:twoCellAnchor>
  <xdr:twoCellAnchor editAs="absolute">
    <xdr:from>
      <xdr:col>4</xdr:col>
      <xdr:colOff>493067</xdr:colOff>
      <xdr:row>2</xdr:row>
      <xdr:rowOff>138951</xdr:rowOff>
    </xdr:from>
    <xdr:to>
      <xdr:col>5</xdr:col>
      <xdr:colOff>986127</xdr:colOff>
      <xdr:row>4</xdr:row>
      <xdr:rowOff>40340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1DD4E273-3036-476C-BBB7-53301280D056}"/>
            </a:ext>
          </a:extLst>
        </xdr:cNvPr>
        <xdr:cNvSpPr txBox="1"/>
      </xdr:nvSpPr>
      <xdr:spPr>
        <a:xfrm>
          <a:off x="2420927" y="771411"/>
          <a:ext cx="1437940" cy="267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200" b="1" kern="1200">
              <a:solidFill>
                <a:sysClr val="windowText" lastClr="000000"/>
              </a:solidFill>
            </a:rPr>
            <a:t>POR</a:t>
          </a:r>
          <a:r>
            <a:rPr lang="es-PE" sz="1200" b="1" kern="1200" baseline="0">
              <a:solidFill>
                <a:sysClr val="windowText" lastClr="000000"/>
              </a:solidFill>
            </a:rPr>
            <a:t> COBRAR</a:t>
          </a:r>
          <a:endParaRPr lang="es-PE" sz="1200" b="1" kern="12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5</xdr:col>
      <xdr:colOff>1290921</xdr:colOff>
      <xdr:row>4</xdr:row>
      <xdr:rowOff>98612</xdr:rowOff>
    </xdr:from>
    <xdr:to>
      <xdr:col>5</xdr:col>
      <xdr:colOff>2528054</xdr:colOff>
      <xdr:row>7</xdr:row>
      <xdr:rowOff>157878</xdr:rowOff>
    </xdr:to>
    <xdr:sp macro="" textlink="CALCULOS!C4">
      <xdr:nvSpPr>
        <xdr:cNvPr id="7" name="Rectángulo: esquinas redondeadas 6">
          <a:extLst>
            <a:ext uri="{FF2B5EF4-FFF2-40B4-BE49-F238E27FC236}">
              <a16:creationId xmlns:a16="http://schemas.microsoft.com/office/drawing/2014/main" id="{26F2C66F-6936-4B21-B93F-A015F9007D7E}"/>
            </a:ext>
          </a:extLst>
        </xdr:cNvPr>
        <xdr:cNvSpPr/>
      </xdr:nvSpPr>
      <xdr:spPr>
        <a:xfrm>
          <a:off x="4163661" y="1096832"/>
          <a:ext cx="1237133" cy="607906"/>
        </a:xfrm>
        <a:prstGeom prst="roundRect">
          <a:avLst>
            <a:gd name="adj" fmla="val 42381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C90C8809-CD57-4BBA-BFAE-A2BA47AEFBE2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r"/>
            <a:t>63</a:t>
          </a:fld>
          <a:endParaRPr lang="es-PE" sz="400000" b="1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5</xdr:col>
      <xdr:colOff>537874</xdr:colOff>
      <xdr:row>4</xdr:row>
      <xdr:rowOff>98612</xdr:rowOff>
    </xdr:from>
    <xdr:to>
      <xdr:col>5</xdr:col>
      <xdr:colOff>1775007</xdr:colOff>
      <xdr:row>7</xdr:row>
      <xdr:rowOff>157878</xdr:rowOff>
    </xdr:to>
    <xdr:sp macro="" textlink="CALCULOS!C3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2C20E90-A77D-473A-9448-6061D30EC9E1}"/>
            </a:ext>
          </a:extLst>
        </xdr:cNvPr>
        <xdr:cNvSpPr/>
      </xdr:nvSpPr>
      <xdr:spPr>
        <a:xfrm>
          <a:off x="3410614" y="1096832"/>
          <a:ext cx="1237133" cy="607906"/>
        </a:xfrm>
        <a:prstGeom prst="roundRect">
          <a:avLst>
            <a:gd name="adj" fmla="val 42381"/>
          </a:avLst>
        </a:prstGeom>
        <a:solidFill>
          <a:srgbClr val="FFFFCC"/>
        </a:solidFill>
        <a:ln w="9525">
          <a:solidFill>
            <a:srgbClr val="CC9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0842D210-2B9A-4C3F-8B5C-1EA6097E4352}" type="TxLink">
            <a:rPr lang="en-US" sz="2000" b="1" i="0" u="none" strike="noStrike">
              <a:solidFill>
                <a:srgbClr val="CC9900"/>
              </a:solidFill>
              <a:latin typeface="Aptos Narrow"/>
            </a:rPr>
            <a:pPr algn="r"/>
            <a:t>11</a:t>
          </a:fld>
          <a:endParaRPr lang="es-PE" sz="255800" b="1">
            <a:solidFill>
              <a:srgbClr val="CC9900"/>
            </a:solidFill>
          </a:endParaRPr>
        </a:p>
      </xdr:txBody>
    </xdr:sp>
    <xdr:clientData/>
  </xdr:twoCellAnchor>
  <xdr:twoCellAnchor editAs="absolute">
    <xdr:from>
      <xdr:col>4</xdr:col>
      <xdr:colOff>448240</xdr:colOff>
      <xdr:row>4</xdr:row>
      <xdr:rowOff>98612</xdr:rowOff>
    </xdr:from>
    <xdr:to>
      <xdr:col>5</xdr:col>
      <xdr:colOff>997078</xdr:colOff>
      <xdr:row>7</xdr:row>
      <xdr:rowOff>157878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DFB919E8-043E-45EE-AE26-9FBEA1981E35}"/>
            </a:ext>
          </a:extLst>
        </xdr:cNvPr>
        <xdr:cNvGrpSpPr/>
      </xdr:nvGrpSpPr>
      <xdr:grpSpPr>
        <a:xfrm>
          <a:off x="2330828" y="1107141"/>
          <a:ext cx="1467721" cy="630766"/>
          <a:chOff x="8923868" y="194733"/>
          <a:chExt cx="1490132" cy="592667"/>
        </a:xfrm>
      </xdr:grpSpPr>
      <xdr:sp macro="" textlink="CALCULOS!C5">
        <xdr:nvSpPr>
          <xdr:cNvPr id="10" name="Rectángulo: esquinas redondeadas 9">
            <a:extLst>
              <a:ext uri="{FF2B5EF4-FFF2-40B4-BE49-F238E27FC236}">
                <a16:creationId xmlns:a16="http://schemas.microsoft.com/office/drawing/2014/main" id="{6E6CD7EE-62D6-0E09-1D67-0B50914BC631}"/>
              </a:ext>
            </a:extLst>
          </xdr:cNvPr>
          <xdr:cNvSpPr/>
        </xdr:nvSpPr>
        <xdr:spPr>
          <a:xfrm>
            <a:off x="8923868" y="194733"/>
            <a:ext cx="1490132" cy="592667"/>
          </a:xfrm>
          <a:prstGeom prst="roundRect">
            <a:avLst>
              <a:gd name="adj" fmla="val 42381"/>
            </a:avLst>
          </a:prstGeom>
          <a:solidFill>
            <a:schemeClr val="bg1">
              <a:lumMod val="95000"/>
            </a:schemeClr>
          </a:solidFill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CEC86554-443F-4CC7-87E8-75283D88ED32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r"/>
              <a:t>74</a:t>
            </a:fld>
            <a:endParaRPr lang="es-PE" sz="16600" b="1">
              <a:solidFill>
                <a:sysClr val="windowText" lastClr="000000"/>
              </a:solidFill>
            </a:endParaRPr>
          </a:p>
        </xdr:txBody>
      </xdr:sp>
      <xdr:pic>
        <xdr:nvPicPr>
          <xdr:cNvPr id="11" name="Gráfico 10" descr="Lista con relleno sólido">
            <a:extLst>
              <a:ext uri="{FF2B5EF4-FFF2-40B4-BE49-F238E27FC236}">
                <a16:creationId xmlns:a16="http://schemas.microsoft.com/office/drawing/2014/main" id="{FE1BA7C4-7D90-5BBC-09DD-D04FD20B76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/>
          <a:stretch/>
        </xdr:blipFill>
        <xdr:spPr>
          <a:xfrm>
            <a:off x="9048374" y="230568"/>
            <a:ext cx="524933" cy="520993"/>
          </a:xfrm>
          <a:prstGeom prst="rect">
            <a:avLst/>
          </a:prstGeom>
        </xdr:spPr>
      </xdr:pic>
    </xdr:grpSp>
    <xdr:clientData/>
  </xdr:twoCellAnchor>
  <xdr:twoCellAnchor editAs="absolute">
    <xdr:from>
      <xdr:col>5</xdr:col>
      <xdr:colOff>788896</xdr:colOff>
      <xdr:row>2</xdr:row>
      <xdr:rowOff>138951</xdr:rowOff>
    </xdr:from>
    <xdr:to>
      <xdr:col>5</xdr:col>
      <xdr:colOff>1688896</xdr:colOff>
      <xdr:row>4</xdr:row>
      <xdr:rowOff>40340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2BFF5AF1-8E84-4D78-BE1E-E8B69ACB5C76}"/>
            </a:ext>
          </a:extLst>
        </xdr:cNvPr>
        <xdr:cNvSpPr txBox="1"/>
      </xdr:nvSpPr>
      <xdr:spPr>
        <a:xfrm>
          <a:off x="3661636" y="771411"/>
          <a:ext cx="900000" cy="267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200" b="1" kern="1200">
              <a:solidFill>
                <a:srgbClr val="CC9900"/>
              </a:solidFill>
            </a:rPr>
            <a:t>No</a:t>
          </a:r>
          <a:r>
            <a:rPr lang="es-PE" sz="1200" b="1" kern="1200" baseline="0">
              <a:solidFill>
                <a:srgbClr val="CC9900"/>
              </a:solidFill>
            </a:rPr>
            <a:t> vencido</a:t>
          </a:r>
          <a:endParaRPr lang="es-PE" sz="1200" b="1" kern="1200">
            <a:solidFill>
              <a:srgbClr val="CC9900"/>
            </a:solidFill>
          </a:endParaRPr>
        </a:p>
      </xdr:txBody>
    </xdr:sp>
    <xdr:clientData/>
  </xdr:twoCellAnchor>
  <xdr:twoCellAnchor editAs="absolute">
    <xdr:from>
      <xdr:col>5</xdr:col>
      <xdr:colOff>1613651</xdr:colOff>
      <xdr:row>2</xdr:row>
      <xdr:rowOff>138951</xdr:rowOff>
    </xdr:from>
    <xdr:to>
      <xdr:col>5</xdr:col>
      <xdr:colOff>2405651</xdr:colOff>
      <xdr:row>4</xdr:row>
      <xdr:rowOff>40340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2FEBAF12-531A-4A61-8FA1-8A3161539B58}"/>
            </a:ext>
          </a:extLst>
        </xdr:cNvPr>
        <xdr:cNvSpPr txBox="1"/>
      </xdr:nvSpPr>
      <xdr:spPr>
        <a:xfrm>
          <a:off x="4486391" y="771411"/>
          <a:ext cx="792000" cy="267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200" b="1" kern="1200">
              <a:solidFill>
                <a:srgbClr val="FF0000"/>
              </a:solidFill>
            </a:rPr>
            <a:t>Vencido</a:t>
          </a:r>
        </a:p>
      </xdr:txBody>
    </xdr:sp>
    <xdr:clientData/>
  </xdr:twoCellAnchor>
  <xdr:twoCellAnchor editAs="absolute">
    <xdr:from>
      <xdr:col>6</xdr:col>
      <xdr:colOff>645462</xdr:colOff>
      <xdr:row>2</xdr:row>
      <xdr:rowOff>129986</xdr:rowOff>
    </xdr:from>
    <xdr:to>
      <xdr:col>7</xdr:col>
      <xdr:colOff>1174381</xdr:colOff>
      <xdr:row>4</xdr:row>
      <xdr:rowOff>31375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86A89FF-DD02-4D35-BBFF-3E3B18D9247C}"/>
            </a:ext>
          </a:extLst>
        </xdr:cNvPr>
        <xdr:cNvSpPr txBox="1"/>
      </xdr:nvSpPr>
      <xdr:spPr>
        <a:xfrm>
          <a:off x="6571133" y="766480"/>
          <a:ext cx="1434354" cy="259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200" b="1" kern="1200">
              <a:solidFill>
                <a:sysClr val="windowText" lastClr="000000"/>
              </a:solidFill>
            </a:rPr>
            <a:t>POR</a:t>
          </a:r>
          <a:r>
            <a:rPr lang="es-PE" sz="1200" b="1" kern="1200" baseline="0">
              <a:solidFill>
                <a:sysClr val="windowText" lastClr="000000"/>
              </a:solidFill>
            </a:rPr>
            <a:t> COBRAR </a:t>
          </a:r>
          <a:endParaRPr lang="es-PE" sz="1200" b="1" kern="12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7</xdr:col>
      <xdr:colOff>3104029</xdr:colOff>
      <xdr:row>4</xdr:row>
      <xdr:rowOff>100852</xdr:rowOff>
    </xdr:from>
    <xdr:to>
      <xdr:col>9</xdr:col>
      <xdr:colOff>817535</xdr:colOff>
      <xdr:row>7</xdr:row>
      <xdr:rowOff>160118</xdr:rowOff>
    </xdr:to>
    <xdr:sp macro="" textlink="CALCULOS!D4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5C9D58B1-7110-4918-BE9A-906BB9563CB0}"/>
            </a:ext>
          </a:extLst>
        </xdr:cNvPr>
        <xdr:cNvSpPr/>
      </xdr:nvSpPr>
      <xdr:spPr>
        <a:xfrm>
          <a:off x="9760323" y="1109381"/>
          <a:ext cx="2027771" cy="630766"/>
        </a:xfrm>
        <a:prstGeom prst="roundRect">
          <a:avLst>
            <a:gd name="adj" fmla="val 42381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663B1C2F-E16B-47EE-9590-45E057BB26EE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r"/>
            <a:t> 20.727.204,00 </a:t>
          </a:fld>
          <a:endParaRPr lang="es-PE" sz="400000" b="1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7</xdr:col>
      <xdr:colOff>1299869</xdr:colOff>
      <xdr:row>4</xdr:row>
      <xdr:rowOff>89647</xdr:rowOff>
    </xdr:from>
    <xdr:to>
      <xdr:col>8</xdr:col>
      <xdr:colOff>7337</xdr:colOff>
      <xdr:row>7</xdr:row>
      <xdr:rowOff>148913</xdr:rowOff>
    </xdr:to>
    <xdr:sp macro="" textlink="CALCULOS!D3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5F91F2AD-7614-42FD-AF66-589B54057B4B}"/>
            </a:ext>
          </a:extLst>
        </xdr:cNvPr>
        <xdr:cNvSpPr/>
      </xdr:nvSpPr>
      <xdr:spPr>
        <a:xfrm>
          <a:off x="8130975" y="1084729"/>
          <a:ext cx="2160000" cy="597149"/>
        </a:xfrm>
        <a:prstGeom prst="roundRect">
          <a:avLst>
            <a:gd name="adj" fmla="val 42381"/>
          </a:avLst>
        </a:prstGeom>
        <a:solidFill>
          <a:srgbClr val="FFFFCC"/>
        </a:solidFill>
        <a:ln w="9525">
          <a:solidFill>
            <a:srgbClr val="CC99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071022FD-C64E-475F-880A-54FF638AEAAE}" type="TxLink">
            <a:rPr lang="en-US" sz="2000" b="1" i="0" u="none" strike="noStrike">
              <a:solidFill>
                <a:srgbClr val="CC9900"/>
              </a:solidFill>
              <a:latin typeface="Aptos Narrow"/>
            </a:rPr>
            <a:pPr algn="r"/>
            <a:t> 3.813.236,00 </a:t>
          </a:fld>
          <a:endParaRPr lang="es-PE" sz="333300" b="1">
            <a:solidFill>
              <a:srgbClr val="CC9900"/>
            </a:solidFill>
          </a:endParaRPr>
        </a:p>
      </xdr:txBody>
    </xdr:sp>
    <xdr:clientData/>
  </xdr:twoCellAnchor>
  <xdr:twoCellAnchor editAs="absolute">
    <xdr:from>
      <xdr:col>5</xdr:col>
      <xdr:colOff>2967316</xdr:colOff>
      <xdr:row>4</xdr:row>
      <xdr:rowOff>80929</xdr:rowOff>
    </xdr:from>
    <xdr:to>
      <xdr:col>7</xdr:col>
      <xdr:colOff>1828798</xdr:colOff>
      <xdr:row>7</xdr:row>
      <xdr:rowOff>148913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66E23A6C-0269-3C2E-93A1-7B74626F1CD7}"/>
            </a:ext>
          </a:extLst>
        </xdr:cNvPr>
        <xdr:cNvGrpSpPr/>
      </xdr:nvGrpSpPr>
      <xdr:grpSpPr>
        <a:xfrm>
          <a:off x="5768787" y="1089458"/>
          <a:ext cx="2716305" cy="639484"/>
          <a:chOff x="5836022" y="1076011"/>
          <a:chExt cx="2823882" cy="605867"/>
        </a:xfrm>
      </xdr:grpSpPr>
      <xdr:sp macro="" textlink="CALCULOS!D5">
        <xdr:nvSpPr>
          <xdr:cNvPr id="17" name="Rectángulo: esquinas redondeadas 16">
            <a:extLst>
              <a:ext uri="{FF2B5EF4-FFF2-40B4-BE49-F238E27FC236}">
                <a16:creationId xmlns:a16="http://schemas.microsoft.com/office/drawing/2014/main" id="{8223E2CB-558E-477C-92C8-995D3191B5D9}"/>
              </a:ext>
            </a:extLst>
          </xdr:cNvPr>
          <xdr:cNvSpPr/>
        </xdr:nvSpPr>
        <xdr:spPr>
          <a:xfrm>
            <a:off x="5836022" y="1084729"/>
            <a:ext cx="2823882" cy="597149"/>
          </a:xfrm>
          <a:prstGeom prst="roundRect">
            <a:avLst>
              <a:gd name="adj" fmla="val 42381"/>
            </a:avLst>
          </a:prstGeom>
          <a:solidFill>
            <a:schemeClr val="bg1">
              <a:lumMod val="95000"/>
            </a:schemeClr>
          </a:solidFill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22EF33FB-7BF0-4F13-9290-C5AB66D3F00F}" type="TxLink">
              <a:rPr lang="en-US" sz="2400" b="1" i="0" u="none" strike="noStrike">
                <a:solidFill>
                  <a:srgbClr val="000000"/>
                </a:solidFill>
                <a:latin typeface="Aptos Narrow"/>
              </a:rPr>
              <a:pPr algn="r"/>
              <a:t> 24.540.440,00 </a:t>
            </a:fld>
            <a:endParaRPr lang="es-PE" sz="102800" b="1">
              <a:solidFill>
                <a:sysClr val="windowText" lastClr="000000"/>
              </a:solidFill>
            </a:endParaRPr>
          </a:p>
        </xdr:txBody>
      </xdr:sp>
      <xdr:pic>
        <xdr:nvPicPr>
          <xdr:cNvPr id="18" name="Gráfico 17" descr="Dinero con relleno sólido">
            <a:extLst>
              <a:ext uri="{FF2B5EF4-FFF2-40B4-BE49-F238E27FC236}">
                <a16:creationId xmlns:a16="http://schemas.microsoft.com/office/drawing/2014/main" id="{8AA2CBED-D79C-4EC7-9867-41D29055C3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/>
        </xdr:blipFill>
        <xdr:spPr>
          <a:xfrm>
            <a:off x="5978459" y="1076011"/>
            <a:ext cx="601635" cy="601635"/>
          </a:xfrm>
          <a:prstGeom prst="rect">
            <a:avLst/>
          </a:prstGeom>
        </xdr:spPr>
      </xdr:pic>
    </xdr:grpSp>
    <xdr:clientData/>
  </xdr:twoCellAnchor>
  <xdr:twoCellAnchor editAs="absolute">
    <xdr:from>
      <xdr:col>7</xdr:col>
      <xdr:colOff>2034981</xdr:colOff>
      <xdr:row>2</xdr:row>
      <xdr:rowOff>129986</xdr:rowOff>
    </xdr:from>
    <xdr:to>
      <xdr:col>7</xdr:col>
      <xdr:colOff>2934981</xdr:colOff>
      <xdr:row>4</xdr:row>
      <xdr:rowOff>31375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8673F610-6B59-4E9B-8026-51FA9C111FEE}"/>
            </a:ext>
          </a:extLst>
        </xdr:cNvPr>
        <xdr:cNvSpPr txBox="1"/>
      </xdr:nvSpPr>
      <xdr:spPr>
        <a:xfrm>
          <a:off x="8866087" y="766480"/>
          <a:ext cx="900000" cy="259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200" b="1" kern="1200">
              <a:solidFill>
                <a:srgbClr val="CC9900"/>
              </a:solidFill>
            </a:rPr>
            <a:t>No</a:t>
          </a:r>
          <a:r>
            <a:rPr lang="es-PE" sz="1200" b="1" kern="1200" baseline="0">
              <a:solidFill>
                <a:srgbClr val="CC9900"/>
              </a:solidFill>
            </a:rPr>
            <a:t> vencido</a:t>
          </a:r>
          <a:endParaRPr lang="es-PE" sz="1200" b="1" kern="1200">
            <a:solidFill>
              <a:srgbClr val="CC9900"/>
            </a:solidFill>
          </a:endParaRPr>
        </a:p>
      </xdr:txBody>
    </xdr:sp>
    <xdr:clientData/>
  </xdr:twoCellAnchor>
  <xdr:twoCellAnchor editAs="absolute">
    <xdr:from>
      <xdr:col>8</xdr:col>
      <xdr:colOff>224123</xdr:colOff>
      <xdr:row>2</xdr:row>
      <xdr:rowOff>129986</xdr:rowOff>
    </xdr:from>
    <xdr:to>
      <xdr:col>9</xdr:col>
      <xdr:colOff>65864</xdr:colOff>
      <xdr:row>4</xdr:row>
      <xdr:rowOff>31375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D9A9B04D-72DA-452E-A0B4-2C7EDEA4CCBE}"/>
            </a:ext>
          </a:extLst>
        </xdr:cNvPr>
        <xdr:cNvSpPr txBox="1"/>
      </xdr:nvSpPr>
      <xdr:spPr>
        <a:xfrm>
          <a:off x="10551464" y="766480"/>
          <a:ext cx="792000" cy="259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200" b="1" kern="1200">
              <a:solidFill>
                <a:srgbClr val="FF0000"/>
              </a:solidFill>
            </a:rPr>
            <a:t>Vencido</a:t>
          </a:r>
        </a:p>
      </xdr:txBody>
    </xdr:sp>
    <xdr:clientData/>
  </xdr:twoCellAnchor>
  <xdr:twoCellAnchor>
    <xdr:from>
      <xdr:col>2</xdr:col>
      <xdr:colOff>62755</xdr:colOff>
      <xdr:row>0</xdr:row>
      <xdr:rowOff>89647</xdr:rowOff>
    </xdr:from>
    <xdr:to>
      <xdr:col>4</xdr:col>
      <xdr:colOff>291357</xdr:colOff>
      <xdr:row>1</xdr:row>
      <xdr:rowOff>22412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8F2DAE94-7D86-FDB2-2990-DE85160A90A8}"/>
            </a:ext>
          </a:extLst>
        </xdr:cNvPr>
        <xdr:cNvGrpSpPr/>
      </xdr:nvGrpSpPr>
      <xdr:grpSpPr>
        <a:xfrm>
          <a:off x="264461" y="89647"/>
          <a:ext cx="1909484" cy="481853"/>
          <a:chOff x="259979" y="89647"/>
          <a:chExt cx="1958790" cy="488577"/>
        </a:xfrm>
      </xdr:grpSpPr>
      <xdr:pic>
        <xdr:nvPicPr>
          <xdr:cNvPr id="23" name="Gráfico 22" descr="Grupo de hombres con relleno sólido">
            <a:hlinkClick xmlns:r="http://schemas.openxmlformats.org/officeDocument/2006/relationships" r:id="rId5" tooltip="CLIENTES"/>
            <a:extLst>
              <a:ext uri="{FF2B5EF4-FFF2-40B4-BE49-F238E27FC236}">
                <a16:creationId xmlns:a16="http://schemas.microsoft.com/office/drawing/2014/main" id="{2FABDCBD-5290-4DDD-D5A9-AC9E28CBD8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rcRect/>
          <a:stretch/>
        </xdr:blipFill>
        <xdr:spPr>
          <a:xfrm>
            <a:off x="259979" y="89647"/>
            <a:ext cx="479613" cy="479613"/>
          </a:xfrm>
          <a:prstGeom prst="rect">
            <a:avLst/>
          </a:prstGeom>
        </xdr:spPr>
      </xdr:pic>
      <xdr:pic>
        <xdr:nvPicPr>
          <xdr:cNvPr id="24" name="Gráfico 23" descr="Lista con relleno sólido">
            <a:hlinkClick xmlns:r="http://schemas.openxmlformats.org/officeDocument/2006/relationships" r:id="rId8" tooltip="DOCUMENTOS"/>
            <a:extLst>
              <a:ext uri="{FF2B5EF4-FFF2-40B4-BE49-F238E27FC236}">
                <a16:creationId xmlns:a16="http://schemas.microsoft.com/office/drawing/2014/main" id="{BD2B751E-3E57-96E7-D072-9A6ADA3BF6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rcRect/>
          <a:stretch/>
        </xdr:blipFill>
        <xdr:spPr>
          <a:xfrm>
            <a:off x="815790" y="98611"/>
            <a:ext cx="479613" cy="479613"/>
          </a:xfrm>
          <a:prstGeom prst="rect">
            <a:avLst/>
          </a:prstGeom>
        </xdr:spPr>
      </xdr:pic>
      <xdr:pic>
        <xdr:nvPicPr>
          <xdr:cNvPr id="25" name="Gráfico 24" descr="Dólar con relleno sólido">
            <a:hlinkClick xmlns:r="http://schemas.openxmlformats.org/officeDocument/2006/relationships" r:id="rId11" tooltip="ABONOS"/>
            <a:extLst>
              <a:ext uri="{FF2B5EF4-FFF2-40B4-BE49-F238E27FC236}">
                <a16:creationId xmlns:a16="http://schemas.microsoft.com/office/drawing/2014/main" id="{D6BB4320-9091-010E-553F-7F5F129AD2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1281954" y="98611"/>
            <a:ext cx="479613" cy="479613"/>
          </a:xfrm>
          <a:prstGeom prst="rect">
            <a:avLst/>
          </a:prstGeom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</xdr:pic>
      <xdr:pic>
        <xdr:nvPicPr>
          <xdr:cNvPr id="26" name="Gráfico 25" descr="Gráfico de barras con relleno sólido">
            <a:hlinkClick xmlns:r="http://schemas.openxmlformats.org/officeDocument/2006/relationships" r:id="rId14" tooltip="REPORTE"/>
            <a:extLst>
              <a:ext uri="{FF2B5EF4-FFF2-40B4-BE49-F238E27FC236}">
                <a16:creationId xmlns:a16="http://schemas.microsoft.com/office/drawing/2014/main" id="{F19A0389-38E9-4F74-FA46-FB113307BC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rcRect/>
          <a:stretch/>
        </xdr:blipFill>
        <xdr:spPr>
          <a:xfrm>
            <a:off x="1739156" y="98609"/>
            <a:ext cx="479613" cy="479613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324971</xdr:colOff>
      <xdr:row>4</xdr:row>
      <xdr:rowOff>44824</xdr:rowOff>
    </xdr:from>
    <xdr:to>
      <xdr:col>4</xdr:col>
      <xdr:colOff>33618</xdr:colOff>
      <xdr:row>6</xdr:row>
      <xdr:rowOff>143473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94D8E73-56EA-43A7-B8B2-6D641FF1A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677" y="1053353"/>
          <a:ext cx="1389529" cy="479649"/>
        </a:xfrm>
        <a:prstGeom prst="rect">
          <a:avLst/>
        </a:prstGeom>
      </xdr:spPr>
    </xdr:pic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NICIAL" xr10:uid="{98B8A502-40E7-45E3-BA99-ADBB414BBDE3}" sourceName="INICIAL">
  <extLst>
    <x:ext xmlns:x15="http://schemas.microsoft.com/office/spreadsheetml/2010/11/main" uri="{2F2917AC-EB37-4324-AD4E-5DD8C200BD13}">
      <x15:tableSlicerCache tableId="1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_DE_PAGO" xr10:uid="{A8C001E9-FD5B-4928-808C-AA749D453F21}" sourceName="ESTADO DE PAGO">
  <extLst>
    <x:ext xmlns:x15="http://schemas.microsoft.com/office/spreadsheetml/2010/11/main" uri="{2F2917AC-EB37-4324-AD4E-5DD8C200BD13}">
      <x15:tableSlicerCache tableId="2" column="1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ICIAL" xr10:uid="{3D1C63F5-4D57-42EF-8A18-50FE0F80F40F}" cache="SegmentaciónDeDatos_INICIAL" columnCount="26" style="Estilo de segmentación de datos 1" rowHeight="2222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DO DE PAGO" xr10:uid="{BF952812-7AB3-440A-96F4-809DC08BBC43}" cache="SegmentaciónDeDatos_ESTADO_DE_PAGO" caption="ESTADO DE PAGO" style="Estilo de segmentación de datos 1 2" rowHeight="23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DD32D-0162-43EE-90C6-ECE4CE3701E4}" name="Tabla_Proveedores" displayName="Tabla_Proveedores" ref="B11:F403" totalsRowShown="0" headerRowDxfId="41" dataDxfId="40">
  <autoFilter ref="B11:F403" xr:uid="{6202CA19-D6F4-4066-903F-15B84210BF98}"/>
  <sortState xmlns:xlrd2="http://schemas.microsoft.com/office/spreadsheetml/2017/richdata2" ref="B11:E12">
    <sortCondition ref="B11"/>
  </sortState>
  <tableColumns count="5">
    <tableColumn id="2" xr3:uid="{7A8A56CD-693C-4BB4-A249-CBDAE4744CB6}" name="RUT" dataDxfId="39"/>
    <tableColumn id="3" xr3:uid="{1BA5BECB-0002-459A-B952-32650A32279C}" name="CLIENTE" dataDxfId="38"/>
    <tableColumn id="5" xr3:uid="{2286F9F4-B58C-4049-8E0E-F424C486AB0A}" name="CELULAR" dataDxfId="37"/>
    <tableColumn id="6" xr3:uid="{13E6515D-7491-4B6E-9B36-27701678C3E3}" name="PERSONA CLAVE" dataDxfId="36"/>
    <tableColumn id="1" xr3:uid="{862777EB-5E6E-4CE6-9A90-A1BD35FFB842}" name="INICIAL" dataDxfId="35">
      <calculatedColumnFormula>LEFT(C12)</calculatedColumnFormula>
    </tableColumn>
  </tableColumns>
  <tableStyleInfo name="Estilo de tabla 1 2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BC8A69-77AA-438C-A01A-1029FE85D245}" name="Tabla_Documentos" displayName="Tabla_Documentos" ref="B11:O1108" totalsRowShown="0" headerRowDxfId="34" dataDxfId="33">
  <autoFilter ref="B11:O1108" xr:uid="{6202CA19-D6F4-4066-903F-15B84210BF98}"/>
  <sortState xmlns:xlrd2="http://schemas.microsoft.com/office/spreadsheetml/2017/richdata2" ref="B12:O551">
    <sortCondition ref="B11:B551"/>
  </sortState>
  <tableColumns count="14">
    <tableColumn id="4" xr3:uid="{C3ADC7DF-B332-44D8-BD14-6811AD7AF2CD}" name="NRO DOC" dataDxfId="32"/>
    <tableColumn id="5" xr3:uid="{3B75C917-2DE8-43E0-B391-B6B3FDF827E2}" name="FECHA DE EMISIÓN" dataDxfId="31"/>
    <tableColumn id="2" xr3:uid="{D130AF19-6F39-4F82-A75D-76EFDBE932DE}" name="RUT" dataDxfId="30"/>
    <tableColumn id="3" xr3:uid="{9065BE97-D808-48B7-B9F2-498032025B99}" name="CLIENTE" dataDxfId="29">
      <calculatedColumnFormula>IFERROR(VLOOKUP(D12,CLIENTES!$B$12:$G$2602,2,FALSE),"")</calculatedColumnFormula>
    </tableColumn>
    <tableColumn id="6" xr3:uid="{B5E75490-4A21-44FF-A0C0-80A7936B2E16}" name="IMPORTE A COBRAR" dataDxfId="28" dataCellStyle="Millares"/>
    <tableColumn id="12" xr3:uid="{B4172B58-DAC6-423F-B0D9-243E222CE354}" name="TIPO" dataDxfId="27" dataCellStyle="Millares"/>
    <tableColumn id="16" xr3:uid="{FEA5EF1F-EF4C-4A52-B843-F5D561D9D247}" name="DÍAS DE CRÉDITO" dataDxfId="26" dataCellStyle="Millares"/>
    <tableColumn id="11" xr3:uid="{4D886F79-8DC7-4C97-93C6-532067321C4A}" name="CONDICIÓN DE PAGO" dataDxfId="25" dataCellStyle="Millares">
      <calculatedColumnFormula>IF(H12="","",IF(H12=0,"Contado","Crédito"))</calculatedColumnFormula>
    </tableColumn>
    <tableColumn id="10" xr3:uid="{D6D98FB9-4992-47CB-B59A-BCD2387229EC}" name="FECHA DE VENCIMIENTO" dataDxfId="24" dataCellStyle="Millares">
      <calculatedColumnFormula>IF(I12="","",C12+H12)</calculatedColumnFormula>
    </tableColumn>
    <tableColumn id="13" xr3:uid="{6F684846-6D6E-4F6B-8C54-76769F0438EC}" name="DÍAS POR VENCER" dataDxfId="23" dataCellStyle="Millares">
      <calculatedColumnFormula>IFERROR(IF(B12="","",IF(N12=0,0,J12-TODAY())),"")</calculatedColumnFormula>
    </tableColumn>
    <tableColumn id="14" xr3:uid="{00F7C2B0-1E75-4E54-951E-9DF2E67ABD10}" name="ESTADO DE PAGO" dataDxfId="22" dataCellStyle="Millares">
      <calculatedColumnFormula>IF(I12="","",IF(N12=0,"Pagado",IF(K12&lt;0,"Vencido","No vencido")))</calculatedColumnFormula>
    </tableColumn>
    <tableColumn id="8" xr3:uid="{E51CD415-53FD-4A46-9817-E27816720D95}" name="IMPORTE ABONADO" dataDxfId="21" dataCellStyle="Millares">
      <calculatedColumnFormula>SUMIFS(Tabla_Pagos[IMPORTE ABONADO],Tabla_Pagos[FECHA DE ABONO],"&gt;0",Tabla_Pagos[NRO DOC],B12)</calculatedColumnFormula>
    </tableColumn>
    <tableColumn id="9" xr3:uid="{860D6B9D-B7EA-413D-8100-C42E8CE372C1}" name="IMPORTE POR COBRAR" dataDxfId="20" dataCellStyle="Millares">
      <calculatedColumnFormula>F12-M12</calculatedColumnFormula>
    </tableColumn>
    <tableColumn id="15" xr3:uid="{C2688EA8-ABE6-49C9-A6C3-4AFCFA9FDC41}" name="FECHA DE ULTIMO ABONO" dataDxfId="19" dataCellStyle="Millares">
      <calculatedColumnFormula array="1">MAX(IF((Tabla_Pagos[NRO DOC]=B12)*(Tabla_Pagos[IMPORTE ABONADO]&gt;0),Tabla_Pagos[FECHA DE ABONO]))</calculatedColumnFormula>
    </tableColumn>
  </tableColumns>
  <tableStyleInfo name="TableStyleLight8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8D0C73-E2D4-4B12-8B31-D4DCB67ADC61}" name="Tabla_Pagos" displayName="Tabla_Pagos" ref="C11:J1043" totalsRowShown="0" headerRowDxfId="18" dataDxfId="17">
  <autoFilter ref="C11:J1043" xr:uid="{6202CA19-D6F4-4066-903F-15B84210BF98}"/>
  <sortState xmlns:xlrd2="http://schemas.microsoft.com/office/spreadsheetml/2017/richdata2" ref="C12:J820">
    <sortCondition ref="C11:C820"/>
  </sortState>
  <tableColumns count="8">
    <tableColumn id="4" xr3:uid="{B25A63D4-10FE-4222-AA8B-DBFBC84490EC}" name="NRO DOC" dataDxfId="16"/>
    <tableColumn id="5" xr3:uid="{2910C77F-2DBE-41F6-AB26-516E65579B09}" name="FECHA DE EMISIÓN" dataDxfId="15">
      <calculatedColumnFormula>IFERROR(VLOOKUP($C12,Tabla_Documentos[],2,FALSE),"")</calculatedColumnFormula>
    </tableColumn>
    <tableColumn id="2" xr3:uid="{8FEDEF1A-BD3E-4D46-A466-57D482B436B4}" name="COD CLIENTE" dataDxfId="14">
      <calculatedColumnFormula>IFERROR(VLOOKUP($C12,Tabla_Documentos[],3,FALSE),"")</calculatedColumnFormula>
    </tableColumn>
    <tableColumn id="3" xr3:uid="{6C336C86-C27B-42D1-8538-6CD7C5D24B1B}" name="CLIENTE" dataDxfId="13">
      <calculatedColumnFormula>IFERROR(VLOOKUP($C12,Tabla_Documentos[],4,FALSE),"")</calculatedColumnFormula>
    </tableColumn>
    <tableColumn id="6" xr3:uid="{EC2383D4-63B6-4E5B-A751-90D4E6931FEE}" name="IMPORTE DEL DOC." dataDxfId="12" dataCellStyle="Millares">
      <calculatedColumnFormula>IFERROR(VLOOKUP($C12,Tabla_Documentos[],5,FALSE),"")</calculatedColumnFormula>
    </tableColumn>
    <tableColumn id="12" xr3:uid="{EF848F3F-2DB8-41FE-91BC-CB7ACA7978D5}" name="GLOSA" dataDxfId="11" dataCellStyle="Millares">
      <calculatedColumnFormula>IFERROR(VLOOKUP($C12,Tabla_Documentos[],6,FALSE),"")</calculatedColumnFormula>
    </tableColumn>
    <tableColumn id="9" xr3:uid="{718C13B4-4381-494A-86E7-D668813C0BB5}" name="IMPORTE ABONADO" dataDxfId="10" dataCellStyle="Millares">
      <calculatedColumnFormula>IFERROR(VLOOKUP($C12,Tabla_Documentos[],5,FALSE),"")</calculatedColumnFormula>
    </tableColumn>
    <tableColumn id="15" xr3:uid="{BA9B331F-0638-4699-B120-68187EC1F101}" name="FECHA DE ABONO" dataDxfId="9" dataCellStyle="Millares"/>
  </tableColumns>
  <tableStyleInfo name="Estilo de tabla 1 2 2"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Verde amarillo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F7B6-C42C-4DB6-8415-D7ED13B5EE7C}">
  <sheetPr codeName="Hoja1">
    <tabColor theme="9" tint="-0.499984740745262"/>
  </sheetPr>
  <dimension ref="B1:F403"/>
  <sheetViews>
    <sheetView showGridLines="0" zoomScaleNormal="100" workbookViewId="0">
      <pane ySplit="11" topLeftCell="A291" activePane="bottomLeft" state="frozen"/>
      <selection activeCell="B3" sqref="B3"/>
      <selection pane="bottomLeft" activeCell="C403" sqref="C12:C403"/>
    </sheetView>
  </sheetViews>
  <sheetFormatPr baseColWidth="10" defaultColWidth="13.7109375" defaultRowHeight="21" customHeight="1" x14ac:dyDescent="0.25"/>
  <cols>
    <col min="1" max="1" width="2.28515625" customWidth="1"/>
    <col min="2" max="2" width="14.28515625" style="17" customWidth="1"/>
    <col min="3" max="3" width="74.85546875" style="17" bestFit="1" customWidth="1"/>
    <col min="4" max="4" width="31.42578125" style="17" customWidth="1"/>
    <col min="5" max="5" width="68.85546875" style="17" customWidth="1"/>
    <col min="6" max="6" width="11.5703125" bestFit="1" customWidth="1"/>
    <col min="7" max="7" width="2.28515625" customWidth="1"/>
  </cols>
  <sheetData>
    <row r="1" spans="2:6" ht="43.9" customHeight="1" x14ac:dyDescent="0.25">
      <c r="B1"/>
      <c r="C1"/>
      <c r="D1"/>
      <c r="E1"/>
    </row>
    <row r="2" spans="2:6" ht="6" customHeight="1" x14ac:dyDescent="0.25">
      <c r="B2"/>
      <c r="C2"/>
      <c r="D2"/>
      <c r="E2"/>
    </row>
    <row r="3" spans="2:6" ht="15" x14ac:dyDescent="0.25">
      <c r="B3"/>
      <c r="C3"/>
      <c r="D3"/>
      <c r="E3"/>
    </row>
    <row r="4" spans="2:6" ht="15" x14ac:dyDescent="0.25">
      <c r="B4"/>
      <c r="C4">
        <f>SUBTOTAL(3,C12:C2351)</f>
        <v>392</v>
      </c>
      <c r="D4"/>
      <c r="E4"/>
    </row>
    <row r="5" spans="2:6" ht="15" x14ac:dyDescent="0.25">
      <c r="B5"/>
      <c r="C5"/>
      <c r="D5"/>
      <c r="E5"/>
    </row>
    <row r="6" spans="2:6" ht="15" x14ac:dyDescent="0.25">
      <c r="B6"/>
      <c r="C6"/>
      <c r="D6"/>
      <c r="E6"/>
    </row>
    <row r="7" spans="2:6" ht="15" x14ac:dyDescent="0.25">
      <c r="B7"/>
      <c r="C7"/>
      <c r="D7"/>
      <c r="E7"/>
    </row>
    <row r="8" spans="2:6" ht="15" x14ac:dyDescent="0.25">
      <c r="B8"/>
      <c r="C8"/>
      <c r="D8"/>
      <c r="E8"/>
    </row>
    <row r="9" spans="2:6" ht="15" x14ac:dyDescent="0.25">
      <c r="B9"/>
      <c r="C9"/>
      <c r="D9"/>
      <c r="E9"/>
    </row>
    <row r="10" spans="2:6" ht="3" customHeight="1" x14ac:dyDescent="0.25">
      <c r="B10" s="1"/>
      <c r="C10" s="1"/>
      <c r="D10" s="1"/>
      <c r="E10" s="1"/>
      <c r="F10" s="1"/>
    </row>
    <row r="11" spans="2:6" ht="30" customHeight="1" x14ac:dyDescent="0.25">
      <c r="B11" s="30" t="s">
        <v>26</v>
      </c>
      <c r="C11" s="30" t="s">
        <v>18</v>
      </c>
      <c r="D11" s="30" t="s">
        <v>0</v>
      </c>
      <c r="E11" s="30" t="s">
        <v>544</v>
      </c>
      <c r="F11" s="2" t="s">
        <v>1</v>
      </c>
    </row>
    <row r="12" spans="2:6" ht="21" customHeight="1" x14ac:dyDescent="0.25">
      <c r="B12" s="18" t="s">
        <v>24</v>
      </c>
      <c r="C12" s="19" t="s">
        <v>25</v>
      </c>
      <c r="D12" s="18"/>
      <c r="E12" s="19"/>
      <c r="F12" s="33" t="str">
        <f t="shared" ref="F12:F42" si="0">LEFT(C12)</f>
        <v>W</v>
      </c>
    </row>
    <row r="13" spans="2:6" ht="21" customHeight="1" x14ac:dyDescent="0.25">
      <c r="B13" s="18" t="s">
        <v>27</v>
      </c>
      <c r="C13" s="19" t="s">
        <v>28</v>
      </c>
      <c r="D13" s="18"/>
      <c r="E13" s="19"/>
      <c r="F13" s="33" t="str">
        <f t="shared" si="0"/>
        <v>L</v>
      </c>
    </row>
    <row r="14" spans="2:6" ht="21" customHeight="1" x14ac:dyDescent="0.25">
      <c r="B14" s="18" t="s">
        <v>29</v>
      </c>
      <c r="C14" s="19" t="s">
        <v>30</v>
      </c>
      <c r="D14" s="18"/>
      <c r="E14" s="19"/>
      <c r="F14" s="33" t="str">
        <f t="shared" si="0"/>
        <v>F</v>
      </c>
    </row>
    <row r="15" spans="2:6" ht="21" customHeight="1" x14ac:dyDescent="0.25">
      <c r="B15" s="18" t="s">
        <v>31</v>
      </c>
      <c r="C15" s="19" t="s">
        <v>66</v>
      </c>
      <c r="D15" s="18"/>
      <c r="E15" s="19"/>
      <c r="F15" s="33" t="str">
        <f t="shared" si="0"/>
        <v>K</v>
      </c>
    </row>
    <row r="16" spans="2:6" ht="21" customHeight="1" x14ac:dyDescent="0.25">
      <c r="B16" s="18" t="s">
        <v>32</v>
      </c>
      <c r="C16" s="19" t="s">
        <v>67</v>
      </c>
      <c r="D16" s="18"/>
      <c r="E16" s="19"/>
      <c r="F16" s="33" t="str">
        <f t="shared" si="0"/>
        <v>A</v>
      </c>
    </row>
    <row r="17" spans="2:6" ht="21" customHeight="1" x14ac:dyDescent="0.25">
      <c r="B17" s="18" t="s">
        <v>33</v>
      </c>
      <c r="C17" s="19" t="s">
        <v>68</v>
      </c>
      <c r="D17" s="18"/>
      <c r="E17" s="19"/>
      <c r="F17" s="33" t="str">
        <f t="shared" si="0"/>
        <v>J</v>
      </c>
    </row>
    <row r="18" spans="2:6" ht="21" customHeight="1" x14ac:dyDescent="0.25">
      <c r="B18" s="18" t="s">
        <v>34</v>
      </c>
      <c r="C18" s="19" t="s">
        <v>69</v>
      </c>
      <c r="D18" s="18"/>
      <c r="E18" s="19"/>
      <c r="F18" s="33" t="str">
        <f t="shared" si="0"/>
        <v>S</v>
      </c>
    </row>
    <row r="19" spans="2:6" ht="21" customHeight="1" x14ac:dyDescent="0.25">
      <c r="B19" s="18" t="s">
        <v>35</v>
      </c>
      <c r="C19" s="19" t="s">
        <v>70</v>
      </c>
      <c r="D19" s="18"/>
      <c r="E19" s="19"/>
      <c r="F19" s="33" t="str">
        <f t="shared" si="0"/>
        <v>S</v>
      </c>
    </row>
    <row r="20" spans="2:6" ht="21" customHeight="1" x14ac:dyDescent="0.25">
      <c r="B20" s="18" t="s">
        <v>36</v>
      </c>
      <c r="C20" s="19" t="s">
        <v>71</v>
      </c>
      <c r="D20" s="18"/>
      <c r="E20" s="19"/>
      <c r="F20" s="33" t="str">
        <f t="shared" si="0"/>
        <v>L</v>
      </c>
    </row>
    <row r="21" spans="2:6" ht="21" customHeight="1" x14ac:dyDescent="0.25">
      <c r="B21" s="18" t="s">
        <v>37</v>
      </c>
      <c r="C21" s="19" t="s">
        <v>72</v>
      </c>
      <c r="D21" s="18"/>
      <c r="E21" s="19"/>
      <c r="F21" s="33" t="str">
        <f t="shared" si="0"/>
        <v>A</v>
      </c>
    </row>
    <row r="22" spans="2:6" ht="21" customHeight="1" x14ac:dyDescent="0.25">
      <c r="B22" s="18" t="s">
        <v>38</v>
      </c>
      <c r="C22" s="19" t="s">
        <v>73</v>
      </c>
      <c r="D22" s="18"/>
      <c r="E22" s="19"/>
      <c r="F22" s="33" t="str">
        <f t="shared" si="0"/>
        <v>C</v>
      </c>
    </row>
    <row r="23" spans="2:6" ht="21" customHeight="1" x14ac:dyDescent="0.25">
      <c r="B23" s="18" t="s">
        <v>39</v>
      </c>
      <c r="C23" s="19" t="s">
        <v>74</v>
      </c>
      <c r="D23" s="18"/>
      <c r="E23" s="19"/>
      <c r="F23" s="33" t="str">
        <f t="shared" si="0"/>
        <v>P</v>
      </c>
    </row>
    <row r="24" spans="2:6" ht="21" customHeight="1" x14ac:dyDescent="0.25">
      <c r="B24" s="18" t="s">
        <v>40</v>
      </c>
      <c r="C24" s="19" t="s">
        <v>75</v>
      </c>
      <c r="D24" s="18"/>
      <c r="E24" s="19"/>
      <c r="F24" s="33" t="str">
        <f t="shared" si="0"/>
        <v>I</v>
      </c>
    </row>
    <row r="25" spans="2:6" ht="21" customHeight="1" x14ac:dyDescent="0.25">
      <c r="B25" s="18" t="s">
        <v>41</v>
      </c>
      <c r="C25" s="19" t="s">
        <v>76</v>
      </c>
      <c r="D25" s="18"/>
      <c r="E25" s="19"/>
      <c r="F25" s="33" t="str">
        <f t="shared" si="0"/>
        <v>T</v>
      </c>
    </row>
    <row r="26" spans="2:6" ht="21" customHeight="1" x14ac:dyDescent="0.25">
      <c r="B26" s="18" t="s">
        <v>42</v>
      </c>
      <c r="C26" s="19" t="s">
        <v>77</v>
      </c>
      <c r="D26" s="18"/>
      <c r="E26" s="19"/>
      <c r="F26" s="33" t="str">
        <f t="shared" si="0"/>
        <v>C</v>
      </c>
    </row>
    <row r="27" spans="2:6" ht="21" customHeight="1" x14ac:dyDescent="0.25">
      <c r="B27" s="18" t="s">
        <v>43</v>
      </c>
      <c r="C27" s="19" t="s">
        <v>99</v>
      </c>
      <c r="D27" s="18"/>
      <c r="E27" s="19"/>
      <c r="F27" s="33" t="str">
        <f t="shared" si="0"/>
        <v>S</v>
      </c>
    </row>
    <row r="28" spans="2:6" ht="21" customHeight="1" x14ac:dyDescent="0.25">
      <c r="B28" s="18" t="s">
        <v>44</v>
      </c>
      <c r="C28" s="19" t="s">
        <v>78</v>
      </c>
      <c r="D28" s="18"/>
      <c r="E28" s="19"/>
      <c r="F28" s="33" t="str">
        <f t="shared" si="0"/>
        <v>S</v>
      </c>
    </row>
    <row r="29" spans="2:6" ht="21" customHeight="1" x14ac:dyDescent="0.25">
      <c r="B29" s="18" t="s">
        <v>45</v>
      </c>
      <c r="C29" s="19" t="s">
        <v>79</v>
      </c>
      <c r="D29" s="18"/>
      <c r="E29" s="19"/>
      <c r="F29" s="33" t="str">
        <f t="shared" si="0"/>
        <v>I</v>
      </c>
    </row>
    <row r="30" spans="2:6" ht="21" customHeight="1" x14ac:dyDescent="0.25">
      <c r="B30" s="18" t="s">
        <v>46</v>
      </c>
      <c r="C30" s="19" t="s">
        <v>80</v>
      </c>
      <c r="D30" s="18"/>
      <c r="E30" s="19"/>
      <c r="F30" s="33" t="str">
        <f t="shared" si="0"/>
        <v>A</v>
      </c>
    </row>
    <row r="31" spans="2:6" ht="21" customHeight="1" x14ac:dyDescent="0.25">
      <c r="B31" s="18" t="s">
        <v>47</v>
      </c>
      <c r="C31" s="19" t="s">
        <v>81</v>
      </c>
      <c r="D31" s="18"/>
      <c r="E31" s="19"/>
      <c r="F31" s="33" t="str">
        <f t="shared" si="0"/>
        <v>P</v>
      </c>
    </row>
    <row r="32" spans="2:6" ht="21" customHeight="1" x14ac:dyDescent="0.25">
      <c r="B32" s="18" t="s">
        <v>48</v>
      </c>
      <c r="C32" s="19" t="s">
        <v>82</v>
      </c>
      <c r="D32" s="18"/>
      <c r="E32" s="19"/>
      <c r="F32" s="33" t="str">
        <f t="shared" si="0"/>
        <v>R</v>
      </c>
    </row>
    <row r="33" spans="2:6" ht="21" customHeight="1" x14ac:dyDescent="0.25">
      <c r="B33" s="18" t="s">
        <v>49</v>
      </c>
      <c r="C33" s="19" t="s">
        <v>83</v>
      </c>
      <c r="D33" s="18"/>
      <c r="E33" s="19"/>
      <c r="F33" s="33" t="str">
        <f t="shared" si="0"/>
        <v>M</v>
      </c>
    </row>
    <row r="34" spans="2:6" ht="21" customHeight="1" x14ac:dyDescent="0.25">
      <c r="B34" s="18" t="s">
        <v>50</v>
      </c>
      <c r="C34" s="19" t="s">
        <v>84</v>
      </c>
      <c r="D34" s="18"/>
      <c r="E34" s="19"/>
      <c r="F34" s="33" t="str">
        <f t="shared" si="0"/>
        <v>C</v>
      </c>
    </row>
    <row r="35" spans="2:6" ht="21" customHeight="1" x14ac:dyDescent="0.25">
      <c r="B35" s="18" t="s">
        <v>51</v>
      </c>
      <c r="C35" s="19" t="s">
        <v>85</v>
      </c>
      <c r="D35" s="18"/>
      <c r="E35" s="19"/>
      <c r="F35" s="33" t="str">
        <f t="shared" si="0"/>
        <v>A</v>
      </c>
    </row>
    <row r="36" spans="2:6" ht="21" customHeight="1" x14ac:dyDescent="0.25">
      <c r="B36" s="18" t="s">
        <v>52</v>
      </c>
      <c r="C36" s="19" t="s">
        <v>86</v>
      </c>
      <c r="D36" s="18"/>
      <c r="E36" s="19"/>
      <c r="F36" s="33" t="str">
        <f t="shared" si="0"/>
        <v>P</v>
      </c>
    </row>
    <row r="37" spans="2:6" ht="21" customHeight="1" x14ac:dyDescent="0.25">
      <c r="B37" s="18" t="s">
        <v>53</v>
      </c>
      <c r="C37" s="19" t="s">
        <v>87</v>
      </c>
      <c r="D37" s="18"/>
      <c r="E37" s="19"/>
      <c r="F37" s="33" t="str">
        <f t="shared" si="0"/>
        <v>S</v>
      </c>
    </row>
    <row r="38" spans="2:6" ht="21" customHeight="1" x14ac:dyDescent="0.25">
      <c r="B38" s="18" t="s">
        <v>54</v>
      </c>
      <c r="C38" s="19" t="s">
        <v>88</v>
      </c>
      <c r="D38" s="18"/>
      <c r="E38" s="19"/>
      <c r="F38" s="33" t="str">
        <f t="shared" si="0"/>
        <v>A</v>
      </c>
    </row>
    <row r="39" spans="2:6" ht="21" customHeight="1" x14ac:dyDescent="0.25">
      <c r="B39" s="18" t="s">
        <v>55</v>
      </c>
      <c r="C39" s="19" t="s">
        <v>89</v>
      </c>
      <c r="D39" s="18"/>
      <c r="E39" s="19"/>
      <c r="F39" s="33" t="str">
        <f t="shared" si="0"/>
        <v>M</v>
      </c>
    </row>
    <row r="40" spans="2:6" ht="21" customHeight="1" x14ac:dyDescent="0.25">
      <c r="B40" s="18" t="s">
        <v>56</v>
      </c>
      <c r="C40" s="19" t="s">
        <v>90</v>
      </c>
      <c r="D40" s="18"/>
      <c r="E40" s="19"/>
      <c r="F40" s="33" t="str">
        <f t="shared" si="0"/>
        <v>J</v>
      </c>
    </row>
    <row r="41" spans="2:6" ht="21" customHeight="1" x14ac:dyDescent="0.25">
      <c r="B41" s="18" t="s">
        <v>57</v>
      </c>
      <c r="C41" s="19" t="s">
        <v>91</v>
      </c>
      <c r="D41" s="18"/>
      <c r="E41" s="19"/>
      <c r="F41" s="33" t="str">
        <f t="shared" si="0"/>
        <v>E</v>
      </c>
    </row>
    <row r="42" spans="2:6" ht="21" customHeight="1" x14ac:dyDescent="0.25">
      <c r="B42" s="18" t="s">
        <v>58</v>
      </c>
      <c r="C42" s="19" t="s">
        <v>92</v>
      </c>
      <c r="D42" s="18"/>
      <c r="E42" s="19"/>
      <c r="F42" s="33" t="str">
        <f t="shared" si="0"/>
        <v>Z</v>
      </c>
    </row>
    <row r="43" spans="2:6" ht="21" customHeight="1" x14ac:dyDescent="0.25">
      <c r="B43" s="18" t="s">
        <v>59</v>
      </c>
      <c r="C43" s="19" t="s">
        <v>93</v>
      </c>
      <c r="D43" s="18"/>
      <c r="E43" s="19"/>
      <c r="F43" s="33" t="str">
        <f t="shared" ref="F43:F63" si="1">LEFT(C43)</f>
        <v>D</v>
      </c>
    </row>
    <row r="44" spans="2:6" ht="21" customHeight="1" x14ac:dyDescent="0.25">
      <c r="B44" s="18" t="s">
        <v>60</v>
      </c>
      <c r="C44" s="19" t="s">
        <v>94</v>
      </c>
      <c r="D44" s="18"/>
      <c r="E44" s="19"/>
      <c r="F44" s="33" t="str">
        <f t="shared" si="1"/>
        <v>C</v>
      </c>
    </row>
    <row r="45" spans="2:6" ht="21" customHeight="1" x14ac:dyDescent="0.25">
      <c r="B45" s="18" t="s">
        <v>61</v>
      </c>
      <c r="C45" s="19" t="s">
        <v>100</v>
      </c>
      <c r="D45" s="18"/>
      <c r="E45" s="19"/>
      <c r="F45" s="33" t="str">
        <f t="shared" si="1"/>
        <v>I</v>
      </c>
    </row>
    <row r="46" spans="2:6" ht="21" customHeight="1" x14ac:dyDescent="0.25">
      <c r="B46" s="18" t="s">
        <v>62</v>
      </c>
      <c r="C46" s="19" t="s">
        <v>95</v>
      </c>
      <c r="D46" s="18"/>
      <c r="E46" s="19"/>
      <c r="F46" s="33" t="str">
        <f t="shared" si="1"/>
        <v>S</v>
      </c>
    </row>
    <row r="47" spans="2:6" ht="21" customHeight="1" x14ac:dyDescent="0.25">
      <c r="B47" s="18" t="s">
        <v>63</v>
      </c>
      <c r="C47" s="19" t="s">
        <v>96</v>
      </c>
      <c r="D47" s="18"/>
      <c r="E47" s="19"/>
      <c r="F47" s="33" t="str">
        <f t="shared" si="1"/>
        <v>M</v>
      </c>
    </row>
    <row r="48" spans="2:6" ht="21" customHeight="1" x14ac:dyDescent="0.25">
      <c r="B48" s="18" t="s">
        <v>64</v>
      </c>
      <c r="C48" s="19" t="s">
        <v>97</v>
      </c>
      <c r="D48" s="18"/>
      <c r="E48" s="19"/>
      <c r="F48" s="33" t="str">
        <f t="shared" si="1"/>
        <v>S</v>
      </c>
    </row>
    <row r="49" spans="2:6" ht="21" customHeight="1" x14ac:dyDescent="0.25">
      <c r="B49" s="18" t="s">
        <v>65</v>
      </c>
      <c r="C49" s="19" t="s">
        <v>98</v>
      </c>
      <c r="D49" s="18"/>
      <c r="E49" s="19"/>
      <c r="F49" s="33" t="str">
        <f t="shared" si="1"/>
        <v>C</v>
      </c>
    </row>
    <row r="50" spans="2:6" ht="21" customHeight="1" x14ac:dyDescent="0.25">
      <c r="B50" s="18" t="s">
        <v>102</v>
      </c>
      <c r="C50" s="19" t="s">
        <v>128</v>
      </c>
      <c r="D50" s="18" t="s">
        <v>547</v>
      </c>
      <c r="E50" s="19" t="s">
        <v>548</v>
      </c>
      <c r="F50" s="33" t="str">
        <f t="shared" si="1"/>
        <v>C</v>
      </c>
    </row>
    <row r="51" spans="2:6" ht="21" customHeight="1" x14ac:dyDescent="0.25">
      <c r="B51" s="18" t="s">
        <v>103</v>
      </c>
      <c r="C51" s="19" t="s">
        <v>116</v>
      </c>
      <c r="D51" s="18"/>
      <c r="E51" s="19"/>
      <c r="F51" s="33" t="str">
        <f t="shared" si="1"/>
        <v>S</v>
      </c>
    </row>
    <row r="52" spans="2:6" ht="21" customHeight="1" x14ac:dyDescent="0.25">
      <c r="B52" s="18" t="s">
        <v>104</v>
      </c>
      <c r="C52" s="19" t="s">
        <v>117</v>
      </c>
      <c r="D52" s="18"/>
      <c r="E52" s="19"/>
      <c r="F52" s="33" t="str">
        <f t="shared" si="1"/>
        <v>S</v>
      </c>
    </row>
    <row r="53" spans="2:6" ht="21" customHeight="1" x14ac:dyDescent="0.25">
      <c r="B53" s="18" t="s">
        <v>105</v>
      </c>
      <c r="C53" s="19" t="s">
        <v>118</v>
      </c>
      <c r="D53" s="18"/>
      <c r="E53" s="19"/>
      <c r="F53" s="33" t="str">
        <f t="shared" si="1"/>
        <v>I</v>
      </c>
    </row>
    <row r="54" spans="2:6" ht="21" customHeight="1" x14ac:dyDescent="0.25">
      <c r="B54" s="18" t="s">
        <v>106</v>
      </c>
      <c r="C54" s="19" t="s">
        <v>119</v>
      </c>
      <c r="D54" s="18"/>
      <c r="E54" s="19"/>
      <c r="F54" s="33" t="str">
        <f t="shared" si="1"/>
        <v>C</v>
      </c>
    </row>
    <row r="55" spans="2:6" ht="21" customHeight="1" x14ac:dyDescent="0.25">
      <c r="B55" s="18" t="s">
        <v>107</v>
      </c>
      <c r="C55" s="19" t="s">
        <v>120</v>
      </c>
      <c r="D55" s="18"/>
      <c r="E55" s="19"/>
      <c r="F55" s="33" t="str">
        <f t="shared" si="1"/>
        <v>C</v>
      </c>
    </row>
    <row r="56" spans="2:6" ht="21" customHeight="1" x14ac:dyDescent="0.25">
      <c r="B56" s="18" t="s">
        <v>108</v>
      </c>
      <c r="C56" s="19" t="s">
        <v>121</v>
      </c>
      <c r="D56" s="18"/>
      <c r="E56" s="19"/>
      <c r="F56" s="33" t="str">
        <f t="shared" si="1"/>
        <v>I</v>
      </c>
    </row>
    <row r="57" spans="2:6" ht="21" customHeight="1" x14ac:dyDescent="0.25">
      <c r="B57" s="18" t="s">
        <v>109</v>
      </c>
      <c r="C57" s="19" t="s">
        <v>122</v>
      </c>
      <c r="D57" s="18"/>
      <c r="E57" s="19"/>
      <c r="F57" s="33" t="str">
        <f t="shared" si="1"/>
        <v>A</v>
      </c>
    </row>
    <row r="58" spans="2:6" ht="21" customHeight="1" x14ac:dyDescent="0.25">
      <c r="B58" s="18" t="s">
        <v>110</v>
      </c>
      <c r="C58" s="19" t="s">
        <v>123</v>
      </c>
      <c r="D58" s="18"/>
      <c r="E58" s="19"/>
      <c r="F58" s="33" t="str">
        <f t="shared" si="1"/>
        <v>S</v>
      </c>
    </row>
    <row r="59" spans="2:6" ht="21" customHeight="1" x14ac:dyDescent="0.25">
      <c r="B59" s="18" t="s">
        <v>111</v>
      </c>
      <c r="C59" s="19" t="s">
        <v>124</v>
      </c>
      <c r="D59" s="18"/>
      <c r="E59" s="19"/>
      <c r="F59" s="33" t="str">
        <f t="shared" si="1"/>
        <v>G</v>
      </c>
    </row>
    <row r="60" spans="2:6" ht="21" customHeight="1" x14ac:dyDescent="0.25">
      <c r="B60" s="18" t="s">
        <v>112</v>
      </c>
      <c r="C60" s="19" t="s">
        <v>129</v>
      </c>
      <c r="D60" s="18"/>
      <c r="E60" s="19"/>
      <c r="F60" s="33" t="str">
        <f t="shared" si="1"/>
        <v>S</v>
      </c>
    </row>
    <row r="61" spans="2:6" ht="21" customHeight="1" x14ac:dyDescent="0.25">
      <c r="B61" s="18" t="s">
        <v>113</v>
      </c>
      <c r="C61" s="19" t="s">
        <v>125</v>
      </c>
      <c r="D61" s="18"/>
      <c r="E61" s="19"/>
      <c r="F61" s="33" t="str">
        <f t="shared" si="1"/>
        <v>T</v>
      </c>
    </row>
    <row r="62" spans="2:6" ht="21" customHeight="1" x14ac:dyDescent="0.25">
      <c r="B62" s="18" t="s">
        <v>114</v>
      </c>
      <c r="C62" s="19" t="s">
        <v>126</v>
      </c>
      <c r="D62" s="18"/>
      <c r="E62" s="19"/>
      <c r="F62" s="33" t="str">
        <f t="shared" si="1"/>
        <v>O</v>
      </c>
    </row>
    <row r="63" spans="2:6" ht="21" customHeight="1" x14ac:dyDescent="0.25">
      <c r="B63" s="18" t="s">
        <v>115</v>
      </c>
      <c r="C63" s="19" t="s">
        <v>127</v>
      </c>
      <c r="D63" s="18"/>
      <c r="E63" s="19"/>
      <c r="F63" s="33" t="str">
        <f t="shared" si="1"/>
        <v>S</v>
      </c>
    </row>
    <row r="64" spans="2:6" ht="21" customHeight="1" x14ac:dyDescent="0.25">
      <c r="B64" s="18" t="s">
        <v>130</v>
      </c>
      <c r="C64" s="19" t="s">
        <v>131</v>
      </c>
      <c r="D64" s="18"/>
      <c r="E64" s="19"/>
      <c r="F64" s="33" t="str">
        <f>LEFT(C64)</f>
        <v>S</v>
      </c>
    </row>
    <row r="65" spans="2:6" ht="21" customHeight="1" x14ac:dyDescent="0.25">
      <c r="B65" s="18" t="s">
        <v>132</v>
      </c>
      <c r="C65" s="19" t="s">
        <v>133</v>
      </c>
      <c r="D65" s="18"/>
      <c r="E65" s="19"/>
      <c r="F65" s="33" t="str">
        <f>LEFT(C65)</f>
        <v>E</v>
      </c>
    </row>
    <row r="66" spans="2:6" ht="21" customHeight="1" x14ac:dyDescent="0.25">
      <c r="B66" s="18" t="s">
        <v>135</v>
      </c>
      <c r="C66" t="s">
        <v>138</v>
      </c>
      <c r="D66" s="18"/>
      <c r="E66" s="19"/>
      <c r="F66" s="33" t="str">
        <f>LEFT(C66)</f>
        <v>S</v>
      </c>
    </row>
    <row r="67" spans="2:6" ht="21" customHeight="1" x14ac:dyDescent="0.25">
      <c r="B67" s="18" t="s">
        <v>136</v>
      </c>
      <c r="C67" t="s">
        <v>139</v>
      </c>
      <c r="D67" s="18"/>
      <c r="E67" s="19"/>
      <c r="F67" s="33" t="str">
        <f>LEFT(C67)</f>
        <v>M</v>
      </c>
    </row>
    <row r="68" spans="2:6" ht="21" customHeight="1" x14ac:dyDescent="0.25">
      <c r="B68" s="18" t="s">
        <v>137</v>
      </c>
      <c r="C68" t="s">
        <v>140</v>
      </c>
      <c r="D68" s="18"/>
      <c r="E68" s="19"/>
      <c r="F68" s="33" t="str">
        <f>LEFT(C68)</f>
        <v>C</v>
      </c>
    </row>
    <row r="69" spans="2:6" ht="21" customHeight="1" x14ac:dyDescent="0.25">
      <c r="B69" s="18" t="s">
        <v>142</v>
      </c>
      <c r="C69" s="19" t="s">
        <v>141</v>
      </c>
      <c r="D69" s="18"/>
      <c r="E69" s="19"/>
      <c r="F69" s="33" t="str">
        <f t="shared" ref="F69:F74" si="2">LEFT(C69)</f>
        <v>I</v>
      </c>
    </row>
    <row r="70" spans="2:6" ht="21" customHeight="1" x14ac:dyDescent="0.25">
      <c r="B70" s="18" t="s">
        <v>143</v>
      </c>
      <c r="C70" s="19" t="s">
        <v>144</v>
      </c>
      <c r="D70" s="18"/>
      <c r="E70" s="19"/>
      <c r="F70" s="33" t="str">
        <f t="shared" si="2"/>
        <v>M</v>
      </c>
    </row>
    <row r="71" spans="2:6" ht="21" customHeight="1" x14ac:dyDescent="0.25">
      <c r="B71" s="18" t="s">
        <v>145</v>
      </c>
      <c r="C71" s="19" t="s">
        <v>152</v>
      </c>
      <c r="D71" s="18"/>
      <c r="E71" s="19"/>
      <c r="F71" s="33" t="str">
        <f t="shared" si="2"/>
        <v>K</v>
      </c>
    </row>
    <row r="72" spans="2:6" ht="21" customHeight="1" x14ac:dyDescent="0.25">
      <c r="B72" s="18" t="s">
        <v>146</v>
      </c>
      <c r="C72" s="19" t="s">
        <v>154</v>
      </c>
      <c r="D72" s="18"/>
      <c r="E72" s="19"/>
      <c r="F72" s="33" t="str">
        <f t="shared" si="2"/>
        <v>E</v>
      </c>
    </row>
    <row r="73" spans="2:6" ht="21" customHeight="1" x14ac:dyDescent="0.25">
      <c r="B73" s="18" t="s">
        <v>147</v>
      </c>
      <c r="C73" s="19" t="s">
        <v>155</v>
      </c>
      <c r="D73" s="18"/>
      <c r="E73" s="19"/>
      <c r="F73" s="33" t="str">
        <f t="shared" si="2"/>
        <v>P</v>
      </c>
    </row>
    <row r="74" spans="2:6" ht="21" customHeight="1" x14ac:dyDescent="0.25">
      <c r="B74" s="18" t="s">
        <v>148</v>
      </c>
      <c r="C74" s="19" t="s">
        <v>156</v>
      </c>
      <c r="D74" s="18"/>
      <c r="E74" s="19"/>
      <c r="F74" s="33" t="str">
        <f t="shared" si="2"/>
        <v>C</v>
      </c>
    </row>
    <row r="75" spans="2:6" ht="21" customHeight="1" x14ac:dyDescent="0.25">
      <c r="B75" s="18" t="s">
        <v>149</v>
      </c>
      <c r="C75" s="19" t="s">
        <v>157</v>
      </c>
      <c r="D75" s="18"/>
      <c r="E75" s="19"/>
      <c r="F75" s="33" t="str">
        <f>LEFT(C75)</f>
        <v>F</v>
      </c>
    </row>
    <row r="76" spans="2:6" ht="21" customHeight="1" x14ac:dyDescent="0.25">
      <c r="B76" s="18" t="s">
        <v>150</v>
      </c>
      <c r="C76" s="19" t="s">
        <v>158</v>
      </c>
      <c r="D76" s="18"/>
      <c r="E76" s="19"/>
      <c r="F76" s="33" t="str">
        <f>LEFT(C76)</f>
        <v>S</v>
      </c>
    </row>
    <row r="77" spans="2:6" ht="21" customHeight="1" x14ac:dyDescent="0.25">
      <c r="B77" s="18" t="s">
        <v>151</v>
      </c>
      <c r="C77" s="19" t="s">
        <v>159</v>
      </c>
      <c r="D77" s="18"/>
      <c r="E77" s="19"/>
      <c r="F77" s="33" t="str">
        <f>LEFT(C77)</f>
        <v>C</v>
      </c>
    </row>
    <row r="78" spans="2:6" ht="21" customHeight="1" x14ac:dyDescent="0.25">
      <c r="B78" s="18" t="s">
        <v>160</v>
      </c>
      <c r="C78" s="19" t="s">
        <v>176</v>
      </c>
      <c r="D78" s="18"/>
      <c r="E78" s="19"/>
      <c r="F78" s="33" t="str">
        <f>LEFT(C78)</f>
        <v>A</v>
      </c>
    </row>
    <row r="79" spans="2:6" ht="21" customHeight="1" x14ac:dyDescent="0.25">
      <c r="B79" s="18" t="s">
        <v>161</v>
      </c>
      <c r="C79" s="19" t="s">
        <v>177</v>
      </c>
      <c r="D79" s="18"/>
      <c r="E79" s="19"/>
      <c r="F79" s="33" t="str">
        <f t="shared" ref="F79:F84" si="3">LEFT(C79)</f>
        <v>A</v>
      </c>
    </row>
    <row r="80" spans="2:6" ht="21" customHeight="1" x14ac:dyDescent="0.25">
      <c r="B80" s="18" t="s">
        <v>162</v>
      </c>
      <c r="C80" s="19" t="s">
        <v>178</v>
      </c>
      <c r="D80" s="18"/>
      <c r="E80" s="19"/>
      <c r="F80" s="33" t="str">
        <f t="shared" si="3"/>
        <v>S</v>
      </c>
    </row>
    <row r="81" spans="2:6" ht="21" customHeight="1" x14ac:dyDescent="0.25">
      <c r="B81" s="18" t="s">
        <v>163</v>
      </c>
      <c r="C81" s="19" t="s">
        <v>179</v>
      </c>
      <c r="D81" s="18"/>
      <c r="E81" s="19"/>
      <c r="F81" s="33" t="str">
        <f t="shared" si="3"/>
        <v>S</v>
      </c>
    </row>
    <row r="82" spans="2:6" ht="21" customHeight="1" x14ac:dyDescent="0.25">
      <c r="B82" s="18" t="s">
        <v>164</v>
      </c>
      <c r="C82" s="19" t="s">
        <v>180</v>
      </c>
      <c r="D82" s="18"/>
      <c r="E82" s="19"/>
      <c r="F82" s="33" t="str">
        <f t="shared" si="3"/>
        <v>J</v>
      </c>
    </row>
    <row r="83" spans="2:6" ht="21" customHeight="1" x14ac:dyDescent="0.25">
      <c r="B83" s="18" t="s">
        <v>165</v>
      </c>
      <c r="C83" s="19" t="s">
        <v>181</v>
      </c>
      <c r="D83" s="18"/>
      <c r="E83" s="19"/>
      <c r="F83" s="33" t="str">
        <f t="shared" si="3"/>
        <v>A</v>
      </c>
    </row>
    <row r="84" spans="2:6" ht="21" customHeight="1" x14ac:dyDescent="0.25">
      <c r="B84" s="18" t="s">
        <v>166</v>
      </c>
      <c r="C84" s="19" t="s">
        <v>182</v>
      </c>
      <c r="D84" s="18"/>
      <c r="E84" s="19"/>
      <c r="F84" s="33" t="str">
        <f t="shared" si="3"/>
        <v>I</v>
      </c>
    </row>
    <row r="85" spans="2:6" ht="21" customHeight="1" x14ac:dyDescent="0.25">
      <c r="B85" s="18" t="s">
        <v>167</v>
      </c>
      <c r="C85" s="19" t="s">
        <v>183</v>
      </c>
      <c r="D85" s="18"/>
      <c r="E85" s="19"/>
      <c r="F85" s="33" t="str">
        <f>LEFT(C85)</f>
        <v>E</v>
      </c>
    </row>
    <row r="86" spans="2:6" ht="21" customHeight="1" x14ac:dyDescent="0.25">
      <c r="B86" s="18" t="s">
        <v>168</v>
      </c>
      <c r="C86" s="19" t="s">
        <v>184</v>
      </c>
      <c r="D86" s="18" t="s">
        <v>557</v>
      </c>
      <c r="E86" s="19" t="s">
        <v>558</v>
      </c>
      <c r="F86" s="33" t="str">
        <f>LEFT(C86)</f>
        <v>C</v>
      </c>
    </row>
    <row r="87" spans="2:6" ht="21" customHeight="1" x14ac:dyDescent="0.25">
      <c r="B87" s="18" t="s">
        <v>169</v>
      </c>
      <c r="C87" s="19" t="s">
        <v>185</v>
      </c>
      <c r="D87" s="18"/>
      <c r="E87" s="19"/>
      <c r="F87" s="33" t="str">
        <f>LEFT(C87)</f>
        <v>S</v>
      </c>
    </row>
    <row r="88" spans="2:6" ht="21" customHeight="1" x14ac:dyDescent="0.25">
      <c r="B88" s="18" t="s">
        <v>170</v>
      </c>
      <c r="C88" s="19" t="s">
        <v>186</v>
      </c>
      <c r="D88" s="18"/>
      <c r="E88" s="19"/>
      <c r="F88" s="33" t="str">
        <f t="shared" ref="F88:F93" si="4">LEFT(C88)</f>
        <v>R</v>
      </c>
    </row>
    <row r="89" spans="2:6" ht="21" customHeight="1" x14ac:dyDescent="0.25">
      <c r="B89" s="18" t="s">
        <v>171</v>
      </c>
      <c r="C89" s="19" t="s">
        <v>187</v>
      </c>
      <c r="D89" s="18" t="s">
        <v>555</v>
      </c>
      <c r="E89" s="19" t="s">
        <v>556</v>
      </c>
      <c r="F89" s="33" t="str">
        <f t="shared" si="4"/>
        <v>E</v>
      </c>
    </row>
    <row r="90" spans="2:6" ht="21" customHeight="1" x14ac:dyDescent="0.25">
      <c r="B90" s="18" t="s">
        <v>172</v>
      </c>
      <c r="C90" s="19" t="s">
        <v>188</v>
      </c>
      <c r="D90" s="18"/>
      <c r="E90" s="19"/>
      <c r="F90" s="33" t="str">
        <f t="shared" si="4"/>
        <v>J</v>
      </c>
    </row>
    <row r="91" spans="2:6" ht="21" customHeight="1" x14ac:dyDescent="0.25">
      <c r="B91" s="18" t="s">
        <v>173</v>
      </c>
      <c r="C91" s="19" t="s">
        <v>189</v>
      </c>
      <c r="D91" s="18"/>
      <c r="E91" s="19"/>
      <c r="F91" s="33" t="str">
        <f t="shared" si="4"/>
        <v>C</v>
      </c>
    </row>
    <row r="92" spans="2:6" ht="21" customHeight="1" x14ac:dyDescent="0.25">
      <c r="B92" s="18" t="s">
        <v>174</v>
      </c>
      <c r="C92" s="19" t="s">
        <v>190</v>
      </c>
      <c r="D92" s="18"/>
      <c r="E92" s="19"/>
      <c r="F92" s="33" t="str">
        <f t="shared" si="4"/>
        <v>V</v>
      </c>
    </row>
    <row r="93" spans="2:6" ht="21" customHeight="1" x14ac:dyDescent="0.25">
      <c r="B93" s="18" t="s">
        <v>175</v>
      </c>
      <c r="C93" s="19" t="s">
        <v>191</v>
      </c>
      <c r="D93" s="18"/>
      <c r="E93" s="19"/>
      <c r="F93" s="33" t="str">
        <f t="shared" si="4"/>
        <v>S</v>
      </c>
    </row>
    <row r="94" spans="2:6" ht="21" customHeight="1" x14ac:dyDescent="0.25">
      <c r="B94" s="18" t="s">
        <v>192</v>
      </c>
      <c r="C94" s="19" t="s">
        <v>215</v>
      </c>
      <c r="D94" s="18"/>
      <c r="E94" s="19"/>
      <c r="F94" s="33" t="str">
        <f>LEFT(C94)</f>
        <v>J</v>
      </c>
    </row>
    <row r="95" spans="2:6" ht="21" customHeight="1" x14ac:dyDescent="0.25">
      <c r="B95" s="18" t="s">
        <v>195</v>
      </c>
      <c r="C95" s="19" t="s">
        <v>218</v>
      </c>
      <c r="D95" s="18"/>
      <c r="E95" s="19"/>
      <c r="F95" s="33" t="str">
        <f t="shared" ref="F95:F116" si="5">LEFT(C95)</f>
        <v>S</v>
      </c>
    </row>
    <row r="96" spans="2:6" ht="21" customHeight="1" x14ac:dyDescent="0.25">
      <c r="B96" s="18" t="s">
        <v>196</v>
      </c>
      <c r="C96" s="19" t="s">
        <v>219</v>
      </c>
      <c r="D96" s="18"/>
      <c r="E96" s="19"/>
      <c r="F96" s="33" t="str">
        <f t="shared" si="5"/>
        <v>S</v>
      </c>
    </row>
    <row r="97" spans="2:6" ht="21" customHeight="1" x14ac:dyDescent="0.25">
      <c r="B97" s="18" t="s">
        <v>197</v>
      </c>
      <c r="C97" s="19" t="s">
        <v>220</v>
      </c>
      <c r="D97" s="18"/>
      <c r="E97" s="19"/>
      <c r="F97" s="33" t="str">
        <f t="shared" si="5"/>
        <v>F</v>
      </c>
    </row>
    <row r="98" spans="2:6" ht="21" customHeight="1" x14ac:dyDescent="0.25">
      <c r="B98" s="18" t="s">
        <v>199</v>
      </c>
      <c r="C98" s="19" t="s">
        <v>221</v>
      </c>
      <c r="D98" s="18"/>
      <c r="E98" s="19"/>
      <c r="F98" s="33" t="str">
        <f t="shared" si="5"/>
        <v>S</v>
      </c>
    </row>
    <row r="99" spans="2:6" ht="21" customHeight="1" x14ac:dyDescent="0.25">
      <c r="B99" s="18" t="s">
        <v>201</v>
      </c>
      <c r="C99" s="19" t="s">
        <v>223</v>
      </c>
      <c r="D99" s="18"/>
      <c r="E99" s="19"/>
      <c r="F99" s="33" t="str">
        <f t="shared" si="5"/>
        <v>Q</v>
      </c>
    </row>
    <row r="100" spans="2:6" ht="21" customHeight="1" x14ac:dyDescent="0.25">
      <c r="B100" s="18" t="s">
        <v>202</v>
      </c>
      <c r="C100" s="19" t="s">
        <v>224</v>
      </c>
      <c r="D100" s="18"/>
      <c r="E100" s="19"/>
      <c r="F100" s="33" t="str">
        <f t="shared" si="5"/>
        <v>A</v>
      </c>
    </row>
    <row r="101" spans="2:6" ht="21" customHeight="1" x14ac:dyDescent="0.25">
      <c r="B101" s="18" t="s">
        <v>200</v>
      </c>
      <c r="C101" s="19" t="s">
        <v>222</v>
      </c>
      <c r="D101" s="18"/>
      <c r="E101" s="19"/>
      <c r="F101" s="33" t="str">
        <f t="shared" si="5"/>
        <v>S</v>
      </c>
    </row>
    <row r="102" spans="2:6" ht="21" customHeight="1" x14ac:dyDescent="0.25">
      <c r="B102" s="18" t="s">
        <v>203</v>
      </c>
      <c r="C102" s="19" t="s">
        <v>225</v>
      </c>
      <c r="D102" s="18"/>
      <c r="E102" s="19"/>
      <c r="F102" s="33" t="str">
        <f t="shared" si="5"/>
        <v>C</v>
      </c>
    </row>
    <row r="103" spans="2:6" ht="21" customHeight="1" x14ac:dyDescent="0.25">
      <c r="B103" s="18" t="s">
        <v>204</v>
      </c>
      <c r="C103" s="19" t="s">
        <v>226</v>
      </c>
      <c r="D103" s="18"/>
      <c r="E103" s="19"/>
      <c r="F103" s="33" t="str">
        <f t="shared" si="5"/>
        <v>M</v>
      </c>
    </row>
    <row r="104" spans="2:6" ht="21" customHeight="1" x14ac:dyDescent="0.25">
      <c r="B104" s="18" t="s">
        <v>194</v>
      </c>
      <c r="C104" s="19" t="s">
        <v>217</v>
      </c>
      <c r="D104" s="18"/>
      <c r="E104" s="19"/>
      <c r="F104" s="33" t="str">
        <f t="shared" si="5"/>
        <v>P</v>
      </c>
    </row>
    <row r="105" spans="2:6" ht="21" customHeight="1" x14ac:dyDescent="0.25">
      <c r="B105" s="18" t="s">
        <v>205</v>
      </c>
      <c r="C105" s="19" t="s">
        <v>227</v>
      </c>
      <c r="D105" s="18"/>
      <c r="E105" s="19"/>
      <c r="F105" s="33" t="str">
        <f t="shared" si="5"/>
        <v>C</v>
      </c>
    </row>
    <row r="106" spans="2:6" ht="21" customHeight="1" x14ac:dyDescent="0.25">
      <c r="B106" s="18" t="s">
        <v>206</v>
      </c>
      <c r="C106" s="19" t="s">
        <v>228</v>
      </c>
      <c r="D106" s="18"/>
      <c r="E106" s="19"/>
      <c r="F106" s="33" t="str">
        <f t="shared" si="5"/>
        <v>A</v>
      </c>
    </row>
    <row r="107" spans="2:6" ht="21" customHeight="1" x14ac:dyDescent="0.25">
      <c r="B107" s="18" t="s">
        <v>193</v>
      </c>
      <c r="C107" s="19" t="s">
        <v>216</v>
      </c>
      <c r="D107" s="18"/>
      <c r="E107" s="19"/>
      <c r="F107" s="33" t="str">
        <f t="shared" si="5"/>
        <v>T</v>
      </c>
    </row>
    <row r="108" spans="2:6" ht="21" customHeight="1" x14ac:dyDescent="0.25">
      <c r="B108" s="18" t="s">
        <v>207</v>
      </c>
      <c r="C108" s="19" t="s">
        <v>229</v>
      </c>
      <c r="D108" s="18"/>
      <c r="E108" s="19"/>
      <c r="F108" s="33" t="str">
        <f t="shared" si="5"/>
        <v>J</v>
      </c>
    </row>
    <row r="109" spans="2:6" ht="21" customHeight="1" x14ac:dyDescent="0.25">
      <c r="B109" s="18" t="s">
        <v>208</v>
      </c>
      <c r="C109" s="19" t="s">
        <v>230</v>
      </c>
      <c r="D109" s="18"/>
      <c r="E109" s="19"/>
      <c r="F109" s="33" t="str">
        <f t="shared" si="5"/>
        <v>L</v>
      </c>
    </row>
    <row r="110" spans="2:6" ht="21" customHeight="1" x14ac:dyDescent="0.25">
      <c r="B110" s="18" t="s">
        <v>209</v>
      </c>
      <c r="C110" s="19" t="s">
        <v>231</v>
      </c>
      <c r="D110" s="18"/>
      <c r="E110" s="19"/>
      <c r="F110" s="33" t="str">
        <f t="shared" si="5"/>
        <v>S</v>
      </c>
    </row>
    <row r="111" spans="2:6" ht="21" customHeight="1" x14ac:dyDescent="0.25">
      <c r="B111" s="18" t="s">
        <v>210</v>
      </c>
      <c r="C111" s="19" t="s">
        <v>232</v>
      </c>
      <c r="D111" s="18"/>
      <c r="E111" s="19"/>
      <c r="F111" s="33" t="str">
        <f t="shared" si="5"/>
        <v>C</v>
      </c>
    </row>
    <row r="112" spans="2:6" ht="21" customHeight="1" x14ac:dyDescent="0.25">
      <c r="B112" s="18" t="s">
        <v>211</v>
      </c>
      <c r="C112" s="19" t="s">
        <v>233</v>
      </c>
      <c r="D112" s="18"/>
      <c r="E112" s="19"/>
      <c r="F112" s="33" t="str">
        <f t="shared" si="5"/>
        <v>C</v>
      </c>
    </row>
    <row r="113" spans="2:6" ht="21" customHeight="1" x14ac:dyDescent="0.25">
      <c r="B113" s="18" t="s">
        <v>212</v>
      </c>
      <c r="C113" s="19" t="s">
        <v>234</v>
      </c>
      <c r="D113" s="18"/>
      <c r="E113" s="19"/>
      <c r="F113" s="33" t="str">
        <f t="shared" si="5"/>
        <v>S</v>
      </c>
    </row>
    <row r="114" spans="2:6" ht="21" customHeight="1" x14ac:dyDescent="0.25">
      <c r="B114" s="18" t="s">
        <v>198</v>
      </c>
      <c r="C114" s="19" t="s">
        <v>235</v>
      </c>
      <c r="D114" s="18"/>
      <c r="E114" s="19"/>
      <c r="F114" s="33" t="str">
        <f t="shared" si="5"/>
        <v>I</v>
      </c>
    </row>
    <row r="115" spans="2:6" ht="21" customHeight="1" x14ac:dyDescent="0.25">
      <c r="B115" s="18" t="s">
        <v>213</v>
      </c>
      <c r="C115" s="19" t="s">
        <v>236</v>
      </c>
      <c r="D115" s="18"/>
      <c r="E115" s="19"/>
      <c r="F115" s="33" t="str">
        <f t="shared" si="5"/>
        <v>C</v>
      </c>
    </row>
    <row r="116" spans="2:6" ht="21" customHeight="1" x14ac:dyDescent="0.25">
      <c r="B116" s="18" t="s">
        <v>214</v>
      </c>
      <c r="C116" s="19" t="s">
        <v>237</v>
      </c>
      <c r="D116" s="18"/>
      <c r="E116" s="19"/>
      <c r="F116" s="33" t="str">
        <f t="shared" si="5"/>
        <v>N</v>
      </c>
    </row>
    <row r="117" spans="2:6" ht="21" customHeight="1" x14ac:dyDescent="0.25">
      <c r="B117" s="18" t="s">
        <v>250</v>
      </c>
      <c r="C117" s="19" t="s">
        <v>270</v>
      </c>
      <c r="D117" s="18"/>
      <c r="E117" s="19"/>
      <c r="F117" s="33" t="str">
        <f>LEFT(C117)</f>
        <v>O</v>
      </c>
    </row>
    <row r="118" spans="2:6" ht="21" customHeight="1" x14ac:dyDescent="0.25">
      <c r="B118" s="18" t="s">
        <v>252</v>
      </c>
      <c r="C118" s="19" t="s">
        <v>272</v>
      </c>
      <c r="D118" s="18"/>
      <c r="E118" s="19"/>
      <c r="F118" s="33" t="str">
        <f t="shared" ref="F118:F136" si="6">LEFT(C118)</f>
        <v>L</v>
      </c>
    </row>
    <row r="119" spans="2:6" ht="21" customHeight="1" x14ac:dyDescent="0.25">
      <c r="B119" s="18" t="s">
        <v>253</v>
      </c>
      <c r="C119" s="19" t="s">
        <v>273</v>
      </c>
      <c r="D119" s="18"/>
      <c r="E119" s="19"/>
      <c r="F119" s="33" t="str">
        <f t="shared" si="6"/>
        <v>L</v>
      </c>
    </row>
    <row r="120" spans="2:6" ht="21" customHeight="1" x14ac:dyDescent="0.25">
      <c r="B120" s="18" t="s">
        <v>254</v>
      </c>
      <c r="C120" s="19" t="s">
        <v>274</v>
      </c>
      <c r="D120" s="18"/>
      <c r="E120" s="19"/>
      <c r="F120" s="33" t="str">
        <f t="shared" si="6"/>
        <v>K</v>
      </c>
    </row>
    <row r="121" spans="2:6" ht="21" customHeight="1" x14ac:dyDescent="0.25">
      <c r="B121" s="18" t="s">
        <v>255</v>
      </c>
      <c r="C121" s="19" t="s">
        <v>275</v>
      </c>
      <c r="D121" s="18"/>
      <c r="E121" s="19"/>
      <c r="F121" s="33" t="str">
        <f t="shared" si="6"/>
        <v>S</v>
      </c>
    </row>
    <row r="122" spans="2:6" ht="21" customHeight="1" x14ac:dyDescent="0.25">
      <c r="B122" s="18" t="s">
        <v>256</v>
      </c>
      <c r="C122" s="19" t="s">
        <v>276</v>
      </c>
      <c r="D122" s="18"/>
      <c r="E122" s="19"/>
      <c r="F122" s="33" t="str">
        <f t="shared" si="6"/>
        <v>G</v>
      </c>
    </row>
    <row r="123" spans="2:6" ht="21" customHeight="1" x14ac:dyDescent="0.25">
      <c r="B123" s="18" t="s">
        <v>251</v>
      </c>
      <c r="C123" s="19" t="s">
        <v>271</v>
      </c>
      <c r="D123" s="18"/>
      <c r="E123" s="19"/>
      <c r="F123" s="33" t="str">
        <f t="shared" si="6"/>
        <v>C</v>
      </c>
    </row>
    <row r="124" spans="2:6" ht="21" customHeight="1" x14ac:dyDescent="0.25">
      <c r="B124" s="18" t="s">
        <v>258</v>
      </c>
      <c r="C124" s="19" t="s">
        <v>278</v>
      </c>
      <c r="D124" s="18"/>
      <c r="E124" s="19"/>
      <c r="F124" s="33" t="str">
        <f t="shared" si="6"/>
        <v>M</v>
      </c>
    </row>
    <row r="125" spans="2:6" ht="21" customHeight="1" x14ac:dyDescent="0.25">
      <c r="B125" s="18" t="s">
        <v>259</v>
      </c>
      <c r="C125" s="19" t="s">
        <v>279</v>
      </c>
      <c r="D125" s="18"/>
      <c r="E125" s="19"/>
      <c r="F125" s="33" t="str">
        <f t="shared" si="6"/>
        <v>T</v>
      </c>
    </row>
    <row r="126" spans="2:6" ht="21" customHeight="1" x14ac:dyDescent="0.25">
      <c r="B126" s="18" t="s">
        <v>260</v>
      </c>
      <c r="C126" s="19" t="s">
        <v>280</v>
      </c>
      <c r="D126" s="18"/>
      <c r="E126" s="19"/>
      <c r="F126" s="33" t="str">
        <f t="shared" si="6"/>
        <v>T</v>
      </c>
    </row>
    <row r="127" spans="2:6" ht="21" customHeight="1" x14ac:dyDescent="0.25">
      <c r="B127" s="18" t="s">
        <v>261</v>
      </c>
      <c r="C127" s="19" t="s">
        <v>281</v>
      </c>
      <c r="D127" s="18"/>
      <c r="E127" s="19"/>
      <c r="F127" s="33" t="str">
        <f t="shared" si="6"/>
        <v>T</v>
      </c>
    </row>
    <row r="128" spans="2:6" ht="21" customHeight="1" x14ac:dyDescent="0.25">
      <c r="B128" s="18" t="s">
        <v>262</v>
      </c>
      <c r="C128" s="19" t="s">
        <v>282</v>
      </c>
      <c r="D128" s="18"/>
      <c r="E128" s="19"/>
      <c r="F128" s="33" t="str">
        <f t="shared" si="6"/>
        <v>G</v>
      </c>
    </row>
    <row r="129" spans="2:6" ht="21" customHeight="1" x14ac:dyDescent="0.25">
      <c r="B129" s="18" t="s">
        <v>263</v>
      </c>
      <c r="C129" s="19" t="s">
        <v>283</v>
      </c>
      <c r="D129" s="18"/>
      <c r="E129" s="19"/>
      <c r="F129" s="33" t="str">
        <f t="shared" si="6"/>
        <v>J</v>
      </c>
    </row>
    <row r="130" spans="2:6" ht="21" customHeight="1" x14ac:dyDescent="0.25">
      <c r="B130" s="18" t="s">
        <v>264</v>
      </c>
      <c r="C130" s="19" t="s">
        <v>284</v>
      </c>
      <c r="D130" s="18"/>
      <c r="E130" s="19"/>
      <c r="F130" s="33" t="str">
        <f t="shared" si="6"/>
        <v>S</v>
      </c>
    </row>
    <row r="131" spans="2:6" ht="21" customHeight="1" x14ac:dyDescent="0.25">
      <c r="B131" s="18" t="s">
        <v>265</v>
      </c>
      <c r="C131" s="19" t="s">
        <v>285</v>
      </c>
      <c r="D131" s="18"/>
      <c r="E131" s="19"/>
      <c r="F131" s="33" t="str">
        <f t="shared" si="6"/>
        <v>S</v>
      </c>
    </row>
    <row r="132" spans="2:6" ht="21" customHeight="1" x14ac:dyDescent="0.25">
      <c r="B132" s="18" t="s">
        <v>266</v>
      </c>
      <c r="C132" s="19" t="s">
        <v>286</v>
      </c>
      <c r="D132" s="18"/>
      <c r="E132" s="19"/>
      <c r="F132" s="33" t="str">
        <f t="shared" si="6"/>
        <v>T</v>
      </c>
    </row>
    <row r="133" spans="2:6" ht="21" customHeight="1" x14ac:dyDescent="0.25">
      <c r="B133" s="18" t="s">
        <v>267</v>
      </c>
      <c r="C133" s="19" t="s">
        <v>287</v>
      </c>
      <c r="D133" s="18"/>
      <c r="E133" s="19"/>
      <c r="F133" s="33" t="str">
        <f t="shared" si="6"/>
        <v>E</v>
      </c>
    </row>
    <row r="134" spans="2:6" ht="21" customHeight="1" x14ac:dyDescent="0.25">
      <c r="B134" s="18" t="s">
        <v>268</v>
      </c>
      <c r="C134" s="19" t="s">
        <v>288</v>
      </c>
      <c r="D134" s="18"/>
      <c r="E134" s="19"/>
      <c r="F134" s="33" t="str">
        <f t="shared" si="6"/>
        <v>C</v>
      </c>
    </row>
    <row r="135" spans="2:6" ht="21" customHeight="1" x14ac:dyDescent="0.25">
      <c r="B135" s="18" t="s">
        <v>241</v>
      </c>
      <c r="C135" s="19" t="s">
        <v>289</v>
      </c>
      <c r="D135" s="18"/>
      <c r="E135" s="19"/>
      <c r="F135" s="33" t="str">
        <f t="shared" si="6"/>
        <v>G</v>
      </c>
    </row>
    <row r="136" spans="2:6" ht="21" customHeight="1" x14ac:dyDescent="0.25">
      <c r="B136" s="18" t="s">
        <v>269</v>
      </c>
      <c r="C136" s="19" t="s">
        <v>290</v>
      </c>
      <c r="D136" s="18"/>
      <c r="E136" s="19"/>
      <c r="F136" s="33" t="str">
        <f t="shared" si="6"/>
        <v>S</v>
      </c>
    </row>
    <row r="137" spans="2:6" ht="21" customHeight="1" x14ac:dyDescent="0.25">
      <c r="B137" s="18" t="s">
        <v>257</v>
      </c>
      <c r="C137" s="19" t="s">
        <v>277</v>
      </c>
      <c r="D137" s="18"/>
      <c r="E137" s="19"/>
      <c r="F137" s="33" t="str">
        <f>LEFT(C137)</f>
        <v>S</v>
      </c>
    </row>
    <row r="138" spans="2:6" ht="21" customHeight="1" x14ac:dyDescent="0.25">
      <c r="B138" s="18" t="s">
        <v>238</v>
      </c>
      <c r="C138" s="19" t="s">
        <v>291</v>
      </c>
      <c r="D138" s="18"/>
      <c r="E138" s="19"/>
      <c r="F138" s="33" t="str">
        <f>LEFT(C138)</f>
        <v>S</v>
      </c>
    </row>
    <row r="139" spans="2:6" ht="21" customHeight="1" x14ac:dyDescent="0.25">
      <c r="B139" s="18" t="s">
        <v>239</v>
      </c>
      <c r="C139" s="19" t="s">
        <v>292</v>
      </c>
      <c r="D139" s="18"/>
      <c r="E139" s="19"/>
      <c r="F139" s="33" t="str">
        <f t="shared" ref="F139:F148" si="7">LEFT(C139)</f>
        <v>I</v>
      </c>
    </row>
    <row r="140" spans="2:6" ht="21" customHeight="1" x14ac:dyDescent="0.25">
      <c r="B140" s="18" t="s">
        <v>240</v>
      </c>
      <c r="C140" s="19" t="s">
        <v>293</v>
      </c>
      <c r="D140" s="18"/>
      <c r="E140" s="19"/>
      <c r="F140" s="33" t="str">
        <f t="shared" si="7"/>
        <v>S</v>
      </c>
    </row>
    <row r="141" spans="2:6" ht="21" customHeight="1" x14ac:dyDescent="0.25">
      <c r="B141" s="18" t="s">
        <v>242</v>
      </c>
      <c r="C141" s="19" t="s">
        <v>294</v>
      </c>
      <c r="D141" s="18"/>
      <c r="E141" s="19"/>
      <c r="F141" s="33" t="str">
        <f t="shared" si="7"/>
        <v>T</v>
      </c>
    </row>
    <row r="142" spans="2:6" ht="21" customHeight="1" x14ac:dyDescent="0.25">
      <c r="B142" s="18" t="s">
        <v>243</v>
      </c>
      <c r="C142" s="19" t="s">
        <v>295</v>
      </c>
      <c r="D142" s="18"/>
      <c r="E142" s="19"/>
      <c r="F142" s="33" t="str">
        <f t="shared" si="7"/>
        <v>T</v>
      </c>
    </row>
    <row r="143" spans="2:6" ht="21" customHeight="1" x14ac:dyDescent="0.25">
      <c r="B143" s="18" t="s">
        <v>244</v>
      </c>
      <c r="C143" s="19" t="s">
        <v>296</v>
      </c>
      <c r="D143" s="18"/>
      <c r="E143" s="19"/>
      <c r="F143" s="33" t="str">
        <f t="shared" si="7"/>
        <v>I</v>
      </c>
    </row>
    <row r="144" spans="2:6" ht="21" customHeight="1" x14ac:dyDescent="0.25">
      <c r="B144" s="18" t="s">
        <v>245</v>
      </c>
      <c r="C144" s="19" t="s">
        <v>297</v>
      </c>
      <c r="D144" s="18"/>
      <c r="E144" s="19"/>
      <c r="F144" s="33" t="str">
        <f t="shared" si="7"/>
        <v>S</v>
      </c>
    </row>
    <row r="145" spans="2:6" ht="21" customHeight="1" x14ac:dyDescent="0.25">
      <c r="B145" s="18" t="s">
        <v>246</v>
      </c>
      <c r="C145" s="19" t="s">
        <v>298</v>
      </c>
      <c r="D145" s="18"/>
      <c r="E145" s="19"/>
      <c r="F145" s="33" t="str">
        <f t="shared" si="7"/>
        <v>M</v>
      </c>
    </row>
    <row r="146" spans="2:6" ht="21" customHeight="1" x14ac:dyDescent="0.25">
      <c r="B146" s="18" t="s">
        <v>247</v>
      </c>
      <c r="C146" s="19" t="s">
        <v>299</v>
      </c>
      <c r="D146" s="18"/>
      <c r="E146" s="19"/>
      <c r="F146" s="33" t="str">
        <f t="shared" si="7"/>
        <v>Y</v>
      </c>
    </row>
    <row r="147" spans="2:6" ht="21" customHeight="1" x14ac:dyDescent="0.25">
      <c r="B147" s="18" t="s">
        <v>248</v>
      </c>
      <c r="C147" s="19" t="s">
        <v>300</v>
      </c>
      <c r="D147" s="18"/>
      <c r="E147" s="19"/>
      <c r="F147" s="33" t="str">
        <f t="shared" si="7"/>
        <v>A</v>
      </c>
    </row>
    <row r="148" spans="2:6" ht="21" customHeight="1" x14ac:dyDescent="0.25">
      <c r="B148" s="18" t="s">
        <v>249</v>
      </c>
      <c r="C148" s="19" t="s">
        <v>301</v>
      </c>
      <c r="D148" s="18"/>
      <c r="E148" s="19"/>
      <c r="F148" s="33" t="str">
        <f t="shared" si="7"/>
        <v>I</v>
      </c>
    </row>
    <row r="149" spans="2:6" ht="21" customHeight="1" x14ac:dyDescent="0.25">
      <c r="B149" s="18" t="s">
        <v>302</v>
      </c>
      <c r="C149" s="19" t="s">
        <v>304</v>
      </c>
      <c r="D149" s="18"/>
      <c r="E149" s="19"/>
      <c r="F149" s="33" t="str">
        <f>LEFT(C149)</f>
        <v>S</v>
      </c>
    </row>
    <row r="150" spans="2:6" ht="21" customHeight="1" x14ac:dyDescent="0.25">
      <c r="B150" s="18" t="s">
        <v>303</v>
      </c>
      <c r="C150" s="19" t="s">
        <v>305</v>
      </c>
      <c r="D150" s="18"/>
      <c r="E150" s="19"/>
      <c r="F150" s="33" t="str">
        <f>LEFT(C150)</f>
        <v>D</v>
      </c>
    </row>
    <row r="151" spans="2:6" ht="21" customHeight="1" x14ac:dyDescent="0.25">
      <c r="B151" s="18" t="s">
        <v>306</v>
      </c>
      <c r="C151" s="19" t="s">
        <v>328</v>
      </c>
      <c r="D151" s="18"/>
      <c r="E151" s="19"/>
      <c r="F151" s="33" t="str">
        <f>LEFT(C151)</f>
        <v>C</v>
      </c>
    </row>
    <row r="152" spans="2:6" ht="21" customHeight="1" x14ac:dyDescent="0.25">
      <c r="B152" s="18" t="s">
        <v>307</v>
      </c>
      <c r="C152" s="19" t="s">
        <v>329</v>
      </c>
      <c r="D152" s="18"/>
      <c r="E152" s="19"/>
      <c r="F152" s="33" t="str">
        <f t="shared" ref="F152:F172" si="8">LEFT(C152)</f>
        <v>S</v>
      </c>
    </row>
    <row r="153" spans="2:6" ht="21" customHeight="1" x14ac:dyDescent="0.25">
      <c r="B153" s="18" t="s">
        <v>308</v>
      </c>
      <c r="C153" s="19" t="s">
        <v>330</v>
      </c>
      <c r="D153" s="18"/>
      <c r="E153" s="19"/>
      <c r="F153" s="33" t="str">
        <f t="shared" si="8"/>
        <v>L</v>
      </c>
    </row>
    <row r="154" spans="2:6" ht="21" customHeight="1" x14ac:dyDescent="0.25">
      <c r="B154" s="18" t="s">
        <v>309</v>
      </c>
      <c r="C154" s="19" t="s">
        <v>331</v>
      </c>
      <c r="D154" s="18"/>
      <c r="E154" s="19"/>
      <c r="F154" s="33" t="str">
        <f t="shared" si="8"/>
        <v>P</v>
      </c>
    </row>
    <row r="155" spans="2:6" ht="21" customHeight="1" x14ac:dyDescent="0.25">
      <c r="B155" s="18" t="s">
        <v>310</v>
      </c>
      <c r="C155" s="19" t="s">
        <v>332</v>
      </c>
      <c r="D155" s="18"/>
      <c r="E155" s="19"/>
      <c r="F155" s="33" t="str">
        <f t="shared" si="8"/>
        <v>M</v>
      </c>
    </row>
    <row r="156" spans="2:6" ht="21" customHeight="1" x14ac:dyDescent="0.25">
      <c r="B156" s="18" t="s">
        <v>311</v>
      </c>
      <c r="C156" s="19" t="s">
        <v>333</v>
      </c>
      <c r="D156" s="18"/>
      <c r="E156" s="19"/>
      <c r="F156" s="33" t="str">
        <f t="shared" si="8"/>
        <v>S</v>
      </c>
    </row>
    <row r="157" spans="2:6" ht="21" customHeight="1" x14ac:dyDescent="0.25">
      <c r="B157" s="18" t="s">
        <v>312</v>
      </c>
      <c r="C157" s="19" t="s">
        <v>334</v>
      </c>
      <c r="D157" s="18"/>
      <c r="E157" s="19"/>
      <c r="F157" s="33" t="str">
        <f t="shared" si="8"/>
        <v>I</v>
      </c>
    </row>
    <row r="158" spans="2:6" ht="21" customHeight="1" x14ac:dyDescent="0.25">
      <c r="B158" s="18" t="s">
        <v>313</v>
      </c>
      <c r="C158" s="19" t="s">
        <v>335</v>
      </c>
      <c r="D158" s="18"/>
      <c r="E158" s="19"/>
      <c r="F158" s="33" t="str">
        <f t="shared" si="8"/>
        <v>M</v>
      </c>
    </row>
    <row r="159" spans="2:6" ht="21" customHeight="1" x14ac:dyDescent="0.25">
      <c r="B159" s="18" t="s">
        <v>314</v>
      </c>
      <c r="C159" s="19" t="s">
        <v>336</v>
      </c>
      <c r="D159" s="18"/>
      <c r="E159" s="19"/>
      <c r="F159" s="33" t="str">
        <f t="shared" si="8"/>
        <v>T</v>
      </c>
    </row>
    <row r="160" spans="2:6" ht="21" customHeight="1" x14ac:dyDescent="0.25">
      <c r="B160" s="18" t="s">
        <v>315</v>
      </c>
      <c r="C160" s="19" t="s">
        <v>337</v>
      </c>
      <c r="D160" s="18"/>
      <c r="E160" s="19"/>
      <c r="F160" s="33" t="str">
        <f t="shared" si="8"/>
        <v>T</v>
      </c>
    </row>
    <row r="161" spans="2:6" ht="21" customHeight="1" x14ac:dyDescent="0.25">
      <c r="B161" s="18" t="s">
        <v>316</v>
      </c>
      <c r="C161" s="19" t="s">
        <v>338</v>
      </c>
      <c r="D161" s="18"/>
      <c r="E161" s="19"/>
      <c r="F161" s="33" t="str">
        <f t="shared" si="8"/>
        <v>S</v>
      </c>
    </row>
    <row r="162" spans="2:6" ht="21" customHeight="1" x14ac:dyDescent="0.25">
      <c r="B162" s="18" t="s">
        <v>317</v>
      </c>
      <c r="C162" s="19" t="s">
        <v>339</v>
      </c>
      <c r="D162" s="18"/>
      <c r="E162" s="19"/>
      <c r="F162" s="33" t="str">
        <f t="shared" si="8"/>
        <v>C</v>
      </c>
    </row>
    <row r="163" spans="2:6" ht="21" customHeight="1" x14ac:dyDescent="0.25">
      <c r="B163" s="18" t="s">
        <v>318</v>
      </c>
      <c r="C163" s="19" t="s">
        <v>340</v>
      </c>
      <c r="D163" s="18"/>
      <c r="E163" s="19"/>
      <c r="F163" s="33" t="str">
        <f t="shared" si="8"/>
        <v>V</v>
      </c>
    </row>
    <row r="164" spans="2:6" ht="21" customHeight="1" x14ac:dyDescent="0.25">
      <c r="B164" s="18" t="s">
        <v>319</v>
      </c>
      <c r="C164" s="19" t="s">
        <v>341</v>
      </c>
      <c r="D164" s="18"/>
      <c r="E164" s="19"/>
      <c r="F164" s="33" t="str">
        <f t="shared" si="8"/>
        <v>C</v>
      </c>
    </row>
    <row r="165" spans="2:6" ht="21" customHeight="1" x14ac:dyDescent="0.25">
      <c r="B165" s="18" t="s">
        <v>320</v>
      </c>
      <c r="C165" s="19" t="s">
        <v>342</v>
      </c>
      <c r="D165" s="18"/>
      <c r="E165" s="19"/>
      <c r="F165" s="33" t="str">
        <f t="shared" si="8"/>
        <v>S</v>
      </c>
    </row>
    <row r="166" spans="2:6" ht="21" customHeight="1" x14ac:dyDescent="0.25">
      <c r="B166" s="18" t="s">
        <v>321</v>
      </c>
      <c r="C166" s="19" t="s">
        <v>343</v>
      </c>
      <c r="D166" s="18"/>
      <c r="E166" s="19"/>
      <c r="F166" s="33" t="str">
        <f t="shared" si="8"/>
        <v>D</v>
      </c>
    </row>
    <row r="167" spans="2:6" ht="21" customHeight="1" x14ac:dyDescent="0.25">
      <c r="B167" s="18" t="s">
        <v>322</v>
      </c>
      <c r="C167" s="19" t="s">
        <v>344</v>
      </c>
      <c r="D167" s="18"/>
      <c r="E167" s="19"/>
      <c r="F167" s="33" t="str">
        <f t="shared" si="8"/>
        <v>P</v>
      </c>
    </row>
    <row r="168" spans="2:6" ht="21" customHeight="1" x14ac:dyDescent="0.25">
      <c r="B168" s="18" t="s">
        <v>323</v>
      </c>
      <c r="C168" s="19" t="s">
        <v>345</v>
      </c>
      <c r="D168" s="18"/>
      <c r="E168" s="19"/>
      <c r="F168" s="33" t="str">
        <f t="shared" si="8"/>
        <v>T</v>
      </c>
    </row>
    <row r="169" spans="2:6" ht="21" customHeight="1" x14ac:dyDescent="0.25">
      <c r="B169" s="18" t="s">
        <v>324</v>
      </c>
      <c r="C169" s="19" t="s">
        <v>346</v>
      </c>
      <c r="D169" s="18"/>
      <c r="E169" s="19"/>
      <c r="F169" s="33" t="str">
        <f t="shared" si="8"/>
        <v>A</v>
      </c>
    </row>
    <row r="170" spans="2:6" ht="21" customHeight="1" x14ac:dyDescent="0.25">
      <c r="B170" s="18" t="s">
        <v>325</v>
      </c>
      <c r="C170" s="19" t="s">
        <v>347</v>
      </c>
      <c r="D170" s="18"/>
      <c r="E170" s="19"/>
      <c r="F170" s="33" t="str">
        <f t="shared" si="8"/>
        <v>I</v>
      </c>
    </row>
    <row r="171" spans="2:6" ht="21" customHeight="1" x14ac:dyDescent="0.25">
      <c r="B171" s="18" t="s">
        <v>326</v>
      </c>
      <c r="C171" s="19" t="s">
        <v>348</v>
      </c>
      <c r="D171" s="18"/>
      <c r="E171" s="19"/>
      <c r="F171" s="33" t="str">
        <f t="shared" si="8"/>
        <v>A</v>
      </c>
    </row>
    <row r="172" spans="2:6" ht="21" customHeight="1" x14ac:dyDescent="0.25">
      <c r="B172" s="18" t="s">
        <v>327</v>
      </c>
      <c r="C172" s="19" t="s">
        <v>349</v>
      </c>
      <c r="D172" s="18"/>
      <c r="E172" s="19"/>
      <c r="F172" s="33" t="str">
        <f t="shared" si="8"/>
        <v>I</v>
      </c>
    </row>
    <row r="173" spans="2:6" ht="21" customHeight="1" x14ac:dyDescent="0.25">
      <c r="B173" s="18" t="s">
        <v>350</v>
      </c>
      <c r="C173" s="19" t="s">
        <v>358</v>
      </c>
      <c r="D173" s="18"/>
      <c r="E173" s="19"/>
      <c r="F173" s="33" t="str">
        <f t="shared" ref="F173:F180" si="9">LEFT(C173)</f>
        <v>M</v>
      </c>
    </row>
    <row r="174" spans="2:6" ht="21" customHeight="1" x14ac:dyDescent="0.25">
      <c r="B174" s="18" t="s">
        <v>351</v>
      </c>
      <c r="C174" s="19" t="s">
        <v>359</v>
      </c>
      <c r="D174" s="18"/>
      <c r="E174" s="19"/>
      <c r="F174" s="33" t="str">
        <f t="shared" si="9"/>
        <v>T</v>
      </c>
    </row>
    <row r="175" spans="2:6" ht="21" customHeight="1" x14ac:dyDescent="0.25">
      <c r="B175" s="18" t="s">
        <v>352</v>
      </c>
      <c r="C175" s="19" t="s">
        <v>360</v>
      </c>
      <c r="D175" s="18"/>
      <c r="E175" s="19"/>
      <c r="F175" s="33" t="str">
        <f t="shared" si="9"/>
        <v>M</v>
      </c>
    </row>
    <row r="176" spans="2:6" ht="21" customHeight="1" x14ac:dyDescent="0.25">
      <c r="B176" s="18" t="s">
        <v>353</v>
      </c>
      <c r="C176" s="19" t="s">
        <v>361</v>
      </c>
      <c r="D176" s="18"/>
      <c r="E176" s="19"/>
      <c r="F176" s="33" t="str">
        <f t="shared" si="9"/>
        <v>M</v>
      </c>
    </row>
    <row r="177" spans="2:6" ht="21" customHeight="1" x14ac:dyDescent="0.25">
      <c r="B177" s="18" t="s">
        <v>354</v>
      </c>
      <c r="C177" s="19" t="s">
        <v>362</v>
      </c>
      <c r="D177" s="18"/>
      <c r="E177" s="19"/>
      <c r="F177" s="33" t="str">
        <f t="shared" si="9"/>
        <v>J</v>
      </c>
    </row>
    <row r="178" spans="2:6" ht="21" customHeight="1" x14ac:dyDescent="0.25">
      <c r="B178" s="18" t="s">
        <v>355</v>
      </c>
      <c r="C178" s="19" t="s">
        <v>363</v>
      </c>
      <c r="D178" s="18"/>
      <c r="E178" s="19"/>
      <c r="F178" s="33" t="str">
        <f t="shared" si="9"/>
        <v>T</v>
      </c>
    </row>
    <row r="179" spans="2:6" ht="21" customHeight="1" x14ac:dyDescent="0.25">
      <c r="B179" s="18" t="s">
        <v>356</v>
      </c>
      <c r="C179" s="19" t="s">
        <v>364</v>
      </c>
      <c r="D179" s="18"/>
      <c r="E179" s="19"/>
      <c r="F179" s="33" t="str">
        <f t="shared" si="9"/>
        <v>D</v>
      </c>
    </row>
    <row r="180" spans="2:6" ht="21" customHeight="1" x14ac:dyDescent="0.25">
      <c r="B180" s="18" t="s">
        <v>357</v>
      </c>
      <c r="C180" s="19" t="s">
        <v>365</v>
      </c>
      <c r="D180" s="18"/>
      <c r="E180" s="19"/>
      <c r="F180" s="33" t="str">
        <f t="shared" si="9"/>
        <v>M</v>
      </c>
    </row>
    <row r="181" spans="2:6" ht="21" customHeight="1" x14ac:dyDescent="0.25">
      <c r="B181" s="18" t="s">
        <v>368</v>
      </c>
      <c r="C181" s="19" t="s">
        <v>369</v>
      </c>
      <c r="D181" s="18"/>
      <c r="E181" s="19"/>
      <c r="F181" s="33" t="str">
        <f>LEFT(C181)</f>
        <v>S</v>
      </c>
    </row>
    <row r="182" spans="2:6" ht="21" customHeight="1" x14ac:dyDescent="0.25">
      <c r="B182" s="18" t="s">
        <v>367</v>
      </c>
      <c r="C182" s="19" t="s">
        <v>370</v>
      </c>
      <c r="D182" s="18"/>
      <c r="E182" s="19"/>
      <c r="F182" s="33" t="str">
        <f>LEFT(C182)</f>
        <v>E</v>
      </c>
    </row>
    <row r="183" spans="2:6" ht="21" customHeight="1" x14ac:dyDescent="0.25">
      <c r="B183" s="18" t="s">
        <v>366</v>
      </c>
      <c r="C183" s="19" t="s">
        <v>371</v>
      </c>
      <c r="D183" s="18"/>
      <c r="E183" s="19"/>
      <c r="F183" s="33" t="str">
        <f>LEFT(C183)</f>
        <v>S</v>
      </c>
    </row>
    <row r="184" spans="2:6" ht="21" customHeight="1" x14ac:dyDescent="0.25">
      <c r="B184" s="18" t="s">
        <v>372</v>
      </c>
      <c r="C184" s="19" t="s">
        <v>380</v>
      </c>
      <c r="D184" s="18"/>
      <c r="E184" s="19"/>
      <c r="F184" s="33" t="str">
        <f>LEFT(C184)</f>
        <v>T</v>
      </c>
    </row>
    <row r="185" spans="2:6" ht="21" customHeight="1" x14ac:dyDescent="0.25">
      <c r="B185" s="18" t="s">
        <v>373</v>
      </c>
      <c r="C185" s="19" t="s">
        <v>381</v>
      </c>
      <c r="D185" s="18"/>
      <c r="E185" s="19"/>
      <c r="F185" s="33" t="str">
        <f t="shared" ref="F185:F191" si="10">LEFT(C185)</f>
        <v>M</v>
      </c>
    </row>
    <row r="186" spans="2:6" ht="21" customHeight="1" x14ac:dyDescent="0.25">
      <c r="B186" s="18" t="s">
        <v>374</v>
      </c>
      <c r="C186" s="19" t="s">
        <v>382</v>
      </c>
      <c r="D186" s="18"/>
      <c r="E186" s="19"/>
      <c r="F186" s="33" t="str">
        <f t="shared" si="10"/>
        <v>E</v>
      </c>
    </row>
    <row r="187" spans="2:6" ht="21" customHeight="1" x14ac:dyDescent="0.25">
      <c r="B187" s="18" t="s">
        <v>375</v>
      </c>
      <c r="C187" s="19" t="s">
        <v>383</v>
      </c>
      <c r="D187" s="18"/>
      <c r="E187" s="19"/>
      <c r="F187" s="33" t="str">
        <f t="shared" si="10"/>
        <v>C</v>
      </c>
    </row>
    <row r="188" spans="2:6" ht="21" customHeight="1" x14ac:dyDescent="0.25">
      <c r="B188" s="18" t="s">
        <v>376</v>
      </c>
      <c r="C188" s="19" t="s">
        <v>384</v>
      </c>
      <c r="D188" s="18"/>
      <c r="E188" s="19"/>
      <c r="F188" s="33" t="str">
        <f t="shared" si="10"/>
        <v>A</v>
      </c>
    </row>
    <row r="189" spans="2:6" ht="21" customHeight="1" x14ac:dyDescent="0.25">
      <c r="B189" s="18" t="s">
        <v>377</v>
      </c>
      <c r="C189" s="19" t="s">
        <v>385</v>
      </c>
      <c r="D189" s="18"/>
      <c r="E189" s="19"/>
      <c r="F189" s="33" t="str">
        <f t="shared" si="10"/>
        <v>I</v>
      </c>
    </row>
    <row r="190" spans="2:6" ht="21" customHeight="1" x14ac:dyDescent="0.25">
      <c r="B190" s="18" t="s">
        <v>378</v>
      </c>
      <c r="C190" s="19" t="s">
        <v>386</v>
      </c>
      <c r="D190" s="18"/>
      <c r="E190" s="19"/>
      <c r="F190" s="33" t="str">
        <f t="shared" si="10"/>
        <v>R</v>
      </c>
    </row>
    <row r="191" spans="2:6" ht="21" customHeight="1" x14ac:dyDescent="0.25">
      <c r="B191" s="18" t="s">
        <v>379</v>
      </c>
      <c r="C191" s="19" t="s">
        <v>387</v>
      </c>
      <c r="D191" s="18"/>
      <c r="E191" s="19"/>
      <c r="F191" s="33" t="str">
        <f t="shared" si="10"/>
        <v>G</v>
      </c>
    </row>
    <row r="192" spans="2:6" ht="21" customHeight="1" x14ac:dyDescent="0.25">
      <c r="B192" s="18" t="s">
        <v>388</v>
      </c>
      <c r="C192" s="19" t="s">
        <v>391</v>
      </c>
      <c r="D192" s="18"/>
      <c r="E192" s="19"/>
      <c r="F192" s="33" t="str">
        <f t="shared" ref="F192:F199" si="11">LEFT(C192)</f>
        <v>J</v>
      </c>
    </row>
    <row r="193" spans="2:6" ht="21" customHeight="1" x14ac:dyDescent="0.25">
      <c r="B193" s="18" t="s">
        <v>389</v>
      </c>
      <c r="C193" s="19" t="s">
        <v>392</v>
      </c>
      <c r="D193" s="18"/>
      <c r="E193" s="19"/>
      <c r="F193" s="33" t="str">
        <f t="shared" si="11"/>
        <v>N</v>
      </c>
    </row>
    <row r="194" spans="2:6" ht="21" customHeight="1" x14ac:dyDescent="0.25">
      <c r="B194" s="18" t="s">
        <v>390</v>
      </c>
      <c r="C194" s="19" t="s">
        <v>393</v>
      </c>
      <c r="D194" s="18"/>
      <c r="E194" s="19"/>
      <c r="F194" s="33" t="str">
        <f t="shared" si="11"/>
        <v>C</v>
      </c>
    </row>
    <row r="195" spans="2:6" ht="21" customHeight="1" x14ac:dyDescent="0.25">
      <c r="B195" s="18" t="s">
        <v>395</v>
      </c>
      <c r="C195" s="19" t="s">
        <v>396</v>
      </c>
      <c r="D195" s="18"/>
      <c r="E195" s="19"/>
      <c r="F195" s="33" t="str">
        <f t="shared" si="11"/>
        <v>S</v>
      </c>
    </row>
    <row r="196" spans="2:6" ht="21" customHeight="1" x14ac:dyDescent="0.25">
      <c r="B196" s="18" t="s">
        <v>397</v>
      </c>
      <c r="C196" s="19" t="s">
        <v>399</v>
      </c>
      <c r="D196" s="18"/>
      <c r="E196" s="19"/>
      <c r="F196" s="33" t="str">
        <f t="shared" si="11"/>
        <v>C</v>
      </c>
    </row>
    <row r="197" spans="2:6" ht="21" customHeight="1" x14ac:dyDescent="0.25">
      <c r="B197" s="18" t="s">
        <v>398</v>
      </c>
      <c r="C197" s="19" t="s">
        <v>400</v>
      </c>
      <c r="D197" s="18"/>
      <c r="E197" s="19"/>
      <c r="F197" s="33" t="str">
        <f t="shared" si="11"/>
        <v>T</v>
      </c>
    </row>
    <row r="198" spans="2:6" ht="21" customHeight="1" x14ac:dyDescent="0.25">
      <c r="B198" s="18" t="s">
        <v>401</v>
      </c>
      <c r="C198" s="19" t="s">
        <v>402</v>
      </c>
      <c r="D198" s="18"/>
      <c r="E198" s="19"/>
      <c r="F198" s="33" t="str">
        <f t="shared" si="11"/>
        <v>I</v>
      </c>
    </row>
    <row r="199" spans="2:6" ht="21" customHeight="1" x14ac:dyDescent="0.25">
      <c r="B199" s="18" t="s">
        <v>403</v>
      </c>
      <c r="C199" s="19" t="s">
        <v>404</v>
      </c>
      <c r="D199" s="18"/>
      <c r="E199" s="19"/>
      <c r="F199" s="33" t="str">
        <f t="shared" si="11"/>
        <v>R</v>
      </c>
    </row>
    <row r="200" spans="2:6" ht="21" customHeight="1" x14ac:dyDescent="0.25">
      <c r="B200" s="18" t="s">
        <v>405</v>
      </c>
      <c r="C200" s="19" t="s">
        <v>411</v>
      </c>
      <c r="D200" s="18"/>
      <c r="E200" s="19"/>
      <c r="F200" s="33" t="str">
        <f t="shared" ref="F200:F205" si="12">LEFT(C200)</f>
        <v>U</v>
      </c>
    </row>
    <row r="201" spans="2:6" ht="21" customHeight="1" x14ac:dyDescent="0.25">
      <c r="B201" s="18" t="s">
        <v>406</v>
      </c>
      <c r="C201" s="19" t="s">
        <v>412</v>
      </c>
      <c r="D201" s="18"/>
      <c r="E201" s="19"/>
      <c r="F201" s="33" t="str">
        <f t="shared" si="12"/>
        <v>L</v>
      </c>
    </row>
    <row r="202" spans="2:6" ht="21" customHeight="1" x14ac:dyDescent="0.25">
      <c r="B202" s="18" t="s">
        <v>407</v>
      </c>
      <c r="C202" s="19" t="s">
        <v>413</v>
      </c>
      <c r="D202" s="18"/>
      <c r="E202" s="19"/>
      <c r="F202" s="33" t="str">
        <f t="shared" si="12"/>
        <v>M</v>
      </c>
    </row>
    <row r="203" spans="2:6" ht="21" customHeight="1" x14ac:dyDescent="0.25">
      <c r="B203" s="18" t="s">
        <v>408</v>
      </c>
      <c r="C203" s="19" t="s">
        <v>414</v>
      </c>
      <c r="D203" s="18"/>
      <c r="E203" s="19"/>
      <c r="F203" s="33" t="str">
        <f t="shared" si="12"/>
        <v>O</v>
      </c>
    </row>
    <row r="204" spans="2:6" ht="21" customHeight="1" x14ac:dyDescent="0.25">
      <c r="B204" s="18" t="s">
        <v>409</v>
      </c>
      <c r="C204" s="19" t="s">
        <v>415</v>
      </c>
      <c r="D204" s="18"/>
      <c r="E204" s="19"/>
      <c r="F204" s="33" t="str">
        <f t="shared" si="12"/>
        <v>G</v>
      </c>
    </row>
    <row r="205" spans="2:6" ht="21" customHeight="1" x14ac:dyDescent="0.25">
      <c r="B205" s="18" t="s">
        <v>410</v>
      </c>
      <c r="C205" s="19" t="s">
        <v>416</v>
      </c>
      <c r="D205" s="18"/>
      <c r="E205" s="19"/>
      <c r="F205" s="33" t="str">
        <f t="shared" si="12"/>
        <v>E</v>
      </c>
    </row>
    <row r="206" spans="2:6" ht="21" customHeight="1" x14ac:dyDescent="0.25">
      <c r="B206" s="18" t="s">
        <v>417</v>
      </c>
      <c r="C206" s="19" t="s">
        <v>418</v>
      </c>
      <c r="D206" s="18"/>
      <c r="E206" s="19"/>
      <c r="F206" s="33" t="str">
        <f t="shared" ref="F206:F211" si="13">LEFT(C206)</f>
        <v>I</v>
      </c>
    </row>
    <row r="207" spans="2:6" ht="21" customHeight="1" x14ac:dyDescent="0.25">
      <c r="B207" s="18" t="s">
        <v>419</v>
      </c>
      <c r="C207" s="19" t="s">
        <v>420</v>
      </c>
      <c r="D207" s="18"/>
      <c r="E207" s="19"/>
      <c r="F207" s="33" t="str">
        <f t="shared" si="13"/>
        <v>K</v>
      </c>
    </row>
    <row r="208" spans="2:6" ht="21" customHeight="1" x14ac:dyDescent="0.25">
      <c r="B208" s="18" t="s">
        <v>421</v>
      </c>
      <c r="C208" s="19" t="s">
        <v>422</v>
      </c>
      <c r="D208" s="18"/>
      <c r="E208" s="19"/>
      <c r="F208" s="33" t="str">
        <f t="shared" si="13"/>
        <v>G</v>
      </c>
    </row>
    <row r="209" spans="2:6" ht="21" customHeight="1" x14ac:dyDescent="0.25">
      <c r="B209" s="18" t="s">
        <v>423</v>
      </c>
      <c r="C209" s="19" t="s">
        <v>425</v>
      </c>
      <c r="D209" s="18"/>
      <c r="E209" s="19"/>
      <c r="F209" s="33" t="str">
        <f t="shared" si="13"/>
        <v>D</v>
      </c>
    </row>
    <row r="210" spans="2:6" ht="21" customHeight="1" x14ac:dyDescent="0.25">
      <c r="B210" s="18" t="s">
        <v>424</v>
      </c>
      <c r="C210" s="19" t="s">
        <v>426</v>
      </c>
      <c r="D210" s="18"/>
      <c r="E210" s="19"/>
      <c r="F210" s="33" t="str">
        <f t="shared" si="13"/>
        <v>E</v>
      </c>
    </row>
    <row r="211" spans="2:6" ht="21" customHeight="1" x14ac:dyDescent="0.25">
      <c r="B211" s="18" t="s">
        <v>427</v>
      </c>
      <c r="C211" s="19" t="s">
        <v>428</v>
      </c>
      <c r="D211" s="18"/>
      <c r="E211" s="19"/>
      <c r="F211" s="33" t="str">
        <f t="shared" si="13"/>
        <v>C</v>
      </c>
    </row>
    <row r="212" spans="2:6" ht="21" customHeight="1" x14ac:dyDescent="0.25">
      <c r="B212" s="18" t="s">
        <v>429</v>
      </c>
      <c r="C212" s="19" t="s">
        <v>433</v>
      </c>
      <c r="D212" s="18"/>
      <c r="E212" s="19"/>
      <c r="F212" s="33" t="str">
        <f t="shared" ref="F212:F218" si="14">LEFT(C212)</f>
        <v>A</v>
      </c>
    </row>
    <row r="213" spans="2:6" ht="21" customHeight="1" x14ac:dyDescent="0.25">
      <c r="B213" s="18" t="s">
        <v>430</v>
      </c>
      <c r="C213" s="19" t="s">
        <v>434</v>
      </c>
      <c r="D213" s="18"/>
      <c r="E213" s="19"/>
      <c r="F213" s="33" t="str">
        <f t="shared" si="14"/>
        <v>P</v>
      </c>
    </row>
    <row r="214" spans="2:6" ht="21" customHeight="1" x14ac:dyDescent="0.25">
      <c r="B214" s="18" t="s">
        <v>431</v>
      </c>
      <c r="C214" s="19" t="s">
        <v>435</v>
      </c>
      <c r="D214" s="18"/>
      <c r="E214" s="19"/>
      <c r="F214" s="33" t="str">
        <f t="shared" si="14"/>
        <v>C</v>
      </c>
    </row>
    <row r="215" spans="2:6" ht="21" customHeight="1" x14ac:dyDescent="0.25">
      <c r="B215" s="18" t="s">
        <v>432</v>
      </c>
      <c r="C215" s="19" t="s">
        <v>436</v>
      </c>
      <c r="D215" s="18"/>
      <c r="E215" s="19"/>
      <c r="F215" s="33" t="str">
        <f t="shared" si="14"/>
        <v>E</v>
      </c>
    </row>
    <row r="216" spans="2:6" ht="21" customHeight="1" x14ac:dyDescent="0.25">
      <c r="B216" s="18" t="s">
        <v>438</v>
      </c>
      <c r="C216" s="19" t="s">
        <v>441</v>
      </c>
      <c r="D216" s="18"/>
      <c r="E216" s="19"/>
      <c r="F216" s="33" t="str">
        <f t="shared" si="14"/>
        <v>M</v>
      </c>
    </row>
    <row r="217" spans="2:6" ht="21" customHeight="1" x14ac:dyDescent="0.25">
      <c r="B217" s="18" t="s">
        <v>439</v>
      </c>
      <c r="C217" s="19" t="s">
        <v>442</v>
      </c>
      <c r="D217" s="18"/>
      <c r="E217" s="19"/>
      <c r="F217" s="33" t="str">
        <f t="shared" si="14"/>
        <v>V</v>
      </c>
    </row>
    <row r="218" spans="2:6" ht="21" customHeight="1" x14ac:dyDescent="0.25">
      <c r="B218" s="18" t="s">
        <v>440</v>
      </c>
      <c r="C218" s="19" t="s">
        <v>443</v>
      </c>
      <c r="D218" s="18"/>
      <c r="E218" s="19"/>
      <c r="F218" s="33" t="str">
        <f t="shared" si="14"/>
        <v>C</v>
      </c>
    </row>
    <row r="219" spans="2:6" ht="21" customHeight="1" x14ac:dyDescent="0.25">
      <c r="B219" s="18" t="s">
        <v>444</v>
      </c>
      <c r="C219" s="19" t="s">
        <v>451</v>
      </c>
      <c r="D219" s="18"/>
      <c r="E219" s="19"/>
      <c r="F219" s="33" t="str">
        <f t="shared" ref="F219:F225" si="15">LEFT(C219)</f>
        <v>J</v>
      </c>
    </row>
    <row r="220" spans="2:6" ht="21" customHeight="1" x14ac:dyDescent="0.25">
      <c r="B220" s="18" t="s">
        <v>445</v>
      </c>
      <c r="C220" s="19" t="s">
        <v>452</v>
      </c>
      <c r="D220" s="18"/>
      <c r="E220" s="19"/>
      <c r="F220" s="33" t="str">
        <f t="shared" si="15"/>
        <v>Z</v>
      </c>
    </row>
    <row r="221" spans="2:6" ht="21" customHeight="1" x14ac:dyDescent="0.25">
      <c r="B221" s="18" t="s">
        <v>446</v>
      </c>
      <c r="C221" s="19" t="s">
        <v>453</v>
      </c>
      <c r="D221" s="18"/>
      <c r="E221" s="19"/>
      <c r="F221" s="33" t="str">
        <f t="shared" si="15"/>
        <v>V</v>
      </c>
    </row>
    <row r="222" spans="2:6" ht="21" customHeight="1" x14ac:dyDescent="0.25">
      <c r="B222" s="18" t="s">
        <v>447</v>
      </c>
      <c r="C222" s="19" t="s">
        <v>454</v>
      </c>
      <c r="D222" s="18"/>
      <c r="E222" s="19"/>
      <c r="F222" s="33" t="str">
        <f t="shared" si="15"/>
        <v>C</v>
      </c>
    </row>
    <row r="223" spans="2:6" ht="21" customHeight="1" x14ac:dyDescent="0.25">
      <c r="B223" s="18" t="s">
        <v>448</v>
      </c>
      <c r="C223" s="19" t="s">
        <v>455</v>
      </c>
      <c r="D223" s="18"/>
      <c r="E223" s="19"/>
      <c r="F223" s="33" t="str">
        <f t="shared" si="15"/>
        <v>I</v>
      </c>
    </row>
    <row r="224" spans="2:6" ht="21" customHeight="1" x14ac:dyDescent="0.25">
      <c r="B224" s="18" t="s">
        <v>449</v>
      </c>
      <c r="C224" s="19" t="s">
        <v>456</v>
      </c>
      <c r="D224" s="18"/>
      <c r="E224" s="19"/>
      <c r="F224" s="33" t="str">
        <f t="shared" si="15"/>
        <v>S</v>
      </c>
    </row>
    <row r="225" spans="2:6" ht="21" customHeight="1" x14ac:dyDescent="0.25">
      <c r="B225" s="18" t="s">
        <v>450</v>
      </c>
      <c r="C225" s="19" t="s">
        <v>457</v>
      </c>
      <c r="D225" s="18"/>
      <c r="E225" s="19"/>
      <c r="F225" s="33" t="str">
        <f t="shared" si="15"/>
        <v>S</v>
      </c>
    </row>
    <row r="226" spans="2:6" ht="21" customHeight="1" x14ac:dyDescent="0.25">
      <c r="B226" s="18" t="s">
        <v>458</v>
      </c>
      <c r="C226" s="19" t="s">
        <v>462</v>
      </c>
      <c r="D226" s="18"/>
      <c r="E226" s="19"/>
      <c r="F226" s="33" t="str">
        <f>LEFT(C226)</f>
        <v>V</v>
      </c>
    </row>
    <row r="227" spans="2:6" ht="21" customHeight="1" x14ac:dyDescent="0.25">
      <c r="B227" s="18" t="s">
        <v>459</v>
      </c>
      <c r="C227" s="19" t="s">
        <v>463</v>
      </c>
      <c r="D227" s="18"/>
      <c r="E227" s="19"/>
      <c r="F227" s="33" t="str">
        <f>LEFT(C227)</f>
        <v>J</v>
      </c>
    </row>
    <row r="228" spans="2:6" ht="21" customHeight="1" x14ac:dyDescent="0.25">
      <c r="B228" s="18" t="s">
        <v>460</v>
      </c>
      <c r="C228" s="19" t="s">
        <v>464</v>
      </c>
      <c r="D228" s="18"/>
      <c r="E228" s="19"/>
      <c r="F228" s="33" t="str">
        <f>LEFT(C228)</f>
        <v>I</v>
      </c>
    </row>
    <row r="229" spans="2:6" ht="21" customHeight="1" x14ac:dyDescent="0.25">
      <c r="B229" s="18" t="s">
        <v>461</v>
      </c>
      <c r="C229" s="19" t="s">
        <v>465</v>
      </c>
      <c r="D229" s="18"/>
      <c r="E229" s="19"/>
      <c r="F229" s="33" t="str">
        <f>LEFT(C229)</f>
        <v>S</v>
      </c>
    </row>
    <row r="230" spans="2:6" ht="21" customHeight="1" x14ac:dyDescent="0.25">
      <c r="B230" s="18" t="s">
        <v>466</v>
      </c>
      <c r="C230" s="19" t="s">
        <v>474</v>
      </c>
      <c r="D230" s="18"/>
      <c r="E230" s="19"/>
      <c r="F230" s="33" t="str">
        <f>LEFT(C230)</f>
        <v>D</v>
      </c>
    </row>
    <row r="231" spans="2:6" ht="21" customHeight="1" x14ac:dyDescent="0.25">
      <c r="B231" s="18" t="s">
        <v>467</v>
      </c>
      <c r="C231" s="19" t="s">
        <v>475</v>
      </c>
      <c r="D231" s="18"/>
      <c r="E231" s="19"/>
      <c r="F231" s="33" t="str">
        <f t="shared" ref="F231:F237" si="16">LEFT(C231)</f>
        <v>A</v>
      </c>
    </row>
    <row r="232" spans="2:6" ht="21" customHeight="1" x14ac:dyDescent="0.25">
      <c r="B232" s="18" t="s">
        <v>468</v>
      </c>
      <c r="C232" s="19" t="s">
        <v>476</v>
      </c>
      <c r="D232" s="18"/>
      <c r="E232" s="19"/>
      <c r="F232" s="33" t="str">
        <f t="shared" si="16"/>
        <v>E</v>
      </c>
    </row>
    <row r="233" spans="2:6" ht="21" customHeight="1" x14ac:dyDescent="0.25">
      <c r="B233" s="18" t="s">
        <v>469</v>
      </c>
      <c r="C233" s="19" t="s">
        <v>477</v>
      </c>
      <c r="D233" s="18"/>
      <c r="E233" s="19"/>
      <c r="F233" s="33" t="str">
        <f t="shared" si="16"/>
        <v>S</v>
      </c>
    </row>
    <row r="234" spans="2:6" ht="21" customHeight="1" x14ac:dyDescent="0.25">
      <c r="B234" s="18" t="s">
        <v>470</v>
      </c>
      <c r="C234" s="19" t="s">
        <v>478</v>
      </c>
      <c r="D234" s="18" t="s">
        <v>559</v>
      </c>
      <c r="E234" s="19" t="s">
        <v>560</v>
      </c>
      <c r="F234" s="33" t="str">
        <f t="shared" si="16"/>
        <v>I</v>
      </c>
    </row>
    <row r="235" spans="2:6" ht="21" customHeight="1" x14ac:dyDescent="0.25">
      <c r="B235" s="18" t="s">
        <v>471</v>
      </c>
      <c r="C235" s="19" t="s">
        <v>479</v>
      </c>
      <c r="D235" s="18"/>
      <c r="E235" s="19"/>
      <c r="F235" s="33" t="str">
        <f t="shared" si="16"/>
        <v>M</v>
      </c>
    </row>
    <row r="236" spans="2:6" ht="21" customHeight="1" x14ac:dyDescent="0.25">
      <c r="B236" s="18" t="s">
        <v>472</v>
      </c>
      <c r="C236" s="19" t="s">
        <v>480</v>
      </c>
      <c r="D236" s="18"/>
      <c r="E236" s="19"/>
      <c r="F236" s="33" t="str">
        <f t="shared" si="16"/>
        <v>U</v>
      </c>
    </row>
    <row r="237" spans="2:6" ht="21" customHeight="1" x14ac:dyDescent="0.25">
      <c r="B237" s="18" t="s">
        <v>473</v>
      </c>
      <c r="C237" s="19" t="s">
        <v>481</v>
      </c>
      <c r="D237" s="18"/>
      <c r="E237" s="19"/>
      <c r="F237" s="33" t="str">
        <f t="shared" si="16"/>
        <v>M</v>
      </c>
    </row>
    <row r="238" spans="2:6" ht="21" customHeight="1" x14ac:dyDescent="0.25">
      <c r="B238" s="18" t="s">
        <v>482</v>
      </c>
      <c r="C238" s="19" t="s">
        <v>486</v>
      </c>
      <c r="D238" s="18"/>
      <c r="E238" s="19"/>
      <c r="F238" s="33" t="str">
        <f t="shared" ref="F238:F281" si="17">LEFT(C238)</f>
        <v>P</v>
      </c>
    </row>
    <row r="239" spans="2:6" ht="21" customHeight="1" x14ac:dyDescent="0.25">
      <c r="B239" s="18" t="s">
        <v>483</v>
      </c>
      <c r="C239" s="19" t="s">
        <v>487</v>
      </c>
      <c r="D239" s="18"/>
      <c r="E239" s="19"/>
      <c r="F239" s="33" t="str">
        <f t="shared" si="17"/>
        <v>S</v>
      </c>
    </row>
    <row r="240" spans="2:6" ht="21" customHeight="1" x14ac:dyDescent="0.25">
      <c r="B240" s="18" t="s">
        <v>484</v>
      </c>
      <c r="C240" s="19" t="s">
        <v>488</v>
      </c>
      <c r="D240" s="18"/>
      <c r="E240" s="19"/>
      <c r="F240" s="33" t="str">
        <f t="shared" si="17"/>
        <v>T</v>
      </c>
    </row>
    <row r="241" spans="2:6" ht="21" customHeight="1" x14ac:dyDescent="0.25">
      <c r="B241" s="18" t="s">
        <v>485</v>
      </c>
      <c r="C241" s="19" t="s">
        <v>489</v>
      </c>
      <c r="D241" s="18"/>
      <c r="E241" s="19"/>
      <c r="F241" s="33" t="str">
        <f t="shared" si="17"/>
        <v>S</v>
      </c>
    </row>
    <row r="242" spans="2:6" ht="21" customHeight="1" x14ac:dyDescent="0.25">
      <c r="B242" s="18" t="s">
        <v>490</v>
      </c>
      <c r="C242" s="19" t="s">
        <v>494</v>
      </c>
      <c r="D242" s="18"/>
      <c r="E242" s="19"/>
      <c r="F242" s="33" t="str">
        <f t="shared" si="17"/>
        <v>S</v>
      </c>
    </row>
    <row r="243" spans="2:6" ht="21" customHeight="1" x14ac:dyDescent="0.25">
      <c r="B243" s="18" t="s">
        <v>491</v>
      </c>
      <c r="C243" s="19" t="s">
        <v>495</v>
      </c>
      <c r="D243" s="18"/>
      <c r="E243" s="19"/>
      <c r="F243" s="33" t="str">
        <f t="shared" si="17"/>
        <v>N</v>
      </c>
    </row>
    <row r="244" spans="2:6" ht="21" customHeight="1" x14ac:dyDescent="0.25">
      <c r="B244" s="18" t="s">
        <v>492</v>
      </c>
      <c r="C244" s="19" t="s">
        <v>496</v>
      </c>
      <c r="D244" s="18"/>
      <c r="E244" s="19"/>
      <c r="F244" s="33" t="str">
        <f t="shared" si="17"/>
        <v>F</v>
      </c>
    </row>
    <row r="245" spans="2:6" ht="21" customHeight="1" x14ac:dyDescent="0.25">
      <c r="B245" s="18" t="s">
        <v>493</v>
      </c>
      <c r="C245" s="19" t="s">
        <v>497</v>
      </c>
      <c r="D245" s="18"/>
      <c r="E245" s="19"/>
      <c r="F245" s="33" t="str">
        <f t="shared" si="17"/>
        <v>A</v>
      </c>
    </row>
    <row r="246" spans="2:6" ht="21" customHeight="1" x14ac:dyDescent="0.25">
      <c r="B246" s="18" t="s">
        <v>498</v>
      </c>
      <c r="C246" s="19" t="s">
        <v>499</v>
      </c>
      <c r="D246" s="18"/>
      <c r="E246" s="19"/>
      <c r="F246" s="33" t="str">
        <f t="shared" si="17"/>
        <v>M</v>
      </c>
    </row>
    <row r="247" spans="2:6" ht="21" customHeight="1" x14ac:dyDescent="0.25">
      <c r="B247" s="18" t="s">
        <v>500</v>
      </c>
      <c r="C247" s="19" t="s">
        <v>506</v>
      </c>
      <c r="D247" s="18"/>
      <c r="E247" s="19"/>
      <c r="F247" s="33" t="str">
        <f t="shared" si="17"/>
        <v>L</v>
      </c>
    </row>
    <row r="248" spans="2:6" ht="21" customHeight="1" x14ac:dyDescent="0.25">
      <c r="B248" s="18" t="s">
        <v>501</v>
      </c>
      <c r="C248" s="19" t="s">
        <v>507</v>
      </c>
      <c r="D248" s="18"/>
      <c r="E248" s="19"/>
      <c r="F248" s="33" t="str">
        <f t="shared" si="17"/>
        <v>R</v>
      </c>
    </row>
    <row r="249" spans="2:6" ht="21" customHeight="1" x14ac:dyDescent="0.25">
      <c r="B249" s="18" t="s">
        <v>502</v>
      </c>
      <c r="C249" s="19" t="s">
        <v>508</v>
      </c>
      <c r="D249" s="18"/>
      <c r="E249" s="19"/>
      <c r="F249" s="33" t="str">
        <f t="shared" si="17"/>
        <v>O</v>
      </c>
    </row>
    <row r="250" spans="2:6" ht="21" customHeight="1" x14ac:dyDescent="0.25">
      <c r="B250" s="18" t="s">
        <v>503</v>
      </c>
      <c r="C250" s="19" t="s">
        <v>509</v>
      </c>
      <c r="D250" s="18"/>
      <c r="E250" s="19"/>
      <c r="F250" s="33" t="str">
        <f t="shared" si="17"/>
        <v>T</v>
      </c>
    </row>
    <row r="251" spans="2:6" ht="21" customHeight="1" x14ac:dyDescent="0.25">
      <c r="B251" s="18" t="s">
        <v>504</v>
      </c>
      <c r="C251" s="19" t="s">
        <v>510</v>
      </c>
      <c r="D251" s="18"/>
      <c r="E251" s="19"/>
      <c r="F251" s="33" t="str">
        <f t="shared" si="17"/>
        <v>I</v>
      </c>
    </row>
    <row r="252" spans="2:6" ht="21" customHeight="1" x14ac:dyDescent="0.25">
      <c r="B252" s="18" t="s">
        <v>505</v>
      </c>
      <c r="C252" s="19" t="s">
        <v>511</v>
      </c>
      <c r="D252" s="18"/>
      <c r="E252" s="19"/>
      <c r="F252" s="33" t="str">
        <f t="shared" si="17"/>
        <v>A</v>
      </c>
    </row>
    <row r="253" spans="2:6" s="45" customFormat="1" ht="21" customHeight="1" x14ac:dyDescent="0.25">
      <c r="B253" s="42" t="s">
        <v>512</v>
      </c>
      <c r="C253" s="43" t="s">
        <v>517</v>
      </c>
      <c r="D253" s="42"/>
      <c r="E253" s="43"/>
      <c r="F253" s="44" t="str">
        <f t="shared" si="17"/>
        <v>F</v>
      </c>
    </row>
    <row r="254" spans="2:6" s="45" customFormat="1" ht="21" customHeight="1" x14ac:dyDescent="0.25">
      <c r="B254" s="42" t="s">
        <v>513</v>
      </c>
      <c r="C254" s="43" t="s">
        <v>518</v>
      </c>
      <c r="D254" s="42"/>
      <c r="E254" s="43"/>
      <c r="F254" s="44" t="str">
        <f t="shared" si="17"/>
        <v>L</v>
      </c>
    </row>
    <row r="255" spans="2:6" s="45" customFormat="1" ht="21" customHeight="1" x14ac:dyDescent="0.25">
      <c r="B255" s="42" t="s">
        <v>514</v>
      </c>
      <c r="C255" s="43" t="s">
        <v>519</v>
      </c>
      <c r="D255" s="42"/>
      <c r="E255" s="43"/>
      <c r="F255" s="44" t="str">
        <f t="shared" si="17"/>
        <v>R</v>
      </c>
    </row>
    <row r="256" spans="2:6" s="45" customFormat="1" ht="21" customHeight="1" x14ac:dyDescent="0.25">
      <c r="B256" s="42" t="s">
        <v>515</v>
      </c>
      <c r="C256" s="43" t="s">
        <v>520</v>
      </c>
      <c r="D256" s="42"/>
      <c r="E256" s="43"/>
      <c r="F256" s="44" t="str">
        <f t="shared" si="17"/>
        <v>M</v>
      </c>
    </row>
    <row r="257" spans="2:6" s="45" customFormat="1" ht="21" customHeight="1" x14ac:dyDescent="0.25">
      <c r="B257" s="42" t="s">
        <v>516</v>
      </c>
      <c r="C257" s="43" t="s">
        <v>521</v>
      </c>
      <c r="D257" s="42"/>
      <c r="E257" s="43"/>
      <c r="F257" s="44" t="str">
        <f t="shared" si="17"/>
        <v>S</v>
      </c>
    </row>
    <row r="258" spans="2:6" s="45" customFormat="1" ht="21" customHeight="1" x14ac:dyDescent="0.25">
      <c r="B258" s="42" t="s">
        <v>522</v>
      </c>
      <c r="C258" s="43" t="s">
        <v>528</v>
      </c>
      <c r="D258" s="42" t="s">
        <v>553</v>
      </c>
      <c r="E258" s="43" t="s">
        <v>554</v>
      </c>
      <c r="F258" s="44" t="str">
        <f t="shared" si="17"/>
        <v>I</v>
      </c>
    </row>
    <row r="259" spans="2:6" s="45" customFormat="1" ht="21" customHeight="1" x14ac:dyDescent="0.25">
      <c r="B259" s="42" t="s">
        <v>523</v>
      </c>
      <c r="C259" s="43" t="s">
        <v>529</v>
      </c>
      <c r="D259" s="42"/>
      <c r="E259" s="43"/>
      <c r="F259" s="44" t="str">
        <f t="shared" si="17"/>
        <v>S</v>
      </c>
    </row>
    <row r="260" spans="2:6" s="45" customFormat="1" ht="21" customHeight="1" x14ac:dyDescent="0.25">
      <c r="B260" s="42" t="s">
        <v>524</v>
      </c>
      <c r="C260" s="43" t="s">
        <v>530</v>
      </c>
      <c r="D260" s="42"/>
      <c r="E260" s="43"/>
      <c r="F260" s="44" t="str">
        <f t="shared" si="17"/>
        <v>I</v>
      </c>
    </row>
    <row r="261" spans="2:6" s="45" customFormat="1" ht="21" customHeight="1" x14ac:dyDescent="0.25">
      <c r="B261" s="42" t="s">
        <v>525</v>
      </c>
      <c r="C261" s="43" t="s">
        <v>531</v>
      </c>
      <c r="D261" s="42"/>
      <c r="E261" s="43"/>
      <c r="F261" s="44" t="str">
        <f t="shared" si="17"/>
        <v>P</v>
      </c>
    </row>
    <row r="262" spans="2:6" s="45" customFormat="1" ht="21" customHeight="1" x14ac:dyDescent="0.25">
      <c r="B262" s="42" t="s">
        <v>526</v>
      </c>
      <c r="C262" s="43" t="s">
        <v>532</v>
      </c>
      <c r="D262" s="42"/>
      <c r="E262" s="43"/>
      <c r="F262" s="44" t="str">
        <f t="shared" si="17"/>
        <v>T</v>
      </c>
    </row>
    <row r="263" spans="2:6" s="45" customFormat="1" ht="21" customHeight="1" x14ac:dyDescent="0.25">
      <c r="B263" s="42" t="s">
        <v>527</v>
      </c>
      <c r="C263" s="43" t="s">
        <v>533</v>
      </c>
      <c r="D263" s="42" t="s">
        <v>551</v>
      </c>
      <c r="E263" s="43" t="s">
        <v>552</v>
      </c>
      <c r="F263" s="44" t="str">
        <f t="shared" si="17"/>
        <v>C</v>
      </c>
    </row>
    <row r="264" spans="2:6" s="45" customFormat="1" ht="21" customHeight="1" x14ac:dyDescent="0.25">
      <c r="B264" s="42" t="s">
        <v>534</v>
      </c>
      <c r="C264" s="43" t="s">
        <v>535</v>
      </c>
      <c r="D264" s="42" t="s">
        <v>549</v>
      </c>
      <c r="E264" s="43" t="s">
        <v>550</v>
      </c>
      <c r="F264" s="44" t="str">
        <f t="shared" si="17"/>
        <v>S</v>
      </c>
    </row>
    <row r="265" spans="2:6" s="45" customFormat="1" ht="21" customHeight="1" x14ac:dyDescent="0.25">
      <c r="B265" s="42" t="s">
        <v>536</v>
      </c>
      <c r="C265" s="43" t="s">
        <v>539</v>
      </c>
      <c r="D265" s="42" t="s">
        <v>543</v>
      </c>
      <c r="E265" s="43" t="s">
        <v>545</v>
      </c>
      <c r="F265" s="44" t="str">
        <f t="shared" si="17"/>
        <v>A</v>
      </c>
    </row>
    <row r="266" spans="2:6" s="45" customFormat="1" ht="21" customHeight="1" x14ac:dyDescent="0.25">
      <c r="B266" s="42" t="s">
        <v>537</v>
      </c>
      <c r="C266" s="43" t="s">
        <v>540</v>
      </c>
      <c r="D266" s="42"/>
      <c r="E266" s="43"/>
      <c r="F266" s="44" t="str">
        <f t="shared" si="17"/>
        <v>A</v>
      </c>
    </row>
    <row r="267" spans="2:6" s="45" customFormat="1" ht="21" customHeight="1" x14ac:dyDescent="0.25">
      <c r="B267" s="42" t="s">
        <v>538</v>
      </c>
      <c r="C267" s="43" t="s">
        <v>541</v>
      </c>
      <c r="D267" s="42" t="s">
        <v>542</v>
      </c>
      <c r="E267" s="43" t="s">
        <v>546</v>
      </c>
      <c r="F267" s="44" t="str">
        <f t="shared" si="17"/>
        <v>A</v>
      </c>
    </row>
    <row r="268" spans="2:6" ht="21" customHeight="1" x14ac:dyDescent="0.25">
      <c r="B268" s="42" t="s">
        <v>561</v>
      </c>
      <c r="C268" s="43" t="s">
        <v>562</v>
      </c>
      <c r="D268" s="42"/>
      <c r="E268" s="43"/>
      <c r="F268" s="44" t="str">
        <f t="shared" si="17"/>
        <v>E</v>
      </c>
    </row>
    <row r="269" spans="2:6" ht="21" customHeight="1" x14ac:dyDescent="0.25">
      <c r="B269" s="42" t="s">
        <v>576</v>
      </c>
      <c r="C269" s="43" t="s">
        <v>581</v>
      </c>
      <c r="D269" s="42"/>
      <c r="E269" s="43"/>
      <c r="F269" s="44" t="str">
        <f t="shared" si="17"/>
        <v>S</v>
      </c>
    </row>
    <row r="270" spans="2:6" ht="21" customHeight="1" x14ac:dyDescent="0.25">
      <c r="B270" s="42" t="s">
        <v>577</v>
      </c>
      <c r="C270" s="43" t="s">
        <v>582</v>
      </c>
      <c r="D270" s="42"/>
      <c r="E270" s="43"/>
      <c r="F270" s="44" t="str">
        <f t="shared" si="17"/>
        <v>D</v>
      </c>
    </row>
    <row r="271" spans="2:6" ht="21" customHeight="1" x14ac:dyDescent="0.25">
      <c r="B271" s="42" t="s">
        <v>578</v>
      </c>
      <c r="C271" s="43" t="s">
        <v>583</v>
      </c>
      <c r="D271" s="42"/>
      <c r="E271" s="43"/>
      <c r="F271" s="44" t="str">
        <f t="shared" si="17"/>
        <v>M</v>
      </c>
    </row>
    <row r="272" spans="2:6" ht="21" customHeight="1" x14ac:dyDescent="0.25">
      <c r="B272" s="42" t="s">
        <v>572</v>
      </c>
      <c r="C272" s="43" t="s">
        <v>573</v>
      </c>
      <c r="D272" s="42"/>
      <c r="E272" s="43"/>
      <c r="F272" s="44" t="str">
        <f t="shared" si="17"/>
        <v>M</v>
      </c>
    </row>
    <row r="273" spans="2:6" ht="21" customHeight="1" x14ac:dyDescent="0.25">
      <c r="B273" s="42" t="s">
        <v>579</v>
      </c>
      <c r="C273" s="43" t="s">
        <v>584</v>
      </c>
      <c r="D273" s="42"/>
      <c r="E273" s="43"/>
      <c r="F273" s="44" t="str">
        <f t="shared" si="17"/>
        <v>C</v>
      </c>
    </row>
    <row r="274" spans="2:6" ht="21" customHeight="1" x14ac:dyDescent="0.25">
      <c r="B274" s="42" t="s">
        <v>580</v>
      </c>
      <c r="C274" s="43" t="s">
        <v>585</v>
      </c>
      <c r="D274" s="42"/>
      <c r="E274" s="43"/>
      <c r="F274" s="44" t="str">
        <f t="shared" si="17"/>
        <v>L</v>
      </c>
    </row>
    <row r="275" spans="2:6" ht="21" customHeight="1" x14ac:dyDescent="0.25">
      <c r="B275" s="42" t="s">
        <v>586</v>
      </c>
      <c r="C275" s="43" t="s">
        <v>591</v>
      </c>
      <c r="D275" s="42"/>
      <c r="E275" s="43"/>
      <c r="F275" s="44" t="str">
        <f t="shared" si="17"/>
        <v>S</v>
      </c>
    </row>
    <row r="276" spans="2:6" ht="21" customHeight="1" x14ac:dyDescent="0.25">
      <c r="B276" s="42" t="s">
        <v>570</v>
      </c>
      <c r="C276" s="43" t="s">
        <v>592</v>
      </c>
      <c r="D276" s="42"/>
      <c r="E276" s="43"/>
      <c r="F276" s="44" t="str">
        <f t="shared" si="17"/>
        <v>J</v>
      </c>
    </row>
    <row r="277" spans="2:6" ht="21" customHeight="1" x14ac:dyDescent="0.25">
      <c r="B277" s="42" t="s">
        <v>587</v>
      </c>
      <c r="C277" s="43" t="s">
        <v>593</v>
      </c>
      <c r="D277" s="42"/>
      <c r="E277" s="43"/>
      <c r="F277" s="44" t="str">
        <f t="shared" si="17"/>
        <v>T</v>
      </c>
    </row>
    <row r="278" spans="2:6" ht="21" customHeight="1" x14ac:dyDescent="0.25">
      <c r="B278" s="42" t="s">
        <v>588</v>
      </c>
      <c r="C278" s="43" t="s">
        <v>594</v>
      </c>
      <c r="D278" s="42"/>
      <c r="E278" s="43"/>
      <c r="F278" s="44" t="str">
        <f t="shared" si="17"/>
        <v>R</v>
      </c>
    </row>
    <row r="279" spans="2:6" ht="21" customHeight="1" x14ac:dyDescent="0.25">
      <c r="B279" s="42" t="s">
        <v>589</v>
      </c>
      <c r="C279" s="43" t="s">
        <v>595</v>
      </c>
      <c r="D279" s="42"/>
      <c r="E279" s="43"/>
      <c r="F279" s="44" t="str">
        <f t="shared" si="17"/>
        <v>I</v>
      </c>
    </row>
    <row r="280" spans="2:6" ht="21" customHeight="1" x14ac:dyDescent="0.25">
      <c r="B280" s="42" t="s">
        <v>590</v>
      </c>
      <c r="C280" s="43" t="s">
        <v>596</v>
      </c>
      <c r="D280" s="42"/>
      <c r="E280" s="43"/>
      <c r="F280" s="44" t="str">
        <f t="shared" si="17"/>
        <v>T</v>
      </c>
    </row>
    <row r="281" spans="2:6" ht="21" customHeight="1" x14ac:dyDescent="0.25">
      <c r="B281" s="42" t="s">
        <v>597</v>
      </c>
      <c r="C281" s="43" t="s">
        <v>609</v>
      </c>
      <c r="D281" s="42"/>
      <c r="E281" s="43"/>
      <c r="F281" s="44" t="str">
        <f t="shared" si="17"/>
        <v>C</v>
      </c>
    </row>
    <row r="282" spans="2:6" ht="21" customHeight="1" x14ac:dyDescent="0.25">
      <c r="B282" s="42" t="s">
        <v>598</v>
      </c>
      <c r="C282" s="43" t="s">
        <v>610</v>
      </c>
      <c r="D282" s="42"/>
      <c r="E282" s="43"/>
      <c r="F282" s="44" t="str">
        <f t="shared" ref="F282:F292" si="18">LEFT(C282)</f>
        <v>E</v>
      </c>
    </row>
    <row r="283" spans="2:6" ht="21" customHeight="1" x14ac:dyDescent="0.25">
      <c r="B283" s="42" t="s">
        <v>599</v>
      </c>
      <c r="C283" s="43" t="s">
        <v>611</v>
      </c>
      <c r="D283" s="42"/>
      <c r="E283" s="43"/>
      <c r="F283" s="44" t="str">
        <f t="shared" si="18"/>
        <v>R</v>
      </c>
    </row>
    <row r="284" spans="2:6" ht="21" customHeight="1" x14ac:dyDescent="0.25">
      <c r="B284" s="42" t="s">
        <v>600</v>
      </c>
      <c r="C284" s="43" t="s">
        <v>612</v>
      </c>
      <c r="D284" s="42"/>
      <c r="E284" s="43"/>
      <c r="F284" s="44" t="str">
        <f t="shared" si="18"/>
        <v>M</v>
      </c>
    </row>
    <row r="285" spans="2:6" ht="21" customHeight="1" x14ac:dyDescent="0.25">
      <c r="B285" s="42" t="s">
        <v>601</v>
      </c>
      <c r="C285" s="43" t="s">
        <v>613</v>
      </c>
      <c r="D285" s="42"/>
      <c r="E285" s="43"/>
      <c r="F285" s="44" t="str">
        <f t="shared" si="18"/>
        <v>A</v>
      </c>
    </row>
    <row r="286" spans="2:6" ht="21" customHeight="1" x14ac:dyDescent="0.25">
      <c r="B286" s="42" t="s">
        <v>602</v>
      </c>
      <c r="C286" s="43" t="s">
        <v>614</v>
      </c>
      <c r="D286" s="42"/>
      <c r="E286" s="43"/>
      <c r="F286" s="44" t="str">
        <f t="shared" si="18"/>
        <v>E</v>
      </c>
    </row>
    <row r="287" spans="2:6" ht="21" customHeight="1" x14ac:dyDescent="0.25">
      <c r="B287" s="42" t="s">
        <v>603</v>
      </c>
      <c r="C287" s="43" t="s">
        <v>615</v>
      </c>
      <c r="D287" s="42"/>
      <c r="E287" s="43"/>
      <c r="F287" s="44" t="str">
        <f t="shared" si="18"/>
        <v>B</v>
      </c>
    </row>
    <row r="288" spans="2:6" ht="21" customHeight="1" x14ac:dyDescent="0.25">
      <c r="B288" s="42" t="s">
        <v>604</v>
      </c>
      <c r="C288" s="43" t="s">
        <v>616</v>
      </c>
      <c r="D288" s="42"/>
      <c r="E288" s="43"/>
      <c r="F288" s="44" t="str">
        <f t="shared" si="18"/>
        <v>S</v>
      </c>
    </row>
    <row r="289" spans="2:6" ht="21" customHeight="1" x14ac:dyDescent="0.25">
      <c r="B289" s="42" t="s">
        <v>605</v>
      </c>
      <c r="C289" s="43" t="s">
        <v>617</v>
      </c>
      <c r="D289" s="42"/>
      <c r="E289" s="43"/>
      <c r="F289" s="44" t="str">
        <f t="shared" si="18"/>
        <v>H</v>
      </c>
    </row>
    <row r="290" spans="2:6" ht="21" customHeight="1" x14ac:dyDescent="0.25">
      <c r="B290" s="42" t="s">
        <v>606</v>
      </c>
      <c r="C290" s="43" t="s">
        <v>618</v>
      </c>
      <c r="D290" s="42"/>
      <c r="E290" s="43"/>
      <c r="F290" s="44" t="str">
        <f t="shared" si="18"/>
        <v>P</v>
      </c>
    </row>
    <row r="291" spans="2:6" ht="21" customHeight="1" x14ac:dyDescent="0.25">
      <c r="B291" s="42" t="s">
        <v>607</v>
      </c>
      <c r="C291" s="43" t="s">
        <v>619</v>
      </c>
      <c r="D291" s="42"/>
      <c r="E291" s="43"/>
      <c r="F291" s="44" t="str">
        <f t="shared" si="18"/>
        <v>A</v>
      </c>
    </row>
    <row r="292" spans="2:6" ht="21" customHeight="1" x14ac:dyDescent="0.25">
      <c r="B292" s="42" t="s">
        <v>608</v>
      </c>
      <c r="C292" s="43" t="s">
        <v>620</v>
      </c>
      <c r="D292" s="42"/>
      <c r="E292" s="43"/>
      <c r="F292" s="44" t="str">
        <f t="shared" si="18"/>
        <v>I</v>
      </c>
    </row>
    <row r="293" spans="2:6" ht="21" customHeight="1" x14ac:dyDescent="0.25">
      <c r="B293" s="42" t="s">
        <v>621</v>
      </c>
      <c r="C293" s="43" t="s">
        <v>631</v>
      </c>
      <c r="D293" s="42"/>
      <c r="E293" s="43"/>
      <c r="F293" s="44" t="str">
        <f t="shared" ref="F293:F302" si="19">LEFT(C293)</f>
        <v>S</v>
      </c>
    </row>
    <row r="294" spans="2:6" ht="21" customHeight="1" x14ac:dyDescent="0.25">
      <c r="B294" s="42" t="s">
        <v>622</v>
      </c>
      <c r="C294" s="43" t="s">
        <v>632</v>
      </c>
      <c r="D294" s="42"/>
      <c r="E294" s="43"/>
      <c r="F294" s="44" t="str">
        <f t="shared" si="19"/>
        <v>R</v>
      </c>
    </row>
    <row r="295" spans="2:6" ht="21" customHeight="1" x14ac:dyDescent="0.25">
      <c r="B295" s="42" t="s">
        <v>623</v>
      </c>
      <c r="C295" s="43" t="s">
        <v>633</v>
      </c>
      <c r="D295" s="42"/>
      <c r="E295" s="43"/>
      <c r="F295" s="44" t="str">
        <f t="shared" si="19"/>
        <v>M</v>
      </c>
    </row>
    <row r="296" spans="2:6" ht="21" customHeight="1" x14ac:dyDescent="0.25">
      <c r="B296" s="42" t="s">
        <v>624</v>
      </c>
      <c r="C296" s="43" t="s">
        <v>634</v>
      </c>
      <c r="D296" s="42"/>
      <c r="E296" s="43"/>
      <c r="F296" s="44" t="str">
        <f t="shared" si="19"/>
        <v>M</v>
      </c>
    </row>
    <row r="297" spans="2:6" ht="21" customHeight="1" x14ac:dyDescent="0.25">
      <c r="B297" s="42" t="s">
        <v>625</v>
      </c>
      <c r="C297" s="43" t="s">
        <v>635</v>
      </c>
      <c r="D297" s="42"/>
      <c r="E297" s="43"/>
      <c r="F297" s="44" t="str">
        <f t="shared" si="19"/>
        <v>E</v>
      </c>
    </row>
    <row r="298" spans="2:6" ht="21" customHeight="1" x14ac:dyDescent="0.25">
      <c r="B298" s="42" t="s">
        <v>626</v>
      </c>
      <c r="C298" s="43" t="s">
        <v>636</v>
      </c>
      <c r="D298" s="42"/>
      <c r="E298" s="43"/>
      <c r="F298" s="44" t="str">
        <f t="shared" si="19"/>
        <v>G</v>
      </c>
    </row>
    <row r="299" spans="2:6" ht="21" customHeight="1" x14ac:dyDescent="0.25">
      <c r="B299" s="42" t="s">
        <v>627</v>
      </c>
      <c r="C299" s="43" t="s">
        <v>637</v>
      </c>
      <c r="D299" s="42"/>
      <c r="E299" s="43"/>
      <c r="F299" s="44" t="str">
        <f t="shared" si="19"/>
        <v>C</v>
      </c>
    </row>
    <row r="300" spans="2:6" ht="21" customHeight="1" x14ac:dyDescent="0.25">
      <c r="B300" s="42" t="s">
        <v>628</v>
      </c>
      <c r="C300" s="43" t="s">
        <v>638</v>
      </c>
      <c r="D300" s="42"/>
      <c r="E300" s="43"/>
      <c r="F300" s="44" t="str">
        <f t="shared" si="19"/>
        <v>A</v>
      </c>
    </row>
    <row r="301" spans="2:6" ht="21" customHeight="1" x14ac:dyDescent="0.25">
      <c r="B301" s="42" t="s">
        <v>629</v>
      </c>
      <c r="C301" s="43" t="s">
        <v>639</v>
      </c>
      <c r="D301" s="42"/>
      <c r="E301" s="43"/>
      <c r="F301" s="44" t="str">
        <f t="shared" si="19"/>
        <v>R</v>
      </c>
    </row>
    <row r="302" spans="2:6" ht="21" customHeight="1" x14ac:dyDescent="0.25">
      <c r="B302" s="42" t="s">
        <v>630</v>
      </c>
      <c r="C302" s="43" t="s">
        <v>640</v>
      </c>
      <c r="D302" s="42"/>
      <c r="E302" s="43"/>
      <c r="F302" s="44" t="str">
        <f t="shared" si="19"/>
        <v>O</v>
      </c>
    </row>
    <row r="303" spans="2:6" ht="21" customHeight="1" x14ac:dyDescent="0.25">
      <c r="B303" s="42" t="s">
        <v>641</v>
      </c>
      <c r="C303" s="43" t="s">
        <v>663</v>
      </c>
      <c r="D303" s="42"/>
      <c r="E303" s="43"/>
      <c r="F303" s="44" t="str">
        <f>LEFT(C303)</f>
        <v>T</v>
      </c>
    </row>
    <row r="304" spans="2:6" ht="21" customHeight="1" x14ac:dyDescent="0.25">
      <c r="B304" s="42" t="s">
        <v>642</v>
      </c>
      <c r="C304" s="43" t="s">
        <v>664</v>
      </c>
      <c r="D304" s="42"/>
      <c r="E304" s="43"/>
      <c r="F304" s="44" t="str">
        <f t="shared" ref="F304:F313" si="20">LEFT(C304)</f>
        <v>A</v>
      </c>
    </row>
    <row r="305" spans="2:6" ht="21" customHeight="1" x14ac:dyDescent="0.25">
      <c r="B305" s="42" t="s">
        <v>643</v>
      </c>
      <c r="C305" s="43" t="s">
        <v>665</v>
      </c>
      <c r="D305" s="42"/>
      <c r="E305" s="43"/>
      <c r="F305" s="44" t="str">
        <f t="shared" si="20"/>
        <v>L</v>
      </c>
    </row>
    <row r="306" spans="2:6" ht="21" customHeight="1" x14ac:dyDescent="0.25">
      <c r="B306" s="42" t="s">
        <v>644</v>
      </c>
      <c r="C306" s="43" t="s">
        <v>666</v>
      </c>
      <c r="D306" s="42"/>
      <c r="E306" s="43"/>
      <c r="F306" s="44" t="str">
        <f t="shared" si="20"/>
        <v>T</v>
      </c>
    </row>
    <row r="307" spans="2:6" ht="21" customHeight="1" x14ac:dyDescent="0.25">
      <c r="B307" s="42" t="s">
        <v>645</v>
      </c>
      <c r="C307" s="43" t="s">
        <v>667</v>
      </c>
      <c r="D307" s="42"/>
      <c r="E307" s="43"/>
      <c r="F307" s="44" t="str">
        <f t="shared" si="20"/>
        <v>G</v>
      </c>
    </row>
    <row r="308" spans="2:6" ht="21" customHeight="1" x14ac:dyDescent="0.25">
      <c r="B308" s="42" t="s">
        <v>646</v>
      </c>
      <c r="C308" s="43" t="s">
        <v>668</v>
      </c>
      <c r="D308" s="42"/>
      <c r="E308" s="43"/>
      <c r="F308" s="44" t="str">
        <f t="shared" si="20"/>
        <v>C</v>
      </c>
    </row>
    <row r="309" spans="2:6" ht="21" customHeight="1" x14ac:dyDescent="0.25">
      <c r="B309" s="42" t="s">
        <v>647</v>
      </c>
      <c r="C309" s="43" t="s">
        <v>669</v>
      </c>
      <c r="D309" s="42"/>
      <c r="E309" s="43"/>
      <c r="F309" s="44" t="str">
        <f t="shared" si="20"/>
        <v>L</v>
      </c>
    </row>
    <row r="310" spans="2:6" ht="21" customHeight="1" x14ac:dyDescent="0.25">
      <c r="B310" s="42" t="s">
        <v>648</v>
      </c>
      <c r="C310" s="43" t="s">
        <v>670</v>
      </c>
      <c r="D310" s="42"/>
      <c r="E310" s="43"/>
      <c r="F310" s="44" t="str">
        <f t="shared" si="20"/>
        <v>C</v>
      </c>
    </row>
    <row r="311" spans="2:6" ht="21" customHeight="1" x14ac:dyDescent="0.25">
      <c r="B311" s="42" t="s">
        <v>649</v>
      </c>
      <c r="C311" s="43" t="s">
        <v>671</v>
      </c>
      <c r="D311" s="42"/>
      <c r="E311" s="43"/>
      <c r="F311" s="44" t="str">
        <f t="shared" si="20"/>
        <v>A</v>
      </c>
    </row>
    <row r="312" spans="2:6" ht="21" customHeight="1" x14ac:dyDescent="0.25">
      <c r="B312" s="42" t="s">
        <v>650</v>
      </c>
      <c r="C312" s="43" t="s">
        <v>672</v>
      </c>
      <c r="D312" s="42"/>
      <c r="E312" s="43"/>
      <c r="F312" s="44" t="str">
        <f t="shared" si="20"/>
        <v>S</v>
      </c>
    </row>
    <row r="313" spans="2:6" ht="21" customHeight="1" x14ac:dyDescent="0.25">
      <c r="B313" s="42" t="s">
        <v>651</v>
      </c>
      <c r="C313" s="43" t="s">
        <v>673</v>
      </c>
      <c r="D313" s="42"/>
      <c r="E313" s="43"/>
      <c r="F313" s="44" t="str">
        <f t="shared" si="20"/>
        <v>C</v>
      </c>
    </row>
    <row r="314" spans="2:6" ht="21" customHeight="1" x14ac:dyDescent="0.25">
      <c r="B314" s="42" t="s">
        <v>652</v>
      </c>
      <c r="C314" s="43" t="s">
        <v>674</v>
      </c>
      <c r="D314" s="42"/>
      <c r="E314" s="43"/>
      <c r="F314" s="44" t="str">
        <f t="shared" ref="F314:F324" si="21">LEFT(C314)</f>
        <v>A</v>
      </c>
    </row>
    <row r="315" spans="2:6" ht="21" customHeight="1" x14ac:dyDescent="0.25">
      <c r="B315" s="42" t="s">
        <v>653</v>
      </c>
      <c r="C315" s="43" t="s">
        <v>675</v>
      </c>
      <c r="D315" s="42"/>
      <c r="E315" s="43"/>
      <c r="F315" s="44" t="str">
        <f t="shared" si="21"/>
        <v>L</v>
      </c>
    </row>
    <row r="316" spans="2:6" ht="21" customHeight="1" x14ac:dyDescent="0.25">
      <c r="B316" s="42" t="s">
        <v>654</v>
      </c>
      <c r="C316" s="43" t="s">
        <v>676</v>
      </c>
      <c r="D316" s="42"/>
      <c r="E316" s="43"/>
      <c r="F316" s="44" t="str">
        <f t="shared" si="21"/>
        <v>B</v>
      </c>
    </row>
    <row r="317" spans="2:6" ht="21" customHeight="1" x14ac:dyDescent="0.25">
      <c r="B317" s="42" t="s">
        <v>655</v>
      </c>
      <c r="C317" s="43" t="s">
        <v>677</v>
      </c>
      <c r="D317" s="42"/>
      <c r="E317" s="43"/>
      <c r="F317" s="44" t="str">
        <f t="shared" si="21"/>
        <v>J</v>
      </c>
    </row>
    <row r="318" spans="2:6" ht="21" customHeight="1" x14ac:dyDescent="0.25">
      <c r="B318" s="42" t="s">
        <v>656</v>
      </c>
      <c r="C318" s="43" t="s">
        <v>678</v>
      </c>
      <c r="D318" s="42"/>
      <c r="E318" s="43"/>
      <c r="F318" s="44" t="str">
        <f t="shared" si="21"/>
        <v>C</v>
      </c>
    </row>
    <row r="319" spans="2:6" ht="21" customHeight="1" x14ac:dyDescent="0.25">
      <c r="B319" s="42" t="s">
        <v>657</v>
      </c>
      <c r="C319" s="43" t="s">
        <v>679</v>
      </c>
      <c r="D319" s="42"/>
      <c r="E319" s="43"/>
      <c r="F319" s="44" t="str">
        <f t="shared" si="21"/>
        <v>M</v>
      </c>
    </row>
    <row r="320" spans="2:6" ht="21" customHeight="1" x14ac:dyDescent="0.25">
      <c r="B320" s="42" t="s">
        <v>658</v>
      </c>
      <c r="C320" s="43" t="s">
        <v>680</v>
      </c>
      <c r="D320" s="42"/>
      <c r="E320" s="43"/>
      <c r="F320" s="44" t="str">
        <f t="shared" si="21"/>
        <v>J</v>
      </c>
    </row>
    <row r="321" spans="2:6" ht="21" customHeight="1" x14ac:dyDescent="0.25">
      <c r="B321" s="42" t="s">
        <v>659</v>
      </c>
      <c r="C321" s="43" t="s">
        <v>681</v>
      </c>
      <c r="D321" s="42"/>
      <c r="E321" s="43"/>
      <c r="F321" s="44" t="str">
        <f t="shared" si="21"/>
        <v>I</v>
      </c>
    </row>
    <row r="322" spans="2:6" ht="21" customHeight="1" x14ac:dyDescent="0.25">
      <c r="B322" s="42" t="s">
        <v>660</v>
      </c>
      <c r="C322" s="43" t="s">
        <v>682</v>
      </c>
      <c r="D322" s="42"/>
      <c r="E322" s="43"/>
      <c r="F322" s="44" t="str">
        <f t="shared" si="21"/>
        <v>I</v>
      </c>
    </row>
    <row r="323" spans="2:6" ht="21" customHeight="1" x14ac:dyDescent="0.25">
      <c r="B323" s="42" t="s">
        <v>661</v>
      </c>
      <c r="C323" s="43" t="s">
        <v>683</v>
      </c>
      <c r="D323" s="42"/>
      <c r="E323" s="43"/>
      <c r="F323" s="44" t="str">
        <f t="shared" si="21"/>
        <v>M</v>
      </c>
    </row>
    <row r="324" spans="2:6" ht="21" customHeight="1" x14ac:dyDescent="0.25">
      <c r="B324" s="42" t="s">
        <v>662</v>
      </c>
      <c r="C324" s="43" t="s">
        <v>684</v>
      </c>
      <c r="D324" s="42"/>
      <c r="E324" s="43"/>
      <c r="F324" s="44" t="str">
        <f t="shared" si="21"/>
        <v>I</v>
      </c>
    </row>
    <row r="325" spans="2:6" ht="21" customHeight="1" x14ac:dyDescent="0.25">
      <c r="B325" s="42" t="s">
        <v>685</v>
      </c>
      <c r="C325" s="43" t="s">
        <v>689</v>
      </c>
      <c r="D325" s="42"/>
      <c r="E325" s="43"/>
      <c r="F325" s="44" t="str">
        <f>LEFT(C325)</f>
        <v>J</v>
      </c>
    </row>
    <row r="326" spans="2:6" ht="21" customHeight="1" x14ac:dyDescent="0.25">
      <c r="B326" s="42" t="s">
        <v>686</v>
      </c>
      <c r="C326" s="43" t="s">
        <v>690</v>
      </c>
      <c r="D326" s="42"/>
      <c r="E326" s="43"/>
      <c r="F326" s="44" t="str">
        <f>LEFT(C326)</f>
        <v>S</v>
      </c>
    </row>
    <row r="327" spans="2:6" ht="21" customHeight="1" x14ac:dyDescent="0.25">
      <c r="B327" s="42" t="s">
        <v>687</v>
      </c>
      <c r="C327" s="43" t="s">
        <v>691</v>
      </c>
      <c r="D327" s="42"/>
      <c r="E327" s="43"/>
      <c r="F327" s="44" t="str">
        <f>LEFT(C327)</f>
        <v>S</v>
      </c>
    </row>
    <row r="328" spans="2:6" ht="21" customHeight="1" x14ac:dyDescent="0.25">
      <c r="B328" s="42" t="s">
        <v>688</v>
      </c>
      <c r="C328" s="43" t="s">
        <v>692</v>
      </c>
      <c r="D328" s="42"/>
      <c r="E328" s="43"/>
      <c r="F328" s="44" t="str">
        <f>LEFT(C328)</f>
        <v>C</v>
      </c>
    </row>
    <row r="329" spans="2:6" ht="21" customHeight="1" x14ac:dyDescent="0.25">
      <c r="B329" s="42" t="s">
        <v>693</v>
      </c>
      <c r="C329" s="43" t="s">
        <v>703</v>
      </c>
      <c r="D329" s="42"/>
      <c r="E329" s="43"/>
      <c r="F329" s="44" t="str">
        <f t="shared" ref="F329:F339" si="22">LEFT(C329)</f>
        <v>A</v>
      </c>
    </row>
    <row r="330" spans="2:6" ht="21" customHeight="1" x14ac:dyDescent="0.25">
      <c r="B330" s="42" t="s">
        <v>694</v>
      </c>
      <c r="C330" s="43" t="s">
        <v>704</v>
      </c>
      <c r="D330" s="42"/>
      <c r="E330" s="43"/>
      <c r="F330" s="44" t="str">
        <f t="shared" si="22"/>
        <v>S</v>
      </c>
    </row>
    <row r="331" spans="2:6" ht="21" customHeight="1" x14ac:dyDescent="0.25">
      <c r="B331" s="42" t="s">
        <v>695</v>
      </c>
      <c r="C331" s="43" t="s">
        <v>705</v>
      </c>
      <c r="D331" s="42"/>
      <c r="E331" s="43"/>
      <c r="F331" s="44" t="str">
        <f t="shared" si="22"/>
        <v>B</v>
      </c>
    </row>
    <row r="332" spans="2:6" ht="21" customHeight="1" x14ac:dyDescent="0.25">
      <c r="B332" s="42" t="s">
        <v>574</v>
      </c>
      <c r="C332" s="43" t="s">
        <v>575</v>
      </c>
      <c r="D332" s="42"/>
      <c r="E332" s="43"/>
      <c r="F332" s="44" t="str">
        <f t="shared" si="22"/>
        <v>T</v>
      </c>
    </row>
    <row r="333" spans="2:6" ht="21" customHeight="1" x14ac:dyDescent="0.25">
      <c r="B333" s="42" t="s">
        <v>696</v>
      </c>
      <c r="C333" s="43" t="s">
        <v>706</v>
      </c>
      <c r="D333" s="42"/>
      <c r="E333" s="43"/>
      <c r="F333" s="44" t="str">
        <f t="shared" si="22"/>
        <v>A</v>
      </c>
    </row>
    <row r="334" spans="2:6" ht="21" customHeight="1" x14ac:dyDescent="0.25">
      <c r="B334" s="42" t="s">
        <v>697</v>
      </c>
      <c r="C334" s="43" t="s">
        <v>707</v>
      </c>
      <c r="D334" s="42"/>
      <c r="E334" s="43"/>
      <c r="F334" s="44" t="str">
        <f t="shared" si="22"/>
        <v>T</v>
      </c>
    </row>
    <row r="335" spans="2:6" ht="21" customHeight="1" x14ac:dyDescent="0.25">
      <c r="B335" s="42" t="s">
        <v>698</v>
      </c>
      <c r="C335" s="43" t="s">
        <v>708</v>
      </c>
      <c r="D335" s="42"/>
      <c r="E335" s="43"/>
      <c r="F335" s="44" t="str">
        <f t="shared" si="22"/>
        <v>T</v>
      </c>
    </row>
    <row r="336" spans="2:6" ht="21" customHeight="1" x14ac:dyDescent="0.25">
      <c r="B336" s="42" t="s">
        <v>699</v>
      </c>
      <c r="C336" s="43" t="s">
        <v>709</v>
      </c>
      <c r="D336" s="42"/>
      <c r="E336" s="43"/>
      <c r="F336" s="44" t="str">
        <f t="shared" si="22"/>
        <v>P</v>
      </c>
    </row>
    <row r="337" spans="2:6" ht="21" customHeight="1" x14ac:dyDescent="0.25">
      <c r="B337" s="42" t="s">
        <v>700</v>
      </c>
      <c r="C337" s="43" t="s">
        <v>710</v>
      </c>
      <c r="D337" s="42"/>
      <c r="E337" s="43"/>
      <c r="F337" s="44" t="str">
        <f t="shared" si="22"/>
        <v>I</v>
      </c>
    </row>
    <row r="338" spans="2:6" ht="21" customHeight="1" x14ac:dyDescent="0.25">
      <c r="B338" s="42" t="s">
        <v>701</v>
      </c>
      <c r="C338" s="43" t="s">
        <v>711</v>
      </c>
      <c r="D338" s="42"/>
      <c r="E338" s="43"/>
      <c r="F338" s="44" t="str">
        <f t="shared" si="22"/>
        <v>S</v>
      </c>
    </row>
    <row r="339" spans="2:6" ht="21" customHeight="1" x14ac:dyDescent="0.25">
      <c r="B339" s="42" t="s">
        <v>702</v>
      </c>
      <c r="C339" s="43" t="s">
        <v>712</v>
      </c>
      <c r="D339" s="42"/>
      <c r="E339" s="43"/>
      <c r="F339" s="44" t="str">
        <f t="shared" si="22"/>
        <v>Z</v>
      </c>
    </row>
    <row r="340" spans="2:6" ht="21" customHeight="1" x14ac:dyDescent="0.25">
      <c r="B340" s="42" t="s">
        <v>713</v>
      </c>
      <c r="C340" s="43" t="s">
        <v>719</v>
      </c>
      <c r="D340" s="42"/>
      <c r="E340" s="43"/>
      <c r="F340" s="44" t="str">
        <f t="shared" ref="F340:F345" si="23">LEFT(C340)</f>
        <v>E</v>
      </c>
    </row>
    <row r="341" spans="2:6" ht="21" customHeight="1" x14ac:dyDescent="0.25">
      <c r="B341" s="42" t="s">
        <v>714</v>
      </c>
      <c r="C341" s="43" t="s">
        <v>720</v>
      </c>
      <c r="D341" s="42"/>
      <c r="E341" s="43"/>
      <c r="F341" s="44" t="str">
        <f t="shared" si="23"/>
        <v>C</v>
      </c>
    </row>
    <row r="342" spans="2:6" ht="21" customHeight="1" x14ac:dyDescent="0.25">
      <c r="B342" s="42" t="s">
        <v>715</v>
      </c>
      <c r="C342" s="43" t="s">
        <v>721</v>
      </c>
      <c r="D342" s="42"/>
      <c r="E342" s="43"/>
      <c r="F342" s="44" t="str">
        <f t="shared" si="23"/>
        <v>M</v>
      </c>
    </row>
    <row r="343" spans="2:6" ht="21" customHeight="1" x14ac:dyDescent="0.25">
      <c r="B343" s="42" t="s">
        <v>716</v>
      </c>
      <c r="C343" s="43" t="s">
        <v>722</v>
      </c>
      <c r="D343" s="42"/>
      <c r="E343" s="43"/>
      <c r="F343" s="44" t="str">
        <f t="shared" si="23"/>
        <v>C</v>
      </c>
    </row>
    <row r="344" spans="2:6" ht="21" customHeight="1" x14ac:dyDescent="0.25">
      <c r="B344" s="42" t="s">
        <v>717</v>
      </c>
      <c r="C344" s="43" t="s">
        <v>723</v>
      </c>
      <c r="D344" s="42"/>
      <c r="E344" s="43"/>
      <c r="F344" s="44" t="str">
        <f t="shared" si="23"/>
        <v>O</v>
      </c>
    </row>
    <row r="345" spans="2:6" ht="21" customHeight="1" x14ac:dyDescent="0.25">
      <c r="B345" s="42" t="s">
        <v>718</v>
      </c>
      <c r="C345" s="43" t="s">
        <v>724</v>
      </c>
      <c r="D345" s="42"/>
      <c r="E345" s="43"/>
      <c r="F345" s="44" t="str">
        <f t="shared" si="23"/>
        <v>T</v>
      </c>
    </row>
    <row r="346" spans="2:6" ht="21" customHeight="1" x14ac:dyDescent="0.25">
      <c r="B346" s="42" t="s">
        <v>725</v>
      </c>
      <c r="C346" s="43" t="s">
        <v>726</v>
      </c>
      <c r="D346" s="42"/>
      <c r="E346" s="43"/>
      <c r="F346" s="44" t="str">
        <f t="shared" ref="F346:F357" si="24">LEFT(C346)</f>
        <v>B</v>
      </c>
    </row>
    <row r="347" spans="2:6" ht="21" customHeight="1" x14ac:dyDescent="0.25">
      <c r="B347" s="42" t="s">
        <v>727</v>
      </c>
      <c r="C347" s="43" t="s">
        <v>728</v>
      </c>
      <c r="D347" s="42"/>
      <c r="E347" s="43"/>
      <c r="F347" s="44" t="str">
        <f t="shared" si="24"/>
        <v>S</v>
      </c>
    </row>
    <row r="348" spans="2:6" ht="21" customHeight="1" x14ac:dyDescent="0.25">
      <c r="B348" s="42" t="s">
        <v>729</v>
      </c>
      <c r="C348" s="43" t="s">
        <v>730</v>
      </c>
      <c r="D348" s="42"/>
      <c r="E348" s="43"/>
      <c r="F348" s="44" t="str">
        <f t="shared" si="24"/>
        <v>E</v>
      </c>
    </row>
    <row r="349" spans="2:6" ht="21" customHeight="1" x14ac:dyDescent="0.25">
      <c r="B349" s="42" t="s">
        <v>731</v>
      </c>
      <c r="C349" s="43" t="s">
        <v>732</v>
      </c>
      <c r="D349" s="42"/>
      <c r="E349" s="43"/>
      <c r="F349" s="44" t="str">
        <f t="shared" si="24"/>
        <v>I</v>
      </c>
    </row>
    <row r="350" spans="2:6" ht="21" customHeight="1" x14ac:dyDescent="0.25">
      <c r="B350" s="42" t="s">
        <v>733</v>
      </c>
      <c r="C350" s="43" t="s">
        <v>734</v>
      </c>
      <c r="D350" s="42"/>
      <c r="E350" s="43"/>
      <c r="F350" s="44" t="str">
        <f t="shared" si="24"/>
        <v>R</v>
      </c>
    </row>
    <row r="351" spans="2:6" ht="21" customHeight="1" x14ac:dyDescent="0.25">
      <c r="B351" s="42" t="s">
        <v>735</v>
      </c>
      <c r="C351" s="43" t="s">
        <v>736</v>
      </c>
      <c r="D351" s="42"/>
      <c r="E351" s="43"/>
      <c r="F351" s="44" t="str">
        <f t="shared" si="24"/>
        <v>F</v>
      </c>
    </row>
    <row r="352" spans="2:6" ht="21" customHeight="1" x14ac:dyDescent="0.25">
      <c r="B352" s="42" t="s">
        <v>737</v>
      </c>
      <c r="C352" s="43" t="s">
        <v>738</v>
      </c>
      <c r="D352" s="42"/>
      <c r="E352" s="43"/>
      <c r="F352" s="44" t="str">
        <f t="shared" si="24"/>
        <v>A</v>
      </c>
    </row>
    <row r="353" spans="2:6" ht="21" customHeight="1" x14ac:dyDescent="0.25">
      <c r="B353" s="42" t="s">
        <v>739</v>
      </c>
      <c r="C353" s="43" t="s">
        <v>740</v>
      </c>
      <c r="D353" s="42"/>
      <c r="E353" s="43"/>
      <c r="F353" s="44" t="str">
        <f t="shared" si="24"/>
        <v>V</v>
      </c>
    </row>
    <row r="354" spans="2:6" ht="21" customHeight="1" x14ac:dyDescent="0.25">
      <c r="B354" s="42" t="s">
        <v>741</v>
      </c>
      <c r="C354" s="43" t="s">
        <v>742</v>
      </c>
      <c r="D354" s="42"/>
      <c r="E354" s="43"/>
      <c r="F354" s="44" t="str">
        <f t="shared" si="24"/>
        <v>C</v>
      </c>
    </row>
    <row r="355" spans="2:6" ht="21" customHeight="1" x14ac:dyDescent="0.25">
      <c r="B355" s="42" t="s">
        <v>743</v>
      </c>
      <c r="C355" s="43" t="s">
        <v>744</v>
      </c>
      <c r="D355" s="42"/>
      <c r="E355" s="43"/>
      <c r="F355" s="44" t="str">
        <f t="shared" si="24"/>
        <v>P</v>
      </c>
    </row>
    <row r="356" spans="2:6" ht="21" customHeight="1" x14ac:dyDescent="0.25">
      <c r="B356" s="42" t="s">
        <v>745</v>
      </c>
      <c r="C356" s="43" t="s">
        <v>746</v>
      </c>
      <c r="D356" s="42"/>
      <c r="E356" s="43"/>
      <c r="F356" s="44" t="str">
        <f t="shared" si="24"/>
        <v>S</v>
      </c>
    </row>
    <row r="357" spans="2:6" ht="21" customHeight="1" x14ac:dyDescent="0.25">
      <c r="B357" s="42" t="s">
        <v>747</v>
      </c>
      <c r="C357" s="43" t="s">
        <v>748</v>
      </c>
      <c r="D357" s="42"/>
      <c r="E357" s="43"/>
      <c r="F357" s="44" t="str">
        <f t="shared" si="24"/>
        <v>P</v>
      </c>
    </row>
    <row r="358" spans="2:6" ht="21" customHeight="1" x14ac:dyDescent="0.25">
      <c r="B358" s="42" t="s">
        <v>749</v>
      </c>
      <c r="C358" s="43" t="s">
        <v>758</v>
      </c>
      <c r="D358" s="42"/>
      <c r="E358" s="43"/>
      <c r="F358" s="44" t="str">
        <f>LEFT(C358)</f>
        <v>R</v>
      </c>
    </row>
    <row r="359" spans="2:6" ht="21" customHeight="1" x14ac:dyDescent="0.25">
      <c r="B359" s="42" t="s">
        <v>750</v>
      </c>
      <c r="C359" s="43" t="s">
        <v>759</v>
      </c>
      <c r="D359" s="42"/>
      <c r="E359" s="43"/>
      <c r="F359" s="44" t="str">
        <f t="shared" ref="F359:F366" si="25">LEFT(C359)</f>
        <v>S</v>
      </c>
    </row>
    <row r="360" spans="2:6" ht="21" customHeight="1" x14ac:dyDescent="0.25">
      <c r="B360" s="42" t="s">
        <v>751</v>
      </c>
      <c r="C360" s="43" t="s">
        <v>760</v>
      </c>
      <c r="D360" s="42"/>
      <c r="E360" s="43"/>
      <c r="F360" s="44" t="str">
        <f t="shared" si="25"/>
        <v>T</v>
      </c>
    </row>
    <row r="361" spans="2:6" ht="21" customHeight="1" x14ac:dyDescent="0.25">
      <c r="B361" s="42" t="s">
        <v>752</v>
      </c>
      <c r="C361" s="43" t="s">
        <v>761</v>
      </c>
      <c r="D361" s="42"/>
      <c r="E361" s="43"/>
      <c r="F361" s="44" t="str">
        <f t="shared" si="25"/>
        <v>L</v>
      </c>
    </row>
    <row r="362" spans="2:6" ht="21" customHeight="1" x14ac:dyDescent="0.25">
      <c r="B362" s="42" t="s">
        <v>753</v>
      </c>
      <c r="C362" s="43" t="s">
        <v>762</v>
      </c>
      <c r="D362" s="42"/>
      <c r="E362" s="43"/>
      <c r="F362" s="44" t="str">
        <f t="shared" si="25"/>
        <v>N</v>
      </c>
    </row>
    <row r="363" spans="2:6" ht="21" customHeight="1" x14ac:dyDescent="0.25">
      <c r="B363" s="42" t="s">
        <v>754</v>
      </c>
      <c r="C363" s="43" t="s">
        <v>763</v>
      </c>
      <c r="D363" s="42"/>
      <c r="E363" s="43"/>
      <c r="F363" s="44" t="str">
        <f t="shared" si="25"/>
        <v>A</v>
      </c>
    </row>
    <row r="364" spans="2:6" ht="21" customHeight="1" x14ac:dyDescent="0.25">
      <c r="B364" s="42" t="s">
        <v>755</v>
      </c>
      <c r="C364" s="43" t="s">
        <v>764</v>
      </c>
      <c r="D364" s="42"/>
      <c r="E364" s="43"/>
      <c r="F364" s="44" t="str">
        <f t="shared" si="25"/>
        <v>S</v>
      </c>
    </row>
    <row r="365" spans="2:6" ht="21" customHeight="1" x14ac:dyDescent="0.25">
      <c r="B365" s="42" t="s">
        <v>756</v>
      </c>
      <c r="C365" s="43" t="s">
        <v>765</v>
      </c>
      <c r="D365" s="42"/>
      <c r="E365" s="43"/>
      <c r="F365" s="44" t="str">
        <f t="shared" si="25"/>
        <v>L</v>
      </c>
    </row>
    <row r="366" spans="2:6" ht="21" customHeight="1" x14ac:dyDescent="0.25">
      <c r="B366" s="42" t="s">
        <v>757</v>
      </c>
      <c r="C366" s="43" t="s">
        <v>766</v>
      </c>
      <c r="D366" s="42"/>
      <c r="E366" s="43"/>
      <c r="F366" s="44" t="str">
        <f t="shared" si="25"/>
        <v>M</v>
      </c>
    </row>
    <row r="367" spans="2:6" ht="21" customHeight="1" x14ac:dyDescent="0.25">
      <c r="B367" s="42" t="s">
        <v>767</v>
      </c>
      <c r="C367" s="43" t="s">
        <v>777</v>
      </c>
      <c r="D367" s="42"/>
      <c r="E367" s="43"/>
      <c r="F367" s="44" t="str">
        <f>LEFT(C367)</f>
        <v>A</v>
      </c>
    </row>
    <row r="368" spans="2:6" ht="21" customHeight="1" x14ac:dyDescent="0.25">
      <c r="B368" s="42" t="s">
        <v>768</v>
      </c>
      <c r="C368" s="43" t="s">
        <v>778</v>
      </c>
      <c r="D368" s="42"/>
      <c r="E368" s="43"/>
      <c r="F368" s="44" t="str">
        <f t="shared" ref="F368:F376" si="26">LEFT(C368)</f>
        <v>P</v>
      </c>
    </row>
    <row r="369" spans="2:6" ht="21" customHeight="1" x14ac:dyDescent="0.25">
      <c r="B369" s="42" t="s">
        <v>769</v>
      </c>
      <c r="C369" s="43" t="s">
        <v>779</v>
      </c>
      <c r="D369" s="42"/>
      <c r="E369" s="43"/>
      <c r="F369" s="44" t="str">
        <f t="shared" si="26"/>
        <v>S</v>
      </c>
    </row>
    <row r="370" spans="2:6" ht="21" customHeight="1" x14ac:dyDescent="0.25">
      <c r="B370" s="42" t="s">
        <v>770</v>
      </c>
      <c r="C370" s="43" t="s">
        <v>780</v>
      </c>
      <c r="D370" s="42"/>
      <c r="E370" s="43"/>
      <c r="F370" s="44" t="str">
        <f t="shared" si="26"/>
        <v>A</v>
      </c>
    </row>
    <row r="371" spans="2:6" ht="21" customHeight="1" x14ac:dyDescent="0.25">
      <c r="B371" s="42" t="s">
        <v>771</v>
      </c>
      <c r="C371" s="43" t="s">
        <v>781</v>
      </c>
      <c r="D371" s="42"/>
      <c r="E371" s="43"/>
      <c r="F371" s="44" t="str">
        <f t="shared" si="26"/>
        <v>B</v>
      </c>
    </row>
    <row r="372" spans="2:6" ht="21" customHeight="1" x14ac:dyDescent="0.25">
      <c r="B372" s="42" t="s">
        <v>772</v>
      </c>
      <c r="C372" s="43" t="s">
        <v>782</v>
      </c>
      <c r="D372" s="42"/>
      <c r="E372" s="43"/>
      <c r="F372" s="44" t="str">
        <f t="shared" si="26"/>
        <v>S</v>
      </c>
    </row>
    <row r="373" spans="2:6" ht="21" customHeight="1" x14ac:dyDescent="0.25">
      <c r="B373" s="42" t="s">
        <v>773</v>
      </c>
      <c r="C373" s="43" t="s">
        <v>783</v>
      </c>
      <c r="D373" s="42"/>
      <c r="E373" s="43"/>
      <c r="F373" s="44" t="str">
        <f t="shared" si="26"/>
        <v>T</v>
      </c>
    </row>
    <row r="374" spans="2:6" ht="21" customHeight="1" x14ac:dyDescent="0.25">
      <c r="B374" s="42" t="s">
        <v>774</v>
      </c>
      <c r="C374" s="43" t="s">
        <v>784</v>
      </c>
      <c r="D374" s="42"/>
      <c r="E374" s="43"/>
      <c r="F374" s="44" t="str">
        <f t="shared" si="26"/>
        <v>S</v>
      </c>
    </row>
    <row r="375" spans="2:6" ht="21" customHeight="1" x14ac:dyDescent="0.25">
      <c r="B375" s="42" t="s">
        <v>775</v>
      </c>
      <c r="C375" s="43" t="s">
        <v>785</v>
      </c>
      <c r="D375" s="42"/>
      <c r="E375" s="43"/>
      <c r="F375" s="44" t="str">
        <f t="shared" si="26"/>
        <v>S</v>
      </c>
    </row>
    <row r="376" spans="2:6" ht="21" customHeight="1" x14ac:dyDescent="0.25">
      <c r="B376" s="42" t="s">
        <v>776</v>
      </c>
      <c r="C376" s="43" t="s">
        <v>786</v>
      </c>
      <c r="D376" s="42"/>
      <c r="E376" s="43"/>
      <c r="F376" s="44" t="str">
        <f t="shared" si="26"/>
        <v>S</v>
      </c>
    </row>
    <row r="377" spans="2:6" ht="21" customHeight="1" x14ac:dyDescent="0.25">
      <c r="B377" s="42" t="s">
        <v>787</v>
      </c>
      <c r="C377" s="43" t="s">
        <v>793</v>
      </c>
      <c r="D377" s="42"/>
      <c r="E377" s="43"/>
      <c r="F377" s="44" t="str">
        <f t="shared" ref="F377:F382" si="27">LEFT(C377)</f>
        <v>J</v>
      </c>
    </row>
    <row r="378" spans="2:6" ht="21" customHeight="1" x14ac:dyDescent="0.25">
      <c r="B378" s="42" t="s">
        <v>788</v>
      </c>
      <c r="C378" s="43" t="s">
        <v>794</v>
      </c>
      <c r="D378" s="42"/>
      <c r="E378" s="43"/>
      <c r="F378" s="44" t="str">
        <f t="shared" si="27"/>
        <v>S</v>
      </c>
    </row>
    <row r="379" spans="2:6" ht="21" customHeight="1" x14ac:dyDescent="0.25">
      <c r="B379" s="42" t="s">
        <v>789</v>
      </c>
      <c r="C379" s="43" t="s">
        <v>795</v>
      </c>
      <c r="D379" s="42"/>
      <c r="E379" s="43"/>
      <c r="F379" s="44" t="str">
        <f t="shared" si="27"/>
        <v>J</v>
      </c>
    </row>
    <row r="380" spans="2:6" ht="21" customHeight="1" x14ac:dyDescent="0.25">
      <c r="B380" s="42" t="s">
        <v>790</v>
      </c>
      <c r="C380" s="43" t="s">
        <v>796</v>
      </c>
      <c r="D380" s="42"/>
      <c r="E380" s="43"/>
      <c r="F380" s="44" t="str">
        <f t="shared" si="27"/>
        <v>P</v>
      </c>
    </row>
    <row r="381" spans="2:6" ht="21" customHeight="1" x14ac:dyDescent="0.25">
      <c r="B381" s="42" t="s">
        <v>791</v>
      </c>
      <c r="C381" s="43" t="s">
        <v>797</v>
      </c>
      <c r="D381" s="42"/>
      <c r="E381" s="43"/>
      <c r="F381" s="44" t="str">
        <f t="shared" si="27"/>
        <v>I</v>
      </c>
    </row>
    <row r="382" spans="2:6" ht="21" customHeight="1" x14ac:dyDescent="0.25">
      <c r="B382" s="42" t="s">
        <v>792</v>
      </c>
      <c r="C382" s="43" t="s">
        <v>798</v>
      </c>
      <c r="D382" s="42"/>
      <c r="E382" s="43"/>
      <c r="F382" s="44" t="str">
        <f t="shared" si="27"/>
        <v>C</v>
      </c>
    </row>
    <row r="383" spans="2:6" ht="21" customHeight="1" x14ac:dyDescent="0.25">
      <c r="B383" s="42" t="s">
        <v>799</v>
      </c>
      <c r="C383" s="43" t="s">
        <v>804</v>
      </c>
      <c r="D383" s="42"/>
      <c r="E383" s="43"/>
      <c r="F383" s="44" t="str">
        <f>LEFT(C383)</f>
        <v>C</v>
      </c>
    </row>
    <row r="384" spans="2:6" ht="21" customHeight="1" x14ac:dyDescent="0.25">
      <c r="B384" s="42" t="s">
        <v>800</v>
      </c>
      <c r="C384" s="43" t="s">
        <v>805</v>
      </c>
      <c r="D384" s="42"/>
      <c r="E384" s="43"/>
      <c r="F384" s="44" t="str">
        <f t="shared" ref="F384:F387" si="28">LEFT(C384)</f>
        <v>R</v>
      </c>
    </row>
    <row r="385" spans="2:6" ht="21" customHeight="1" x14ac:dyDescent="0.25">
      <c r="B385" s="42" t="s">
        <v>801</v>
      </c>
      <c r="C385" s="43" t="s">
        <v>806</v>
      </c>
      <c r="D385" s="42"/>
      <c r="E385" s="43"/>
      <c r="F385" s="44" t="str">
        <f t="shared" si="28"/>
        <v>N</v>
      </c>
    </row>
    <row r="386" spans="2:6" ht="21" customHeight="1" x14ac:dyDescent="0.25">
      <c r="B386" s="42" t="s">
        <v>802</v>
      </c>
      <c r="C386" s="43" t="s">
        <v>807</v>
      </c>
      <c r="D386" s="42"/>
      <c r="E386" s="43"/>
      <c r="F386" s="44" t="str">
        <f t="shared" si="28"/>
        <v>C</v>
      </c>
    </row>
    <row r="387" spans="2:6" ht="21" customHeight="1" x14ac:dyDescent="0.25">
      <c r="B387" s="42" t="s">
        <v>803</v>
      </c>
      <c r="C387" s="43" t="s">
        <v>808</v>
      </c>
      <c r="D387" s="42"/>
      <c r="E387" s="43"/>
      <c r="F387" s="44" t="str">
        <f t="shared" si="28"/>
        <v>P</v>
      </c>
    </row>
    <row r="388" spans="2:6" ht="21" customHeight="1" x14ac:dyDescent="0.25">
      <c r="B388" s="42" t="s">
        <v>809</v>
      </c>
      <c r="C388" s="43" t="s">
        <v>825</v>
      </c>
      <c r="D388" s="42"/>
      <c r="E388" s="43"/>
      <c r="F388" s="44" t="str">
        <f t="shared" ref="F388:F403" si="29">LEFT(C388)</f>
        <v>C</v>
      </c>
    </row>
    <row r="389" spans="2:6" ht="21" customHeight="1" x14ac:dyDescent="0.25">
      <c r="B389" s="42" t="s">
        <v>810</v>
      </c>
      <c r="C389" s="43" t="s">
        <v>826</v>
      </c>
      <c r="D389" s="42"/>
      <c r="E389" s="43"/>
      <c r="F389" s="44" t="str">
        <f t="shared" si="29"/>
        <v>C</v>
      </c>
    </row>
    <row r="390" spans="2:6" ht="21" customHeight="1" x14ac:dyDescent="0.25">
      <c r="B390" s="42" t="s">
        <v>811</v>
      </c>
      <c r="C390" s="43" t="s">
        <v>827</v>
      </c>
      <c r="D390" s="42"/>
      <c r="E390" s="43"/>
      <c r="F390" s="44" t="str">
        <f t="shared" si="29"/>
        <v>J</v>
      </c>
    </row>
    <row r="391" spans="2:6" ht="21" customHeight="1" x14ac:dyDescent="0.25">
      <c r="B391" s="42" t="s">
        <v>812</v>
      </c>
      <c r="C391" s="43" t="s">
        <v>828</v>
      </c>
      <c r="D391" s="42"/>
      <c r="E391" s="43"/>
      <c r="F391" s="44" t="str">
        <f t="shared" si="29"/>
        <v>C</v>
      </c>
    </row>
    <row r="392" spans="2:6" ht="21" customHeight="1" x14ac:dyDescent="0.25">
      <c r="B392" s="42" t="s">
        <v>813</v>
      </c>
      <c r="C392" s="43" t="s">
        <v>829</v>
      </c>
      <c r="D392" s="42"/>
      <c r="E392" s="43"/>
      <c r="F392" s="44" t="str">
        <f t="shared" si="29"/>
        <v>G</v>
      </c>
    </row>
    <row r="393" spans="2:6" ht="21" customHeight="1" x14ac:dyDescent="0.25">
      <c r="B393" s="42" t="s">
        <v>814</v>
      </c>
      <c r="C393" s="43" t="s">
        <v>830</v>
      </c>
      <c r="D393" s="42"/>
      <c r="E393" s="43"/>
      <c r="F393" s="44" t="str">
        <f t="shared" si="29"/>
        <v>B</v>
      </c>
    </row>
    <row r="394" spans="2:6" ht="21" customHeight="1" x14ac:dyDescent="0.25">
      <c r="B394" s="42" t="s">
        <v>815</v>
      </c>
      <c r="C394" s="43" t="s">
        <v>831</v>
      </c>
      <c r="D394" s="42"/>
      <c r="E394" s="43"/>
      <c r="F394" s="44" t="str">
        <f t="shared" si="29"/>
        <v>I</v>
      </c>
    </row>
    <row r="395" spans="2:6" ht="21" customHeight="1" x14ac:dyDescent="0.25">
      <c r="B395" s="42" t="s">
        <v>816</v>
      </c>
      <c r="C395" s="43" t="s">
        <v>832</v>
      </c>
      <c r="D395" s="42"/>
      <c r="E395" s="43"/>
      <c r="F395" s="44" t="str">
        <f t="shared" si="29"/>
        <v>M</v>
      </c>
    </row>
    <row r="396" spans="2:6" ht="21" customHeight="1" x14ac:dyDescent="0.25">
      <c r="B396" s="42" t="s">
        <v>817</v>
      </c>
      <c r="C396" s="43" t="s">
        <v>833</v>
      </c>
      <c r="D396" s="42"/>
      <c r="E396" s="43"/>
      <c r="F396" s="44" t="str">
        <f t="shared" si="29"/>
        <v>D</v>
      </c>
    </row>
    <row r="397" spans="2:6" ht="21" customHeight="1" x14ac:dyDescent="0.25">
      <c r="B397" s="42" t="s">
        <v>818</v>
      </c>
      <c r="C397" s="43" t="s">
        <v>834</v>
      </c>
      <c r="D397" s="42"/>
      <c r="E397" s="43"/>
      <c r="F397" s="44" t="str">
        <f t="shared" si="29"/>
        <v>I</v>
      </c>
    </row>
    <row r="398" spans="2:6" ht="21" customHeight="1" x14ac:dyDescent="0.25">
      <c r="B398" s="42" t="s">
        <v>819</v>
      </c>
      <c r="C398" s="43" t="s">
        <v>835</v>
      </c>
      <c r="D398" s="42"/>
      <c r="E398" s="43"/>
      <c r="F398" s="44" t="str">
        <f t="shared" si="29"/>
        <v>S</v>
      </c>
    </row>
    <row r="399" spans="2:6" ht="21" customHeight="1" x14ac:dyDescent="0.25">
      <c r="B399" s="42" t="s">
        <v>820</v>
      </c>
      <c r="C399" s="43" t="s">
        <v>836</v>
      </c>
      <c r="D399" s="42"/>
      <c r="E399" s="43"/>
      <c r="F399" s="44" t="str">
        <f t="shared" si="29"/>
        <v>C</v>
      </c>
    </row>
    <row r="400" spans="2:6" ht="21" customHeight="1" x14ac:dyDescent="0.25">
      <c r="B400" s="42" t="s">
        <v>821</v>
      </c>
      <c r="C400" s="43" t="s">
        <v>837</v>
      </c>
      <c r="D400" s="42"/>
      <c r="E400" s="43"/>
      <c r="F400" s="44" t="str">
        <f t="shared" si="29"/>
        <v>M</v>
      </c>
    </row>
    <row r="401" spans="2:6" ht="21" customHeight="1" x14ac:dyDescent="0.25">
      <c r="B401" s="42" t="s">
        <v>822</v>
      </c>
      <c r="C401" s="43" t="s">
        <v>838</v>
      </c>
      <c r="D401" s="42"/>
      <c r="E401" s="43"/>
      <c r="F401" s="44" t="str">
        <f t="shared" si="29"/>
        <v>L</v>
      </c>
    </row>
    <row r="402" spans="2:6" ht="21" customHeight="1" x14ac:dyDescent="0.25">
      <c r="B402" s="42" t="s">
        <v>823</v>
      </c>
      <c r="C402" s="43" t="s">
        <v>839</v>
      </c>
      <c r="D402" s="42"/>
      <c r="E402" s="43"/>
      <c r="F402" s="44" t="str">
        <f t="shared" si="29"/>
        <v>L</v>
      </c>
    </row>
    <row r="403" spans="2:6" ht="21" customHeight="1" x14ac:dyDescent="0.25">
      <c r="B403" s="42" t="s">
        <v>824</v>
      </c>
      <c r="C403" s="43" t="s">
        <v>840</v>
      </c>
      <c r="D403" s="42"/>
      <c r="E403" s="43"/>
      <c r="F403" s="44" t="str">
        <f t="shared" si="29"/>
        <v>C</v>
      </c>
    </row>
  </sheetData>
  <sheetProtection selectLockedCells="1" autoFilter="0"/>
  <phoneticPr fontId="5" type="noConversion"/>
  <conditionalFormatting sqref="B12:B403">
    <cfRule type="duplicateValues" dxfId="8" priority="1016"/>
  </conditionalFormatting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1A44-490B-4DB1-836B-EB53DA46B923}">
  <sheetPr codeName="Hoja2">
    <tabColor theme="7" tint="-0.499984740745262"/>
    <pageSetUpPr fitToPage="1"/>
  </sheetPr>
  <dimension ref="B1:O1109"/>
  <sheetViews>
    <sheetView showGridLines="0" showZeros="0" tabSelected="1" zoomScale="85" zoomScaleNormal="85" workbookViewId="0">
      <pane ySplit="11" topLeftCell="A81" activePane="bottomLeft" state="frozen"/>
      <selection activeCell="B3" sqref="B3"/>
      <selection pane="bottomLeft" activeCell="F80" sqref="F80:F94"/>
    </sheetView>
  </sheetViews>
  <sheetFormatPr baseColWidth="10" defaultColWidth="13.7109375" defaultRowHeight="21" customHeight="1" x14ac:dyDescent="0.25"/>
  <cols>
    <col min="1" max="1" width="4.85546875" customWidth="1"/>
    <col min="2" max="2" width="12.42578125" style="24" customWidth="1"/>
    <col min="3" max="3" width="12.7109375" style="24" customWidth="1"/>
    <col min="4" max="4" width="13.7109375" style="24" customWidth="1"/>
    <col min="5" max="5" width="80.140625" style="24" bestFit="1" customWidth="1"/>
    <col min="6" max="6" width="13.28515625" style="32" customWidth="1"/>
    <col min="7" max="7" width="41.85546875" style="24" customWidth="1"/>
    <col min="8" max="8" width="10.42578125" style="24" customWidth="1"/>
    <col min="9" max="9" width="12.5703125" style="24" customWidth="1"/>
    <col min="10" max="10" width="14.85546875" style="24" customWidth="1"/>
    <col min="11" max="11" width="11.140625" style="24" customWidth="1"/>
    <col min="12" max="12" width="12.28515625" style="24" customWidth="1"/>
    <col min="13" max="13" width="15.140625" style="24" customWidth="1"/>
    <col min="14" max="14" width="13.85546875" style="24" customWidth="1"/>
    <col min="15" max="15" width="14.42578125" style="24" customWidth="1"/>
  </cols>
  <sheetData>
    <row r="1" spans="2:15" ht="43.9" customHeight="1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spans="2:15" ht="6" customHeight="1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</row>
    <row r="3" spans="2:15" ht="15" x14ac:dyDescent="0.25">
      <c r="B3"/>
      <c r="C3"/>
      <c r="D3"/>
      <c r="E3"/>
      <c r="F3"/>
      <c r="G3"/>
      <c r="H3"/>
      <c r="I3"/>
      <c r="J3"/>
      <c r="K3"/>
      <c r="L3"/>
      <c r="M3"/>
      <c r="N3"/>
      <c r="O3"/>
    </row>
    <row r="4" spans="2:15" ht="15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</row>
    <row r="5" spans="2:15" ht="15" x14ac:dyDescent="0.25"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2:15" ht="15" x14ac:dyDescent="0.25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2:15" ht="15" x14ac:dyDescent="0.25">
      <c r="B7"/>
      <c r="C7" s="5"/>
      <c r="D7"/>
      <c r="E7"/>
      <c r="F7"/>
      <c r="G7"/>
      <c r="H7"/>
      <c r="I7"/>
      <c r="J7"/>
      <c r="K7"/>
      <c r="L7"/>
      <c r="M7"/>
      <c r="N7"/>
      <c r="O7"/>
    </row>
    <row r="8" spans="2:15" ht="36.75" customHeight="1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2:15" ht="15" x14ac:dyDescent="0.25"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2:15" ht="3" customHeight="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2:15" ht="30" customHeight="1" x14ac:dyDescent="0.25">
      <c r="B11" s="3" t="s">
        <v>2</v>
      </c>
      <c r="C11" s="3" t="s">
        <v>4</v>
      </c>
      <c r="D11" s="4" t="s">
        <v>26</v>
      </c>
      <c r="E11" s="3" t="s">
        <v>18</v>
      </c>
      <c r="F11" s="3" t="s">
        <v>19</v>
      </c>
      <c r="G11" s="3" t="s">
        <v>153</v>
      </c>
      <c r="H11" s="3" t="s">
        <v>8</v>
      </c>
      <c r="I11" s="3" t="s">
        <v>3</v>
      </c>
      <c r="J11" s="3" t="s">
        <v>5</v>
      </c>
      <c r="K11" s="3" t="s">
        <v>6</v>
      </c>
      <c r="L11" s="3" t="s">
        <v>7</v>
      </c>
      <c r="M11" s="3" t="s">
        <v>21</v>
      </c>
      <c r="N11" s="3" t="s">
        <v>20</v>
      </c>
      <c r="O11" s="3" t="s">
        <v>23</v>
      </c>
    </row>
    <row r="12" spans="2:15" ht="21" customHeight="1" x14ac:dyDescent="0.25">
      <c r="B12" s="39">
        <v>884</v>
      </c>
      <c r="C12" s="20">
        <v>45661</v>
      </c>
      <c r="D12" s="40" t="s">
        <v>250</v>
      </c>
      <c r="E12" s="37" t="str">
        <f>IFERROR(VLOOKUP(D12,CLIENTES!$B$12:$G$2602,2,FALSE),"")</f>
        <v>OSSAVAL SPA</v>
      </c>
      <c r="F12" s="31">
        <v>83300</v>
      </c>
      <c r="G12" s="41" t="s">
        <v>101</v>
      </c>
      <c r="H12" s="26">
        <v>0</v>
      </c>
      <c r="I12" s="21" t="str">
        <f t="shared" ref="I12:I75" si="0">IF(H12="","",IF(H12=0,"Contado","Crédito"))</f>
        <v>Contado</v>
      </c>
      <c r="J12" s="22">
        <f t="shared" ref="J12:J75" si="1">IF(I12="","",C12+H12)</f>
        <v>45661</v>
      </c>
      <c r="K12" s="27">
        <f t="shared" ref="K12:K75" ca="1" si="2">IFERROR(IF(B12="","",IF(N12=0,0,J12-TODAY())),"")</f>
        <v>0</v>
      </c>
      <c r="L12" s="23" t="str">
        <f t="shared" ref="L12:L75" si="3">IF(I12="","",IF(N12=0,"Pagado",IF(K12&lt;0,"Vencido","No vencido")))</f>
        <v>Pagado</v>
      </c>
      <c r="M12" s="36">
        <f>SUMIFS(Tabla_Pagos[IMPORTE ABONADO],Tabla_Pagos[FECHA DE ABONO],"&gt;0",Tabla_Pagos[NRO DOC],B12)</f>
        <v>83300</v>
      </c>
      <c r="N12" s="36">
        <f t="shared" ref="N12:N75" si="4">F12-M12</f>
        <v>0</v>
      </c>
      <c r="O12" s="22" cm="1">
        <f t="array" ref="O12">MAX(IF((Tabla_Pagos[NRO DOC]=B12)*(Tabla_Pagos[IMPORTE ABONADO]&gt;0),Tabla_Pagos[FECHA DE ABONO]))</f>
        <v>45661</v>
      </c>
    </row>
    <row r="13" spans="2:15" ht="21" customHeight="1" x14ac:dyDescent="0.25">
      <c r="B13" s="39">
        <v>885</v>
      </c>
      <c r="C13" s="20">
        <v>45661</v>
      </c>
      <c r="D13" s="40" t="s">
        <v>251</v>
      </c>
      <c r="E13" s="37" t="str">
        <f>IFERROR(VLOOKUP(D13,CLIENTES!$B$12:$G$2602,2,FALSE),"")</f>
        <v>CONSTRUCTORA GARY LIMITADA</v>
      </c>
      <c r="F13" s="31">
        <v>163030</v>
      </c>
      <c r="G13" s="41" t="s">
        <v>101</v>
      </c>
      <c r="H13" s="26">
        <v>0</v>
      </c>
      <c r="I13" s="21" t="str">
        <f t="shared" si="0"/>
        <v>Contado</v>
      </c>
      <c r="J13" s="22">
        <f t="shared" si="1"/>
        <v>45661</v>
      </c>
      <c r="K13" s="27">
        <f t="shared" ca="1" si="2"/>
        <v>0</v>
      </c>
      <c r="L13" s="23" t="str">
        <f t="shared" si="3"/>
        <v>Pagado</v>
      </c>
      <c r="M13" s="36">
        <f>SUMIFS(Tabla_Pagos[IMPORTE ABONADO],Tabla_Pagos[FECHA DE ABONO],"&gt;0",Tabla_Pagos[NRO DOC],B13)</f>
        <v>163030</v>
      </c>
      <c r="N13" s="36">
        <f t="shared" si="4"/>
        <v>0</v>
      </c>
      <c r="O13" s="22" cm="1">
        <f t="array" ref="O13">MAX(IF((Tabla_Pagos[NRO DOC]=B13)*(Tabla_Pagos[IMPORTE ABONADO]&gt;0),Tabla_Pagos[FECHA DE ABONO]))</f>
        <v>45661</v>
      </c>
    </row>
    <row r="14" spans="2:15" ht="21" customHeight="1" x14ac:dyDescent="0.25">
      <c r="B14" s="39">
        <v>886</v>
      </c>
      <c r="C14" s="20">
        <v>45661</v>
      </c>
      <c r="D14" s="40" t="s">
        <v>41</v>
      </c>
      <c r="E14" s="37" t="str">
        <f>IFERROR(VLOOKUP(D14,CLIENTES!$B$12:$G$2602,2,FALSE),"")</f>
        <v>TRANSPORTE DOBLE C SPA</v>
      </c>
      <c r="F14" s="31">
        <v>166600</v>
      </c>
      <c r="G14" s="41" t="s">
        <v>101</v>
      </c>
      <c r="H14" s="26">
        <v>0</v>
      </c>
      <c r="I14" s="21" t="str">
        <f t="shared" si="0"/>
        <v>Contado</v>
      </c>
      <c r="J14" s="22">
        <f t="shared" si="1"/>
        <v>45661</v>
      </c>
      <c r="K14" s="27">
        <f t="shared" ca="1" si="2"/>
        <v>0</v>
      </c>
      <c r="L14" s="23" t="str">
        <f t="shared" si="3"/>
        <v>Pagado</v>
      </c>
      <c r="M14" s="36">
        <f>SUMIFS(Tabla_Pagos[IMPORTE ABONADO],Tabla_Pagos[FECHA DE ABONO],"&gt;0",Tabla_Pagos[NRO DOC],B14)</f>
        <v>166600</v>
      </c>
      <c r="N14" s="36">
        <f t="shared" si="4"/>
        <v>0</v>
      </c>
      <c r="O14" s="22" cm="1">
        <f t="array" ref="O14">MAX(IF((Tabla_Pagos[NRO DOC]=B14)*(Tabla_Pagos[IMPORTE ABONADO]&gt;0),Tabla_Pagos[FECHA DE ABONO]))</f>
        <v>45661</v>
      </c>
    </row>
    <row r="15" spans="2:15" ht="21" customHeight="1" x14ac:dyDescent="0.25">
      <c r="B15" s="39">
        <v>887</v>
      </c>
      <c r="C15" s="20">
        <v>45663</v>
      </c>
      <c r="D15" s="40" t="s">
        <v>252</v>
      </c>
      <c r="E15" s="37" t="str">
        <f>IFERROR(VLOOKUP(D15,CLIENTES!$B$12:$G$2602,2,FALSE),"")</f>
        <v>LEYARZ SPA</v>
      </c>
      <c r="F15" s="31">
        <v>142800</v>
      </c>
      <c r="G15" s="41" t="s">
        <v>101</v>
      </c>
      <c r="H15" s="26">
        <v>0</v>
      </c>
      <c r="I15" s="21" t="str">
        <f t="shared" si="0"/>
        <v>Contado</v>
      </c>
      <c r="J15" s="22">
        <f t="shared" si="1"/>
        <v>45663</v>
      </c>
      <c r="K15" s="27">
        <f t="shared" ca="1" si="2"/>
        <v>0</v>
      </c>
      <c r="L15" s="23" t="str">
        <f t="shared" si="3"/>
        <v>Pagado</v>
      </c>
      <c r="M15" s="36">
        <f>SUMIFS(Tabla_Pagos[IMPORTE ABONADO],Tabla_Pagos[FECHA DE ABONO],"&gt;0",Tabla_Pagos[NRO DOC],B15)</f>
        <v>142800</v>
      </c>
      <c r="N15" s="36">
        <f t="shared" si="4"/>
        <v>0</v>
      </c>
      <c r="O15" s="22" cm="1">
        <f t="array" ref="O15">MAX(IF((Tabla_Pagos[NRO DOC]=B15)*(Tabla_Pagos[IMPORTE ABONADO]&gt;0),Tabla_Pagos[FECHA DE ABONO]))</f>
        <v>45663</v>
      </c>
    </row>
    <row r="16" spans="2:15" ht="21" customHeight="1" x14ac:dyDescent="0.25">
      <c r="B16" s="39">
        <v>888</v>
      </c>
      <c r="C16" s="20">
        <v>45666</v>
      </c>
      <c r="D16" s="40" t="s">
        <v>105</v>
      </c>
      <c r="E16" s="37" t="str">
        <f>IFERROR(VLOOKUP(D16,CLIENTES!$B$12:$G$2602,2,FALSE),"")</f>
        <v>INGENIERIA C Y G LIMITADA</v>
      </c>
      <c r="F16" s="31">
        <v>267274</v>
      </c>
      <c r="G16" s="41" t="s">
        <v>101</v>
      </c>
      <c r="H16" s="26">
        <v>0</v>
      </c>
      <c r="I16" s="21" t="str">
        <f t="shared" si="0"/>
        <v>Contado</v>
      </c>
      <c r="J16" s="22">
        <f t="shared" si="1"/>
        <v>45666</v>
      </c>
      <c r="K16" s="27">
        <f t="shared" ca="1" si="2"/>
        <v>0</v>
      </c>
      <c r="L16" s="23" t="str">
        <f t="shared" si="3"/>
        <v>Pagado</v>
      </c>
      <c r="M16" s="36">
        <f>SUMIFS(Tabla_Pagos[IMPORTE ABONADO],Tabla_Pagos[FECHA DE ABONO],"&gt;0",Tabla_Pagos[NRO DOC],B16)</f>
        <v>267274</v>
      </c>
      <c r="N16" s="36">
        <f t="shared" si="4"/>
        <v>0</v>
      </c>
      <c r="O16" s="22" cm="1">
        <f t="array" ref="O16">MAX(IF((Tabla_Pagos[NRO DOC]=B16)*(Tabla_Pagos[IMPORTE ABONADO]&gt;0),Tabla_Pagos[FECHA DE ABONO]))</f>
        <v>45666</v>
      </c>
    </row>
    <row r="17" spans="2:15" ht="21" customHeight="1" x14ac:dyDescent="0.25">
      <c r="B17" s="39">
        <v>889</v>
      </c>
      <c r="C17" s="20">
        <v>45666</v>
      </c>
      <c r="D17" s="40" t="s">
        <v>253</v>
      </c>
      <c r="E17" s="37" t="str">
        <f>IFERROR(VLOOKUP(D17,CLIENTES!$B$12:$G$2602,2,FALSE),"")</f>
        <v>LUIS MANUEL CONTRERAS YANEZ</v>
      </c>
      <c r="F17" s="31">
        <v>30000</v>
      </c>
      <c r="G17" s="41" t="s">
        <v>101</v>
      </c>
      <c r="H17" s="26">
        <v>0</v>
      </c>
      <c r="I17" s="21" t="str">
        <f t="shared" si="0"/>
        <v>Contado</v>
      </c>
      <c r="J17" s="22">
        <f t="shared" si="1"/>
        <v>45666</v>
      </c>
      <c r="K17" s="27">
        <f t="shared" ca="1" si="2"/>
        <v>0</v>
      </c>
      <c r="L17" s="23" t="str">
        <f t="shared" si="3"/>
        <v>Pagado</v>
      </c>
      <c r="M17" s="36">
        <f>SUMIFS(Tabla_Pagos[IMPORTE ABONADO],Tabla_Pagos[FECHA DE ABONO],"&gt;0",Tabla_Pagos[NRO DOC],B17)</f>
        <v>30000</v>
      </c>
      <c r="N17" s="36">
        <f t="shared" si="4"/>
        <v>0</v>
      </c>
      <c r="O17" s="22" cm="1">
        <f t="array" ref="O17">MAX(IF((Tabla_Pagos[NRO DOC]=B17)*(Tabla_Pagos[IMPORTE ABONADO]&gt;0),Tabla_Pagos[FECHA DE ABONO]))</f>
        <v>45666</v>
      </c>
    </row>
    <row r="18" spans="2:15" ht="21" customHeight="1" x14ac:dyDescent="0.25">
      <c r="B18" s="39">
        <v>890</v>
      </c>
      <c r="C18" s="20">
        <v>45666</v>
      </c>
      <c r="D18" s="40" t="s">
        <v>254</v>
      </c>
      <c r="E18" s="37" t="str">
        <f>IFERROR(VLOOKUP(D18,CLIENTES!$B$12:$G$2602,2,FALSE),"")</f>
        <v>KRADE SPA</v>
      </c>
      <c r="F18" s="31">
        <v>47124</v>
      </c>
      <c r="G18" s="41" t="s">
        <v>101</v>
      </c>
      <c r="H18" s="26">
        <v>0</v>
      </c>
      <c r="I18" s="21" t="str">
        <f t="shared" si="0"/>
        <v>Contado</v>
      </c>
      <c r="J18" s="22">
        <f t="shared" si="1"/>
        <v>45666</v>
      </c>
      <c r="K18" s="27">
        <f t="shared" ca="1" si="2"/>
        <v>0</v>
      </c>
      <c r="L18" s="23" t="str">
        <f t="shared" si="3"/>
        <v>Pagado</v>
      </c>
      <c r="M18" s="36">
        <f>SUMIFS(Tabla_Pagos[IMPORTE ABONADO],Tabla_Pagos[FECHA DE ABONO],"&gt;0",Tabla_Pagos[NRO DOC],B18)</f>
        <v>47124</v>
      </c>
      <c r="N18" s="36">
        <f t="shared" si="4"/>
        <v>0</v>
      </c>
      <c r="O18" s="22" cm="1">
        <f t="array" ref="O18">MAX(IF((Tabla_Pagos[NRO DOC]=B18)*(Tabla_Pagos[IMPORTE ABONADO]&gt;0),Tabla_Pagos[FECHA DE ABONO]))</f>
        <v>45666</v>
      </c>
    </row>
    <row r="19" spans="2:15" ht="21" customHeight="1" x14ac:dyDescent="0.25">
      <c r="B19" s="39">
        <v>891</v>
      </c>
      <c r="C19" s="20">
        <v>45667</v>
      </c>
      <c r="D19" s="40" t="s">
        <v>105</v>
      </c>
      <c r="E19" s="37" t="str">
        <f>IFERROR(VLOOKUP(D19,CLIENTES!$B$12:$G$2602,2,FALSE),"")</f>
        <v>INGENIERIA C Y G LIMITADA</v>
      </c>
      <c r="F19" s="31">
        <v>377230</v>
      </c>
      <c r="G19" s="41" t="s">
        <v>101</v>
      </c>
      <c r="H19" s="26">
        <v>0</v>
      </c>
      <c r="I19" s="21" t="str">
        <f t="shared" si="0"/>
        <v>Contado</v>
      </c>
      <c r="J19" s="22">
        <f t="shared" si="1"/>
        <v>45667</v>
      </c>
      <c r="K19" s="27">
        <f t="shared" ca="1" si="2"/>
        <v>0</v>
      </c>
      <c r="L19" s="23" t="str">
        <f t="shared" si="3"/>
        <v>Pagado</v>
      </c>
      <c r="M19" s="36">
        <f>SUMIFS(Tabla_Pagos[IMPORTE ABONADO],Tabla_Pagos[FECHA DE ABONO],"&gt;0",Tabla_Pagos[NRO DOC],B19)</f>
        <v>377230</v>
      </c>
      <c r="N19" s="36">
        <f t="shared" si="4"/>
        <v>0</v>
      </c>
      <c r="O19" s="22" cm="1">
        <f t="array" ref="O19">MAX(IF((Tabla_Pagos[NRO DOC]=B19)*(Tabla_Pagos[IMPORTE ABONADO]&gt;0),Tabla_Pagos[FECHA DE ABONO]))</f>
        <v>45667</v>
      </c>
    </row>
    <row r="20" spans="2:15" ht="21" customHeight="1" x14ac:dyDescent="0.25">
      <c r="B20" s="39">
        <v>892</v>
      </c>
      <c r="C20" s="20">
        <v>45668</v>
      </c>
      <c r="D20" s="40" t="s">
        <v>255</v>
      </c>
      <c r="E20" s="37" t="str">
        <f>IFERROR(VLOOKUP(D20,CLIENTES!$B$12:$G$2602,2,FALSE),"")</f>
        <v>SOC COMERCIAL TRANSPORTES TAPE LTDA</v>
      </c>
      <c r="F20" s="31">
        <v>107100</v>
      </c>
      <c r="G20" s="41" t="s">
        <v>101</v>
      </c>
      <c r="H20" s="26">
        <v>0</v>
      </c>
      <c r="I20" s="21" t="str">
        <f t="shared" si="0"/>
        <v>Contado</v>
      </c>
      <c r="J20" s="22">
        <f t="shared" si="1"/>
        <v>45668</v>
      </c>
      <c r="K20" s="27">
        <f t="shared" ca="1" si="2"/>
        <v>0</v>
      </c>
      <c r="L20" s="23" t="str">
        <f t="shared" si="3"/>
        <v>Pagado</v>
      </c>
      <c r="M20" s="36">
        <f>SUMIFS(Tabla_Pagos[IMPORTE ABONADO],Tabla_Pagos[FECHA DE ABONO],"&gt;0",Tabla_Pagos[NRO DOC],B20)</f>
        <v>107100</v>
      </c>
      <c r="N20" s="36">
        <f t="shared" si="4"/>
        <v>0</v>
      </c>
      <c r="O20" s="22" cm="1">
        <f t="array" ref="O20">MAX(IF((Tabla_Pagos[NRO DOC]=B20)*(Tabla_Pagos[IMPORTE ABONADO]&gt;0),Tabla_Pagos[FECHA DE ABONO]))</f>
        <v>45668</v>
      </c>
    </row>
    <row r="21" spans="2:15" ht="21" customHeight="1" x14ac:dyDescent="0.25">
      <c r="B21" s="39">
        <v>893</v>
      </c>
      <c r="C21" s="20">
        <v>45668</v>
      </c>
      <c r="D21" s="40" t="s">
        <v>209</v>
      </c>
      <c r="E21" s="37" t="str">
        <f>IFERROR(VLOOKUP(D21,CLIENTES!$B$12:$G$2602,2,FALSE),"")</f>
        <v>SOCIEDAD COMERCIAL E INDUSTRIAL HYDRO CLEANING VAPOR LIMITADA</v>
      </c>
      <c r="F21" s="31">
        <v>40001</v>
      </c>
      <c r="G21" s="41" t="s">
        <v>101</v>
      </c>
      <c r="H21" s="26">
        <v>0</v>
      </c>
      <c r="I21" s="21" t="str">
        <f t="shared" si="0"/>
        <v>Contado</v>
      </c>
      <c r="J21" s="22">
        <f t="shared" si="1"/>
        <v>45668</v>
      </c>
      <c r="K21" s="27">
        <f t="shared" ca="1" si="2"/>
        <v>0</v>
      </c>
      <c r="L21" s="23" t="str">
        <f t="shared" si="3"/>
        <v>Pagado</v>
      </c>
      <c r="M21" s="36">
        <f>SUMIFS(Tabla_Pagos[IMPORTE ABONADO],Tabla_Pagos[FECHA DE ABONO],"&gt;0",Tabla_Pagos[NRO DOC],B21)</f>
        <v>40001</v>
      </c>
      <c r="N21" s="36">
        <f t="shared" si="4"/>
        <v>0</v>
      </c>
      <c r="O21" s="22" cm="1">
        <f t="array" ref="O21">MAX(IF((Tabla_Pagos[NRO DOC]=B21)*(Tabla_Pagos[IMPORTE ABONADO]&gt;0),Tabla_Pagos[FECHA DE ABONO]))</f>
        <v>45668</v>
      </c>
    </row>
    <row r="22" spans="2:15" ht="21" customHeight="1" x14ac:dyDescent="0.25">
      <c r="B22" s="39">
        <v>894</v>
      </c>
      <c r="C22" s="20">
        <v>45670</v>
      </c>
      <c r="D22" s="40" t="s">
        <v>256</v>
      </c>
      <c r="E22" s="37" t="str">
        <f>IFERROR(VLOOKUP(D22,CLIENTES!$B$12:$G$2602,2,FALSE),"")</f>
        <v>GRAU Y COMPANIA LIMITADA</v>
      </c>
      <c r="F22" s="31">
        <v>100000</v>
      </c>
      <c r="G22" s="41" t="s">
        <v>101</v>
      </c>
      <c r="H22" s="26">
        <v>0</v>
      </c>
      <c r="I22" s="21" t="str">
        <f t="shared" si="0"/>
        <v>Contado</v>
      </c>
      <c r="J22" s="22">
        <f t="shared" si="1"/>
        <v>45670</v>
      </c>
      <c r="K22" s="27">
        <f t="shared" ca="1" si="2"/>
        <v>0</v>
      </c>
      <c r="L22" s="23" t="str">
        <f t="shared" si="3"/>
        <v>Pagado</v>
      </c>
      <c r="M22" s="36">
        <f>SUMIFS(Tabla_Pagos[IMPORTE ABONADO],Tabla_Pagos[FECHA DE ABONO],"&gt;0",Tabla_Pagos[NRO DOC],B22)</f>
        <v>100000</v>
      </c>
      <c r="N22" s="36">
        <f t="shared" si="4"/>
        <v>0</v>
      </c>
      <c r="O22" s="22" cm="1">
        <f t="array" ref="O22">MAX(IF((Tabla_Pagos[NRO DOC]=B22)*(Tabla_Pagos[IMPORTE ABONADO]&gt;0),Tabla_Pagos[FECHA DE ABONO]))</f>
        <v>45670</v>
      </c>
    </row>
    <row r="23" spans="2:15" ht="21" customHeight="1" x14ac:dyDescent="0.25">
      <c r="B23" s="39">
        <v>895</v>
      </c>
      <c r="C23" s="20">
        <v>45671</v>
      </c>
      <c r="D23" s="40" t="s">
        <v>251</v>
      </c>
      <c r="E23" s="37" t="str">
        <f>IFERROR(VLOOKUP(D23,CLIENTES!$B$12:$G$2602,2,FALSE),"")</f>
        <v>CONSTRUCTORA GARY LIMITADA</v>
      </c>
      <c r="F23" s="31">
        <v>540855</v>
      </c>
      <c r="G23" s="41" t="s">
        <v>101</v>
      </c>
      <c r="H23" s="26">
        <v>0</v>
      </c>
      <c r="I23" s="21" t="str">
        <f t="shared" si="0"/>
        <v>Contado</v>
      </c>
      <c r="J23" s="22">
        <f t="shared" si="1"/>
        <v>45671</v>
      </c>
      <c r="K23" s="27">
        <f t="shared" ca="1" si="2"/>
        <v>0</v>
      </c>
      <c r="L23" s="23" t="str">
        <f t="shared" si="3"/>
        <v>Pagado</v>
      </c>
      <c r="M23" s="36">
        <f>SUMIFS(Tabla_Pagos[IMPORTE ABONADO],Tabla_Pagos[FECHA DE ABONO],"&gt;0",Tabla_Pagos[NRO DOC],B23)</f>
        <v>540855</v>
      </c>
      <c r="N23" s="36">
        <f t="shared" si="4"/>
        <v>0</v>
      </c>
      <c r="O23" s="22" cm="1">
        <f t="array" ref="O23">MAX(IF((Tabla_Pagos[NRO DOC]=B23)*(Tabla_Pagos[IMPORTE ABONADO]&gt;0),Tabla_Pagos[FECHA DE ABONO]))</f>
        <v>45671</v>
      </c>
    </row>
    <row r="24" spans="2:15" ht="21" customHeight="1" x14ac:dyDescent="0.25">
      <c r="B24" s="39">
        <v>896</v>
      </c>
      <c r="C24" s="20">
        <v>45671</v>
      </c>
      <c r="D24" s="40" t="s">
        <v>257</v>
      </c>
      <c r="E24" s="37" t="str">
        <f>IFERROR(VLOOKUP(D24,CLIENTES!$B$12:$G$2602,2,FALSE),"")</f>
        <v>SOCIEDAD SB CARRASQUERO SPA</v>
      </c>
      <c r="F24" s="31">
        <v>57120</v>
      </c>
      <c r="G24" s="41" t="s">
        <v>101</v>
      </c>
      <c r="H24" s="26">
        <v>0</v>
      </c>
      <c r="I24" s="21" t="str">
        <f t="shared" si="0"/>
        <v>Contado</v>
      </c>
      <c r="J24" s="22">
        <f t="shared" si="1"/>
        <v>45671</v>
      </c>
      <c r="K24" s="27">
        <f t="shared" ca="1" si="2"/>
        <v>0</v>
      </c>
      <c r="L24" s="23" t="str">
        <f t="shared" si="3"/>
        <v>Pagado</v>
      </c>
      <c r="M24" s="36">
        <f>SUMIFS(Tabla_Pagos[IMPORTE ABONADO],Tabla_Pagos[FECHA DE ABONO],"&gt;0",Tabla_Pagos[NRO DOC],B24)</f>
        <v>57120</v>
      </c>
      <c r="N24" s="36">
        <f t="shared" si="4"/>
        <v>0</v>
      </c>
      <c r="O24" s="22" cm="1">
        <f t="array" ref="O24">MAX(IF((Tabla_Pagos[NRO DOC]=B24)*(Tabla_Pagos[IMPORTE ABONADO]&gt;0),Tabla_Pagos[FECHA DE ABONO]))</f>
        <v>45671</v>
      </c>
    </row>
    <row r="25" spans="2:15" ht="21" customHeight="1" x14ac:dyDescent="0.25">
      <c r="B25" s="39">
        <v>897</v>
      </c>
      <c r="C25" s="20">
        <v>45672</v>
      </c>
      <c r="D25" s="40" t="s">
        <v>32</v>
      </c>
      <c r="E25" s="37" t="str">
        <f>IFERROR(VLOOKUP(D25,CLIENTES!$B$12:$G$2602,2,FALSE),"")</f>
        <v>AUTOMOTRIZ NICOLAS LTDA.</v>
      </c>
      <c r="F25" s="31">
        <v>178500</v>
      </c>
      <c r="G25" s="41" t="s">
        <v>101</v>
      </c>
      <c r="H25" s="26">
        <v>30</v>
      </c>
      <c r="I25" s="21" t="str">
        <f t="shared" si="0"/>
        <v>Crédito</v>
      </c>
      <c r="J25" s="22">
        <f t="shared" si="1"/>
        <v>45702</v>
      </c>
      <c r="K25" s="27">
        <f t="shared" ca="1" si="2"/>
        <v>0</v>
      </c>
      <c r="L25" s="23" t="str">
        <f t="shared" si="3"/>
        <v>Pagado</v>
      </c>
      <c r="M25" s="36">
        <f>SUMIFS(Tabla_Pagos[IMPORTE ABONADO],Tabla_Pagos[FECHA DE ABONO],"&gt;0",Tabla_Pagos[NRO DOC],B25)</f>
        <v>178500</v>
      </c>
      <c r="N25" s="36">
        <f t="shared" si="4"/>
        <v>0</v>
      </c>
      <c r="O25" s="22" cm="1">
        <f t="array" ref="O25">MAX(IF((Tabla_Pagos[NRO DOC]=B25)*(Tabla_Pagos[IMPORTE ABONADO]&gt;0),Tabla_Pagos[FECHA DE ABONO]))</f>
        <v>45702</v>
      </c>
    </row>
    <row r="26" spans="2:15" ht="21" customHeight="1" x14ac:dyDescent="0.25">
      <c r="B26" s="39">
        <v>898</v>
      </c>
      <c r="C26" s="20">
        <v>45672</v>
      </c>
      <c r="D26" s="40" t="s">
        <v>44</v>
      </c>
      <c r="E26" s="37" t="str">
        <f>IFERROR(VLOOKUP(D26,CLIENTES!$B$12:$G$2602,2,FALSE),"")</f>
        <v>SKC RED SPA</v>
      </c>
      <c r="F26" s="31">
        <v>368900</v>
      </c>
      <c r="G26" s="41" t="s">
        <v>101</v>
      </c>
      <c r="H26" s="26">
        <v>30</v>
      </c>
      <c r="I26" s="21" t="str">
        <f t="shared" si="0"/>
        <v>Crédito</v>
      </c>
      <c r="J26" s="22">
        <f t="shared" si="1"/>
        <v>45702</v>
      </c>
      <c r="K26" s="27">
        <f t="shared" ca="1" si="2"/>
        <v>0</v>
      </c>
      <c r="L26" s="23" t="str">
        <f t="shared" si="3"/>
        <v>Pagado</v>
      </c>
      <c r="M26" s="36">
        <f>SUMIFS(Tabla_Pagos[IMPORTE ABONADO],Tabla_Pagos[FECHA DE ABONO],"&gt;0",Tabla_Pagos[NRO DOC],B26)</f>
        <v>368900</v>
      </c>
      <c r="N26" s="36">
        <f t="shared" si="4"/>
        <v>0</v>
      </c>
      <c r="O26" s="22" cm="1">
        <f t="array" ref="O26">MAX(IF((Tabla_Pagos[NRO DOC]=B26)*(Tabla_Pagos[IMPORTE ABONADO]&gt;0),Tabla_Pagos[FECHA DE ABONO]))</f>
        <v>45695</v>
      </c>
    </row>
    <row r="27" spans="2:15" ht="21" customHeight="1" x14ac:dyDescent="0.25">
      <c r="B27" s="39">
        <v>899</v>
      </c>
      <c r="C27" s="20">
        <v>45672</v>
      </c>
      <c r="D27" s="40" t="s">
        <v>102</v>
      </c>
      <c r="E27" s="37" t="str">
        <f>IFERROR(VLOOKUP(D27,CLIENTES!$B$12:$G$2602,2,FALSE),"")</f>
        <v>CONSTRUCTORA CARLOS ALBERTO ANDRES ALBISTUR REYES E.I.R.L.</v>
      </c>
      <c r="F27" s="31">
        <v>310233</v>
      </c>
      <c r="G27" s="41" t="s">
        <v>101</v>
      </c>
      <c r="H27" s="26">
        <v>30</v>
      </c>
      <c r="I27" s="21" t="str">
        <f t="shared" si="0"/>
        <v>Crédito</v>
      </c>
      <c r="J27" s="22">
        <f t="shared" si="1"/>
        <v>45702</v>
      </c>
      <c r="K27" s="27">
        <f t="shared" ca="1" si="2"/>
        <v>0</v>
      </c>
      <c r="L27" s="23" t="str">
        <f t="shared" si="3"/>
        <v>Pagado</v>
      </c>
      <c r="M27" s="36">
        <f>SUMIFS(Tabla_Pagos[IMPORTE ABONADO],Tabla_Pagos[FECHA DE ABONO],"&gt;0",Tabla_Pagos[NRO DOC],B27)</f>
        <v>310233</v>
      </c>
      <c r="N27" s="36">
        <f t="shared" si="4"/>
        <v>0</v>
      </c>
      <c r="O27" s="22" cm="1">
        <f t="array" ref="O27">MAX(IF((Tabla_Pagos[NRO DOC]=B27)*(Tabla_Pagos[IMPORTE ABONADO]&gt;0),Tabla_Pagos[FECHA DE ABONO]))</f>
        <v>45677</v>
      </c>
    </row>
    <row r="28" spans="2:15" ht="21" customHeight="1" x14ac:dyDescent="0.25">
      <c r="B28" s="39">
        <v>900</v>
      </c>
      <c r="C28" s="20">
        <v>45672</v>
      </c>
      <c r="D28" s="40" t="s">
        <v>258</v>
      </c>
      <c r="E28" s="37" t="str">
        <f>IFERROR(VLOOKUP(D28,CLIENTES!$B$12:$G$2602,2,FALSE),"")</f>
        <v>MARIELA ELIZABETH ALVAREZ MORENO</v>
      </c>
      <c r="F28" s="31">
        <v>23800</v>
      </c>
      <c r="G28" s="41" t="s">
        <v>101</v>
      </c>
      <c r="H28" s="26">
        <v>0</v>
      </c>
      <c r="I28" s="21" t="str">
        <f t="shared" si="0"/>
        <v>Contado</v>
      </c>
      <c r="J28" s="22">
        <f t="shared" si="1"/>
        <v>45672</v>
      </c>
      <c r="K28" s="27">
        <f t="shared" ca="1" si="2"/>
        <v>0</v>
      </c>
      <c r="L28" s="23" t="str">
        <f t="shared" si="3"/>
        <v>Pagado</v>
      </c>
      <c r="M28" s="36">
        <f>SUMIFS(Tabla_Pagos[IMPORTE ABONADO],Tabla_Pagos[FECHA DE ABONO],"&gt;0",Tabla_Pagos[NRO DOC],B28)</f>
        <v>23800</v>
      </c>
      <c r="N28" s="36">
        <f t="shared" si="4"/>
        <v>0</v>
      </c>
      <c r="O28" s="22" cm="1">
        <f t="array" ref="O28">MAX(IF((Tabla_Pagos[NRO DOC]=B28)*(Tabla_Pagos[IMPORTE ABONADO]&gt;0),Tabla_Pagos[FECHA DE ABONO]))</f>
        <v>45672</v>
      </c>
    </row>
    <row r="29" spans="2:15" ht="21" customHeight="1" x14ac:dyDescent="0.25">
      <c r="B29" s="39">
        <v>901</v>
      </c>
      <c r="C29" s="20">
        <v>45672</v>
      </c>
      <c r="D29" s="40" t="s">
        <v>259</v>
      </c>
      <c r="E29" s="37" t="str">
        <f>IFERROR(VLOOKUP(D29,CLIENTES!$B$12:$G$2602,2,FALSE),"")</f>
        <v>TRIBU DEL DESIERTO SPA</v>
      </c>
      <c r="F29" s="31">
        <v>440300</v>
      </c>
      <c r="G29" s="41" t="s">
        <v>101</v>
      </c>
      <c r="H29" s="26">
        <v>0</v>
      </c>
      <c r="I29" s="21" t="str">
        <f t="shared" si="0"/>
        <v>Contado</v>
      </c>
      <c r="J29" s="22">
        <f t="shared" si="1"/>
        <v>45672</v>
      </c>
      <c r="K29" s="27">
        <f t="shared" ca="1" si="2"/>
        <v>0</v>
      </c>
      <c r="L29" s="23" t="str">
        <f t="shared" si="3"/>
        <v>Pagado</v>
      </c>
      <c r="M29" s="36">
        <f>SUMIFS(Tabla_Pagos[IMPORTE ABONADO],Tabla_Pagos[FECHA DE ABONO],"&gt;0",Tabla_Pagos[NRO DOC],B29)</f>
        <v>440300</v>
      </c>
      <c r="N29" s="36">
        <f t="shared" si="4"/>
        <v>0</v>
      </c>
      <c r="O29" s="22" cm="1">
        <f t="array" ref="O29">MAX(IF((Tabla_Pagos[NRO DOC]=B29)*(Tabla_Pagos[IMPORTE ABONADO]&gt;0),Tabla_Pagos[FECHA DE ABONO]))</f>
        <v>45672</v>
      </c>
    </row>
    <row r="30" spans="2:15" ht="21" customHeight="1" x14ac:dyDescent="0.25">
      <c r="B30" s="39">
        <v>902</v>
      </c>
      <c r="C30" s="20">
        <v>45672</v>
      </c>
      <c r="D30" s="40" t="s">
        <v>260</v>
      </c>
      <c r="E30" s="37" t="str">
        <f>IFERROR(VLOOKUP(D30,CLIENTES!$B$12:$G$2602,2,FALSE),"")</f>
        <v>TRANSPORTES GALLARDO LIMITADA</v>
      </c>
      <c r="F30" s="31">
        <v>107100</v>
      </c>
      <c r="G30" s="41" t="s">
        <v>101</v>
      </c>
      <c r="H30" s="26">
        <v>0</v>
      </c>
      <c r="I30" s="21" t="str">
        <f t="shared" si="0"/>
        <v>Contado</v>
      </c>
      <c r="J30" s="22">
        <f t="shared" si="1"/>
        <v>45672</v>
      </c>
      <c r="K30" s="27">
        <f t="shared" ca="1" si="2"/>
        <v>0</v>
      </c>
      <c r="L30" s="23" t="str">
        <f t="shared" si="3"/>
        <v>Pagado</v>
      </c>
      <c r="M30" s="36">
        <f>SUMIFS(Tabla_Pagos[IMPORTE ABONADO],Tabla_Pagos[FECHA DE ABONO],"&gt;0",Tabla_Pagos[NRO DOC],B30)</f>
        <v>107100</v>
      </c>
      <c r="N30" s="36">
        <f t="shared" si="4"/>
        <v>0</v>
      </c>
      <c r="O30" s="22" cm="1">
        <f t="array" ref="O30">MAX(IF((Tabla_Pagos[NRO DOC]=B30)*(Tabla_Pagos[IMPORTE ABONADO]&gt;0),Tabla_Pagos[FECHA DE ABONO]))</f>
        <v>45672</v>
      </c>
    </row>
    <row r="31" spans="2:15" ht="21" customHeight="1" x14ac:dyDescent="0.25">
      <c r="B31" s="39">
        <v>903</v>
      </c>
      <c r="C31" s="20">
        <v>45673</v>
      </c>
      <c r="D31" s="40" t="s">
        <v>261</v>
      </c>
      <c r="E31" s="37" t="str">
        <f>IFERROR(VLOOKUP(D31,CLIENTES!$B$12:$G$2602,2,FALSE),"")</f>
        <v>TRANSPORTE MARCIA YORDANA CARVAJAL TAPIA E.I.R.L.</v>
      </c>
      <c r="F31" s="31">
        <v>166600</v>
      </c>
      <c r="G31" s="41" t="s">
        <v>101</v>
      </c>
      <c r="H31" s="26">
        <v>0</v>
      </c>
      <c r="I31" s="21" t="str">
        <f t="shared" si="0"/>
        <v>Contado</v>
      </c>
      <c r="J31" s="22">
        <f t="shared" si="1"/>
        <v>45673</v>
      </c>
      <c r="K31" s="27">
        <f t="shared" ca="1" si="2"/>
        <v>0</v>
      </c>
      <c r="L31" s="23" t="str">
        <f t="shared" si="3"/>
        <v>Pagado</v>
      </c>
      <c r="M31" s="36">
        <f>SUMIFS(Tabla_Pagos[IMPORTE ABONADO],Tabla_Pagos[FECHA DE ABONO],"&gt;0",Tabla_Pagos[NRO DOC],B31)</f>
        <v>166600</v>
      </c>
      <c r="N31" s="36">
        <f t="shared" si="4"/>
        <v>0</v>
      </c>
      <c r="O31" s="22" cm="1">
        <f t="array" ref="O31">MAX(IF((Tabla_Pagos[NRO DOC]=B31)*(Tabla_Pagos[IMPORTE ABONADO]&gt;0),Tabla_Pagos[FECHA DE ABONO]))</f>
        <v>45673</v>
      </c>
    </row>
    <row r="32" spans="2:15" ht="21" customHeight="1" x14ac:dyDescent="0.25">
      <c r="B32" s="39">
        <v>904</v>
      </c>
      <c r="C32" s="20">
        <v>45673</v>
      </c>
      <c r="D32" s="40" t="s">
        <v>40</v>
      </c>
      <c r="E32" s="37" t="str">
        <f>IFERROR(VLOOKUP(D32,CLIENTES!$B$12:$G$2602,2,FALSE),"")</f>
        <v>INGENIERIA Y SERVICIOS TERRACOP SPA</v>
      </c>
      <c r="F32" s="31">
        <v>11900</v>
      </c>
      <c r="G32" s="41" t="s">
        <v>101</v>
      </c>
      <c r="H32" s="26">
        <v>0</v>
      </c>
      <c r="I32" s="21" t="str">
        <f t="shared" si="0"/>
        <v>Contado</v>
      </c>
      <c r="J32" s="22">
        <f t="shared" si="1"/>
        <v>45673</v>
      </c>
      <c r="K32" s="27">
        <f t="shared" ca="1" si="2"/>
        <v>0</v>
      </c>
      <c r="L32" s="23" t="str">
        <f t="shared" si="3"/>
        <v>Pagado</v>
      </c>
      <c r="M32" s="36">
        <f>SUMIFS(Tabla_Pagos[IMPORTE ABONADO],Tabla_Pagos[FECHA DE ABONO],"&gt;0",Tabla_Pagos[NRO DOC],B32)</f>
        <v>11900</v>
      </c>
      <c r="N32" s="36">
        <f t="shared" si="4"/>
        <v>0</v>
      </c>
      <c r="O32" s="22" cm="1">
        <f t="array" ref="O32">MAX(IF((Tabla_Pagos[NRO DOC]=B32)*(Tabla_Pagos[IMPORTE ABONADO]&gt;0),Tabla_Pagos[FECHA DE ABONO]))</f>
        <v>45673</v>
      </c>
    </row>
    <row r="33" spans="2:15" ht="21" customHeight="1" x14ac:dyDescent="0.25">
      <c r="B33" s="39">
        <v>905</v>
      </c>
      <c r="C33" s="20">
        <v>45673</v>
      </c>
      <c r="D33" s="40" t="s">
        <v>262</v>
      </c>
      <c r="E33" s="37" t="str">
        <f>IFERROR(VLOOKUP(D33,CLIENTES!$B$12:$G$2602,2,FALSE),"")</f>
        <v>GLOBAL PRO GROUP SPA</v>
      </c>
      <c r="F33" s="31">
        <v>333200</v>
      </c>
      <c r="G33" s="41" t="s">
        <v>101</v>
      </c>
      <c r="H33" s="26">
        <v>0</v>
      </c>
      <c r="I33" s="21" t="str">
        <f t="shared" si="0"/>
        <v>Contado</v>
      </c>
      <c r="J33" s="22">
        <f t="shared" si="1"/>
        <v>45673</v>
      </c>
      <c r="K33" s="27">
        <f t="shared" ca="1" si="2"/>
        <v>0</v>
      </c>
      <c r="L33" s="23" t="str">
        <f t="shared" si="3"/>
        <v>Pagado</v>
      </c>
      <c r="M33" s="36">
        <f>SUMIFS(Tabla_Pagos[IMPORTE ABONADO],Tabla_Pagos[FECHA DE ABONO],"&gt;0",Tabla_Pagos[NRO DOC],B33)</f>
        <v>333200</v>
      </c>
      <c r="N33" s="36">
        <f t="shared" si="4"/>
        <v>0</v>
      </c>
      <c r="O33" s="22" cm="1">
        <f t="array" ref="O33">MAX(IF((Tabla_Pagos[NRO DOC]=B33)*(Tabla_Pagos[IMPORTE ABONADO]&gt;0),Tabla_Pagos[FECHA DE ABONO]))</f>
        <v>45673</v>
      </c>
    </row>
    <row r="34" spans="2:15" ht="21" customHeight="1" x14ac:dyDescent="0.25">
      <c r="B34" s="39">
        <v>906</v>
      </c>
      <c r="C34" s="20">
        <v>45673</v>
      </c>
      <c r="D34" s="40" t="s">
        <v>263</v>
      </c>
      <c r="E34" s="37" t="str">
        <f>IFERROR(VLOOKUP(D34,CLIENTES!$B$12:$G$2602,2,FALSE),"")</f>
        <v>JENNIFER ANDREA HEREDIA PEREZ</v>
      </c>
      <c r="F34" s="31">
        <v>297500</v>
      </c>
      <c r="G34" s="41" t="s">
        <v>101</v>
      </c>
      <c r="H34" s="26">
        <v>0</v>
      </c>
      <c r="I34" s="21" t="str">
        <f t="shared" si="0"/>
        <v>Contado</v>
      </c>
      <c r="J34" s="22">
        <f t="shared" si="1"/>
        <v>45673</v>
      </c>
      <c r="K34" s="27">
        <f t="shared" ca="1" si="2"/>
        <v>0</v>
      </c>
      <c r="L34" s="23" t="str">
        <f t="shared" si="3"/>
        <v>Pagado</v>
      </c>
      <c r="M34" s="36">
        <f>SUMIFS(Tabla_Pagos[IMPORTE ABONADO],Tabla_Pagos[FECHA DE ABONO],"&gt;0",Tabla_Pagos[NRO DOC],B34)</f>
        <v>297500</v>
      </c>
      <c r="N34" s="36">
        <f t="shared" si="4"/>
        <v>0</v>
      </c>
      <c r="O34" s="22" cm="1">
        <f t="array" ref="O34">MAX(IF((Tabla_Pagos[NRO DOC]=B34)*(Tabla_Pagos[IMPORTE ABONADO]&gt;0),Tabla_Pagos[FECHA DE ABONO]))</f>
        <v>45673</v>
      </c>
    </row>
    <row r="35" spans="2:15" ht="21" customHeight="1" x14ac:dyDescent="0.25">
      <c r="B35" s="39">
        <v>907</v>
      </c>
      <c r="C35" s="20">
        <v>45673</v>
      </c>
      <c r="D35" s="40" t="s">
        <v>264</v>
      </c>
      <c r="E35" s="37" t="str">
        <f>IFERROR(VLOOKUP(D35,CLIENTES!$B$12:$G$2602,2,FALSE),"")</f>
        <v>SERVICIO DE AMBULANCIAS Y TRASLADO DE ENFERMOS SPA</v>
      </c>
      <c r="F35" s="31">
        <v>71400</v>
      </c>
      <c r="G35" s="41" t="s">
        <v>101</v>
      </c>
      <c r="H35" s="26">
        <v>0</v>
      </c>
      <c r="I35" s="21" t="str">
        <f t="shared" si="0"/>
        <v>Contado</v>
      </c>
      <c r="J35" s="22">
        <f t="shared" si="1"/>
        <v>45673</v>
      </c>
      <c r="K35" s="27">
        <f t="shared" ca="1" si="2"/>
        <v>0</v>
      </c>
      <c r="L35" s="23" t="str">
        <f t="shared" si="3"/>
        <v>Pagado</v>
      </c>
      <c r="M35" s="36">
        <f>SUMIFS(Tabla_Pagos[IMPORTE ABONADO],Tabla_Pagos[FECHA DE ABONO],"&gt;0",Tabla_Pagos[NRO DOC],B35)</f>
        <v>71400</v>
      </c>
      <c r="N35" s="36">
        <f t="shared" si="4"/>
        <v>0</v>
      </c>
      <c r="O35" s="22" cm="1">
        <f t="array" ref="O35">MAX(IF((Tabla_Pagos[NRO DOC]=B35)*(Tabla_Pagos[IMPORTE ABONADO]&gt;0),Tabla_Pagos[FECHA DE ABONO]))</f>
        <v>45673</v>
      </c>
    </row>
    <row r="36" spans="2:15" ht="21" customHeight="1" x14ac:dyDescent="0.25">
      <c r="B36" s="39">
        <v>908</v>
      </c>
      <c r="C36" s="20">
        <v>45673</v>
      </c>
      <c r="D36" s="40" t="s">
        <v>111</v>
      </c>
      <c r="E36" s="37" t="str">
        <f>IFERROR(VLOOKUP(D36,CLIENTES!$B$12:$G$2602,2,FALSE),"")</f>
        <v>GRAN CASINO DE COPIAPO S.A.</v>
      </c>
      <c r="F36" s="31">
        <v>1661240</v>
      </c>
      <c r="G36" s="41" t="s">
        <v>134</v>
      </c>
      <c r="H36" s="26">
        <v>30</v>
      </c>
      <c r="I36" s="21" t="str">
        <f t="shared" si="0"/>
        <v>Crédito</v>
      </c>
      <c r="J36" s="22">
        <f t="shared" si="1"/>
        <v>45703</v>
      </c>
      <c r="K36" s="27">
        <f t="shared" ca="1" si="2"/>
        <v>0</v>
      </c>
      <c r="L36" s="23" t="str">
        <f t="shared" si="3"/>
        <v>Pagado</v>
      </c>
      <c r="M36" s="36">
        <f>SUMIFS(Tabla_Pagos[IMPORTE ABONADO],Tabla_Pagos[FECHA DE ABONO],"&gt;0",Tabla_Pagos[NRO DOC],B36)</f>
        <v>1661240</v>
      </c>
      <c r="N36" s="36">
        <f t="shared" si="4"/>
        <v>0</v>
      </c>
      <c r="O36" s="22" cm="1">
        <f t="array" ref="O36">MAX(IF((Tabla_Pagos[NRO DOC]=B36)*(Tabla_Pagos[IMPORTE ABONADO]&gt;0),Tabla_Pagos[FECHA DE ABONO]))</f>
        <v>45679</v>
      </c>
    </row>
    <row r="37" spans="2:15" ht="21" customHeight="1" x14ac:dyDescent="0.25">
      <c r="B37" s="39">
        <v>909</v>
      </c>
      <c r="C37" s="20">
        <v>45673</v>
      </c>
      <c r="D37" s="40" t="s">
        <v>111</v>
      </c>
      <c r="E37" s="37" t="str">
        <f>IFERROR(VLOOKUP(D37,CLIENTES!$B$12:$G$2602,2,FALSE),"")</f>
        <v>GRAN CASINO DE COPIAPO S.A.</v>
      </c>
      <c r="F37" s="31">
        <v>2308600</v>
      </c>
      <c r="G37" s="41" t="s">
        <v>134</v>
      </c>
      <c r="H37" s="26">
        <v>30</v>
      </c>
      <c r="I37" s="21" t="str">
        <f t="shared" si="0"/>
        <v>Crédito</v>
      </c>
      <c r="J37" s="22">
        <f t="shared" si="1"/>
        <v>45703</v>
      </c>
      <c r="K37" s="27">
        <f t="shared" ca="1" si="2"/>
        <v>0</v>
      </c>
      <c r="L37" s="23" t="str">
        <f t="shared" si="3"/>
        <v>Pagado</v>
      </c>
      <c r="M37" s="36">
        <f>SUMIFS(Tabla_Pagos[IMPORTE ABONADO],Tabla_Pagos[FECHA DE ABONO],"&gt;0",Tabla_Pagos[NRO DOC],B37)</f>
        <v>2308600</v>
      </c>
      <c r="N37" s="36">
        <f t="shared" si="4"/>
        <v>0</v>
      </c>
      <c r="O37" s="22" cm="1">
        <f t="array" ref="O37">MAX(IF((Tabla_Pagos[NRO DOC]=B37)*(Tabla_Pagos[IMPORTE ABONADO]&gt;0),Tabla_Pagos[FECHA DE ABONO]))</f>
        <v>45677</v>
      </c>
    </row>
    <row r="38" spans="2:15" ht="21" customHeight="1" x14ac:dyDescent="0.25">
      <c r="B38" s="39">
        <v>910</v>
      </c>
      <c r="C38" s="20">
        <v>45677</v>
      </c>
      <c r="D38" s="40" t="s">
        <v>111</v>
      </c>
      <c r="E38" s="37" t="str">
        <f>IFERROR(VLOOKUP(D38,CLIENTES!$B$12:$G$2602,2,FALSE),"")</f>
        <v>GRAN CASINO DE COPIAPO S.A.</v>
      </c>
      <c r="F38" s="31">
        <v>2582300</v>
      </c>
      <c r="G38" s="41" t="s">
        <v>134</v>
      </c>
      <c r="H38" s="26">
        <v>30</v>
      </c>
      <c r="I38" s="21" t="str">
        <f t="shared" si="0"/>
        <v>Crédito</v>
      </c>
      <c r="J38" s="22">
        <f t="shared" si="1"/>
        <v>45707</v>
      </c>
      <c r="K38" s="27">
        <f t="shared" ca="1" si="2"/>
        <v>0</v>
      </c>
      <c r="L38" s="23" t="str">
        <f t="shared" si="3"/>
        <v>Pagado</v>
      </c>
      <c r="M38" s="36">
        <f>SUMIFS(Tabla_Pagos[IMPORTE ABONADO],Tabla_Pagos[FECHA DE ABONO],"&gt;0",Tabla_Pagos[NRO DOC],B38)</f>
        <v>2582300</v>
      </c>
      <c r="N38" s="36">
        <f t="shared" si="4"/>
        <v>0</v>
      </c>
      <c r="O38" s="22" cm="1">
        <f t="array" ref="O38">MAX(IF((Tabla_Pagos[NRO DOC]=B38)*(Tabla_Pagos[IMPORTE ABONADO]&gt;0),Tabla_Pagos[FECHA DE ABONO]))</f>
        <v>45687</v>
      </c>
    </row>
    <row r="39" spans="2:15" ht="21" customHeight="1" x14ac:dyDescent="0.25">
      <c r="B39" s="39">
        <v>911</v>
      </c>
      <c r="C39" s="20">
        <v>45677</v>
      </c>
      <c r="D39" s="40" t="s">
        <v>111</v>
      </c>
      <c r="E39" s="37" t="str">
        <f>IFERROR(VLOOKUP(D39,CLIENTES!$B$12:$G$2602,2,FALSE),"")</f>
        <v>GRAN CASINO DE COPIAPO S.A.</v>
      </c>
      <c r="F39" s="31">
        <v>1387540</v>
      </c>
      <c r="G39" s="41" t="s">
        <v>134</v>
      </c>
      <c r="H39" s="26">
        <v>30</v>
      </c>
      <c r="I39" s="21" t="str">
        <f t="shared" si="0"/>
        <v>Crédito</v>
      </c>
      <c r="J39" s="22">
        <f t="shared" si="1"/>
        <v>45707</v>
      </c>
      <c r="K39" s="27">
        <f t="shared" ca="1" si="2"/>
        <v>0</v>
      </c>
      <c r="L39" s="23" t="str">
        <f t="shared" si="3"/>
        <v>Pagado</v>
      </c>
      <c r="M39" s="36">
        <f>SUMIFS(Tabla_Pagos[IMPORTE ABONADO],Tabla_Pagos[FECHA DE ABONO],"&gt;0",Tabla_Pagos[NRO DOC],B39)</f>
        <v>1387540</v>
      </c>
      <c r="N39" s="36">
        <f t="shared" si="4"/>
        <v>0</v>
      </c>
      <c r="O39" s="22" cm="1">
        <f t="array" ref="O39">MAX(IF((Tabla_Pagos[NRO DOC]=B39)*(Tabla_Pagos[IMPORTE ABONADO]&gt;0),Tabla_Pagos[FECHA DE ABONO]))</f>
        <v>45687</v>
      </c>
    </row>
    <row r="40" spans="2:15" ht="21" customHeight="1" x14ac:dyDescent="0.25">
      <c r="B40" s="39">
        <v>912</v>
      </c>
      <c r="C40" s="20">
        <v>45678</v>
      </c>
      <c r="D40" s="40" t="s">
        <v>105</v>
      </c>
      <c r="E40" s="37" t="str">
        <f>IFERROR(VLOOKUP(D40,CLIENTES!$B$12:$G$2602,2,FALSE),"")</f>
        <v>INGENIERIA C Y G LIMITADA</v>
      </c>
      <c r="F40" s="31">
        <v>308805</v>
      </c>
      <c r="G40" s="41" t="s">
        <v>101</v>
      </c>
      <c r="H40" s="26">
        <v>30</v>
      </c>
      <c r="I40" s="21" t="str">
        <f t="shared" si="0"/>
        <v>Crédito</v>
      </c>
      <c r="J40" s="22">
        <f t="shared" si="1"/>
        <v>45708</v>
      </c>
      <c r="K40" s="27">
        <f t="shared" ca="1" si="2"/>
        <v>0</v>
      </c>
      <c r="L40" s="23" t="str">
        <f t="shared" si="3"/>
        <v>Pagado</v>
      </c>
      <c r="M40" s="36">
        <f>SUMIFS(Tabla_Pagos[IMPORTE ABONADO],Tabla_Pagos[FECHA DE ABONO],"&gt;0",Tabla_Pagos[NRO DOC],B40)</f>
        <v>308805</v>
      </c>
      <c r="N40" s="36">
        <f t="shared" si="4"/>
        <v>0</v>
      </c>
      <c r="O40" s="22" cm="1">
        <f t="array" ref="O40">MAX(IF((Tabla_Pagos[NRO DOC]=B40)*(Tabla_Pagos[IMPORTE ABONADO]&gt;0),Tabla_Pagos[FECHA DE ABONO]))</f>
        <v>45679</v>
      </c>
    </row>
    <row r="41" spans="2:15" ht="21" customHeight="1" x14ac:dyDescent="0.25">
      <c r="B41" s="39">
        <v>913</v>
      </c>
      <c r="C41" s="20">
        <v>45679</v>
      </c>
      <c r="D41" s="40" t="s">
        <v>57</v>
      </c>
      <c r="E41" s="37" t="str">
        <f>IFERROR(VLOOKUP(D41,CLIENTES!$B$12:$G$2602,2,FALSE),"")</f>
        <v>ERNESTO OMAR MOLINA MOLINA</v>
      </c>
      <c r="F41" s="31">
        <v>202300</v>
      </c>
      <c r="G41" s="41" t="s">
        <v>101</v>
      </c>
      <c r="H41" s="26">
        <v>0</v>
      </c>
      <c r="I41" s="21" t="str">
        <f t="shared" si="0"/>
        <v>Contado</v>
      </c>
      <c r="J41" s="22">
        <f t="shared" si="1"/>
        <v>45679</v>
      </c>
      <c r="K41" s="27">
        <f t="shared" ca="1" si="2"/>
        <v>0</v>
      </c>
      <c r="L41" s="23" t="str">
        <f t="shared" si="3"/>
        <v>Pagado</v>
      </c>
      <c r="M41" s="36">
        <f>SUMIFS(Tabla_Pagos[IMPORTE ABONADO],Tabla_Pagos[FECHA DE ABONO],"&gt;0",Tabla_Pagos[NRO DOC],B41)</f>
        <v>202300</v>
      </c>
      <c r="N41" s="36">
        <f t="shared" si="4"/>
        <v>0</v>
      </c>
      <c r="O41" s="22" cm="1">
        <f t="array" ref="O41">MAX(IF((Tabla_Pagos[NRO DOC]=B41)*(Tabla_Pagos[IMPORTE ABONADO]&gt;0),Tabla_Pagos[FECHA DE ABONO]))</f>
        <v>45679</v>
      </c>
    </row>
    <row r="42" spans="2:15" ht="21" customHeight="1" x14ac:dyDescent="0.25">
      <c r="B42" s="39">
        <v>914</v>
      </c>
      <c r="C42" s="20">
        <v>45679</v>
      </c>
      <c r="D42" s="40" t="s">
        <v>265</v>
      </c>
      <c r="E42" s="37" t="str">
        <f>IFERROR(VLOOKUP(D42,CLIENTES!$B$12:$G$2602,2,FALSE),"")</f>
        <v>SOCIEDAD RENT A CAR EMM LIMITADA</v>
      </c>
      <c r="F42" s="31">
        <v>119000</v>
      </c>
      <c r="G42" s="41" t="s">
        <v>101</v>
      </c>
      <c r="H42" s="26">
        <v>0</v>
      </c>
      <c r="I42" s="21" t="str">
        <f t="shared" si="0"/>
        <v>Contado</v>
      </c>
      <c r="J42" s="22">
        <f t="shared" si="1"/>
        <v>45679</v>
      </c>
      <c r="K42" s="27">
        <f t="shared" ca="1" si="2"/>
        <v>0</v>
      </c>
      <c r="L42" s="23" t="str">
        <f t="shared" si="3"/>
        <v>Pagado</v>
      </c>
      <c r="M42" s="36">
        <f>SUMIFS(Tabla_Pagos[IMPORTE ABONADO],Tabla_Pagos[FECHA DE ABONO],"&gt;0",Tabla_Pagos[NRO DOC],B42)</f>
        <v>119000</v>
      </c>
      <c r="N42" s="36">
        <f t="shared" si="4"/>
        <v>0</v>
      </c>
      <c r="O42" s="22" cm="1">
        <f t="array" ref="O42">MAX(IF((Tabla_Pagos[NRO DOC]=B42)*(Tabla_Pagos[IMPORTE ABONADO]&gt;0),Tabla_Pagos[FECHA DE ABONO]))</f>
        <v>45679</v>
      </c>
    </row>
    <row r="43" spans="2:15" ht="21" customHeight="1" x14ac:dyDescent="0.25">
      <c r="B43" s="39">
        <v>915</v>
      </c>
      <c r="C43" s="20">
        <v>45680</v>
      </c>
      <c r="D43" s="40" t="s">
        <v>266</v>
      </c>
      <c r="E43" s="37" t="str">
        <f>IFERROR(VLOOKUP(D43,CLIENTES!$B$12:$G$2602,2,FALSE),"")</f>
        <v>TRANSPORTES VERASAY SPA</v>
      </c>
      <c r="F43" s="31">
        <v>170000</v>
      </c>
      <c r="G43" s="41" t="s">
        <v>101</v>
      </c>
      <c r="H43" s="26">
        <v>0</v>
      </c>
      <c r="I43" s="21" t="str">
        <f t="shared" si="0"/>
        <v>Contado</v>
      </c>
      <c r="J43" s="22">
        <f t="shared" si="1"/>
        <v>45680</v>
      </c>
      <c r="K43" s="27">
        <f t="shared" ca="1" si="2"/>
        <v>0</v>
      </c>
      <c r="L43" s="23" t="str">
        <f t="shared" si="3"/>
        <v>Pagado</v>
      </c>
      <c r="M43" s="36">
        <f>SUMIFS(Tabla_Pagos[IMPORTE ABONADO],Tabla_Pagos[FECHA DE ABONO],"&gt;0",Tabla_Pagos[NRO DOC],B43)</f>
        <v>170000</v>
      </c>
      <c r="N43" s="36">
        <f t="shared" si="4"/>
        <v>0</v>
      </c>
      <c r="O43" s="22" cm="1">
        <f t="array" ref="O43">MAX(IF((Tabla_Pagos[NRO DOC]=B43)*(Tabla_Pagos[IMPORTE ABONADO]&gt;0),Tabla_Pagos[FECHA DE ABONO]))</f>
        <v>45680</v>
      </c>
    </row>
    <row r="44" spans="2:15" ht="21" customHeight="1" x14ac:dyDescent="0.25">
      <c r="B44" s="39">
        <v>916</v>
      </c>
      <c r="C44" s="20">
        <v>45682</v>
      </c>
      <c r="D44" s="40" t="s">
        <v>267</v>
      </c>
      <c r="E44" s="37" t="str">
        <f>IFERROR(VLOOKUP(D44,CLIENTES!$B$12:$G$2602,2,FALSE),"")</f>
        <v>ESTAFETA CARGO EXPRESS LIMITADA</v>
      </c>
      <c r="F44" s="31">
        <v>60001</v>
      </c>
      <c r="G44" s="41" t="s">
        <v>101</v>
      </c>
      <c r="H44" s="26">
        <v>0</v>
      </c>
      <c r="I44" s="21" t="str">
        <f t="shared" si="0"/>
        <v>Contado</v>
      </c>
      <c r="J44" s="22">
        <f t="shared" si="1"/>
        <v>45682</v>
      </c>
      <c r="K44" s="27">
        <f t="shared" ca="1" si="2"/>
        <v>0</v>
      </c>
      <c r="L44" s="23" t="str">
        <f t="shared" si="3"/>
        <v>Pagado</v>
      </c>
      <c r="M44" s="36">
        <f>SUMIFS(Tabla_Pagos[IMPORTE ABONADO],Tabla_Pagos[FECHA DE ABONO],"&gt;0",Tabla_Pagos[NRO DOC],B44)</f>
        <v>60001</v>
      </c>
      <c r="N44" s="36">
        <f t="shared" si="4"/>
        <v>0</v>
      </c>
      <c r="O44" s="22" cm="1">
        <f t="array" ref="O44">MAX(IF((Tabla_Pagos[NRO DOC]=B44)*(Tabla_Pagos[IMPORTE ABONADO]&gt;0),Tabla_Pagos[FECHA DE ABONO]))</f>
        <v>45682</v>
      </c>
    </row>
    <row r="45" spans="2:15" ht="21" customHeight="1" x14ac:dyDescent="0.25">
      <c r="B45" s="39">
        <v>917</v>
      </c>
      <c r="C45" s="20">
        <v>45685</v>
      </c>
      <c r="D45" s="40" t="s">
        <v>268</v>
      </c>
      <c r="E45" s="37" t="str">
        <f>IFERROR(VLOOKUP(D45,CLIENTES!$B$12:$G$2602,2,FALSE),"")</f>
        <v>COMERCIALIZADORA FERCASTA SPA</v>
      </c>
      <c r="F45" s="31">
        <v>40001</v>
      </c>
      <c r="G45" s="41" t="s">
        <v>101</v>
      </c>
      <c r="H45" s="26">
        <v>0</v>
      </c>
      <c r="I45" s="21" t="str">
        <f t="shared" si="0"/>
        <v>Contado</v>
      </c>
      <c r="J45" s="22">
        <f t="shared" si="1"/>
        <v>45685</v>
      </c>
      <c r="K45" s="27">
        <f t="shared" ca="1" si="2"/>
        <v>0</v>
      </c>
      <c r="L45" s="23" t="str">
        <f t="shared" si="3"/>
        <v>Pagado</v>
      </c>
      <c r="M45" s="36">
        <f>SUMIFS(Tabla_Pagos[IMPORTE ABONADO],Tabla_Pagos[FECHA DE ABONO],"&gt;0",Tabla_Pagos[NRO DOC],B45)</f>
        <v>40001</v>
      </c>
      <c r="N45" s="36">
        <f t="shared" si="4"/>
        <v>0</v>
      </c>
      <c r="O45" s="22" cm="1">
        <f t="array" ref="O45">MAX(IF((Tabla_Pagos[NRO DOC]=B45)*(Tabla_Pagos[IMPORTE ABONADO]&gt;0),Tabla_Pagos[FECHA DE ABONO]))</f>
        <v>45685</v>
      </c>
    </row>
    <row r="46" spans="2:15" ht="21" customHeight="1" x14ac:dyDescent="0.25">
      <c r="B46" s="39">
        <v>918</v>
      </c>
      <c r="C46" s="20">
        <v>45685</v>
      </c>
      <c r="D46" s="40" t="s">
        <v>47</v>
      </c>
      <c r="E46" s="37" t="str">
        <f>IFERROR(VLOOKUP(D46,CLIENTES!$B$12:$G$2602,2,FALSE),"")</f>
        <v>PATAGONIA SERVICIOS SPA</v>
      </c>
      <c r="F46" s="31">
        <v>2975000</v>
      </c>
      <c r="G46" s="41" t="s">
        <v>134</v>
      </c>
      <c r="H46" s="26">
        <v>30</v>
      </c>
      <c r="I46" s="21" t="str">
        <f t="shared" si="0"/>
        <v>Crédito</v>
      </c>
      <c r="J46" s="22">
        <f t="shared" si="1"/>
        <v>45715</v>
      </c>
      <c r="K46" s="27">
        <f t="shared" ca="1" si="2"/>
        <v>0</v>
      </c>
      <c r="L46" s="23" t="str">
        <f t="shared" si="3"/>
        <v>Pagado</v>
      </c>
      <c r="M46" s="36">
        <f>SUMIFS(Tabla_Pagos[IMPORTE ABONADO],Tabla_Pagos[FECHA DE ABONO],"&gt;0",Tabla_Pagos[NRO DOC],B46)</f>
        <v>2975000</v>
      </c>
      <c r="N46" s="36">
        <f t="shared" si="4"/>
        <v>0</v>
      </c>
      <c r="O46" s="22" cm="1">
        <f t="array" ref="O46">MAX(IF((Tabla_Pagos[NRO DOC]=B46)*(Tabla_Pagos[IMPORTE ABONADO]&gt;0),Tabla_Pagos[FECHA DE ABONO]))</f>
        <v>45694</v>
      </c>
    </row>
    <row r="47" spans="2:15" ht="21" customHeight="1" x14ac:dyDescent="0.25">
      <c r="B47" s="39">
        <v>919</v>
      </c>
      <c r="C47" s="20">
        <v>45685</v>
      </c>
      <c r="D47" s="40" t="s">
        <v>194</v>
      </c>
      <c r="E47" s="37" t="str">
        <f>IFERROR(VLOOKUP(D47,CLIENTES!$B$12:$G$2602,2,FALSE),"")</f>
        <v>PRESTACION DE SERVICIOS MEDICOS JOSE LUIS GUERRA DIAZ E.I.R.L.</v>
      </c>
      <c r="F47" s="31">
        <v>928200</v>
      </c>
      <c r="G47" s="41" t="s">
        <v>101</v>
      </c>
      <c r="H47" s="26">
        <v>0</v>
      </c>
      <c r="I47" s="21" t="str">
        <f t="shared" si="0"/>
        <v>Contado</v>
      </c>
      <c r="J47" s="22">
        <f t="shared" si="1"/>
        <v>45685</v>
      </c>
      <c r="K47" s="27">
        <f t="shared" ca="1" si="2"/>
        <v>0</v>
      </c>
      <c r="L47" s="23" t="str">
        <f t="shared" si="3"/>
        <v>Pagado</v>
      </c>
      <c r="M47" s="36">
        <f>SUMIFS(Tabla_Pagos[IMPORTE ABONADO],Tabla_Pagos[FECHA DE ABONO],"&gt;0",Tabla_Pagos[NRO DOC],B47)</f>
        <v>928200</v>
      </c>
      <c r="N47" s="36">
        <f t="shared" si="4"/>
        <v>0</v>
      </c>
      <c r="O47" s="22" cm="1">
        <f t="array" ref="O47">MAX(IF((Tabla_Pagos[NRO DOC]=B47)*(Tabla_Pagos[IMPORTE ABONADO]&gt;0),Tabla_Pagos[FECHA DE ABONO]))</f>
        <v>45685</v>
      </c>
    </row>
    <row r="48" spans="2:15" ht="21" customHeight="1" x14ac:dyDescent="0.25">
      <c r="B48" s="39">
        <v>920</v>
      </c>
      <c r="C48" s="20">
        <v>45685</v>
      </c>
      <c r="D48" s="40" t="s">
        <v>168</v>
      </c>
      <c r="E48" s="37" t="str">
        <f>IFERROR(VLOOKUP(D48,CLIENTES!$B$12:$G$2602,2,FALSE),"")</f>
        <v>CENTRO DE RECICLAJE DEL NORTE LIMITADA</v>
      </c>
      <c r="F48" s="31">
        <v>47600</v>
      </c>
      <c r="G48" s="41" t="s">
        <v>101</v>
      </c>
      <c r="H48" s="26">
        <v>0</v>
      </c>
      <c r="I48" s="21" t="str">
        <f t="shared" si="0"/>
        <v>Contado</v>
      </c>
      <c r="J48" s="22">
        <f t="shared" si="1"/>
        <v>45685</v>
      </c>
      <c r="K48" s="27">
        <f t="shared" ca="1" si="2"/>
        <v>0</v>
      </c>
      <c r="L48" s="23" t="str">
        <f t="shared" si="3"/>
        <v>Pagado</v>
      </c>
      <c r="M48" s="36">
        <f>SUMIFS(Tabla_Pagos[IMPORTE ABONADO],Tabla_Pagos[FECHA DE ABONO],"&gt;0",Tabla_Pagos[NRO DOC],B48)</f>
        <v>47600</v>
      </c>
      <c r="N48" s="36">
        <f t="shared" si="4"/>
        <v>0</v>
      </c>
      <c r="O48" s="22" cm="1">
        <f t="array" ref="O48">MAX(IF((Tabla_Pagos[NRO DOC]=B48)*(Tabla_Pagos[IMPORTE ABONADO]&gt;0),Tabla_Pagos[FECHA DE ABONO]))</f>
        <v>45685</v>
      </c>
    </row>
    <row r="49" spans="2:15" ht="21" customHeight="1" x14ac:dyDescent="0.25">
      <c r="B49" s="39">
        <v>921</v>
      </c>
      <c r="C49" s="20">
        <v>45685</v>
      </c>
      <c r="D49" s="40" t="s">
        <v>202</v>
      </c>
      <c r="E49" s="37" t="str">
        <f>IFERROR(VLOOKUP(D49,CLIENTES!$B$12:$G$2602,2,FALSE),"")</f>
        <v>ATACAMA SERVICIOS LIMITADA</v>
      </c>
      <c r="F49" s="31">
        <v>35700</v>
      </c>
      <c r="G49" s="41" t="s">
        <v>101</v>
      </c>
      <c r="H49" s="26">
        <v>0</v>
      </c>
      <c r="I49" s="21" t="str">
        <f t="shared" si="0"/>
        <v>Contado</v>
      </c>
      <c r="J49" s="22">
        <f t="shared" si="1"/>
        <v>45685</v>
      </c>
      <c r="K49" s="27">
        <f t="shared" ca="1" si="2"/>
        <v>0</v>
      </c>
      <c r="L49" s="23" t="str">
        <f t="shared" si="3"/>
        <v>Pagado</v>
      </c>
      <c r="M49" s="36">
        <f>SUMIFS(Tabla_Pagos[IMPORTE ABONADO],Tabla_Pagos[FECHA DE ABONO],"&gt;0",Tabla_Pagos[NRO DOC],B49)</f>
        <v>35700</v>
      </c>
      <c r="N49" s="36">
        <f t="shared" si="4"/>
        <v>0</v>
      </c>
      <c r="O49" s="22" cm="1">
        <f t="array" ref="O49">MAX(IF((Tabla_Pagos[NRO DOC]=B49)*(Tabla_Pagos[IMPORTE ABONADO]&gt;0),Tabla_Pagos[FECHA DE ABONO]))</f>
        <v>45685</v>
      </c>
    </row>
    <row r="50" spans="2:15" ht="21" customHeight="1" x14ac:dyDescent="0.25">
      <c r="B50" s="39">
        <v>922</v>
      </c>
      <c r="C50" s="20">
        <v>45685</v>
      </c>
      <c r="D50" s="40" t="s">
        <v>202</v>
      </c>
      <c r="E50" s="37" t="str">
        <f>IFERROR(VLOOKUP(D50,CLIENTES!$B$12:$G$2602,2,FALSE),"")</f>
        <v>ATACAMA SERVICIOS LIMITADA</v>
      </c>
      <c r="F50" s="31">
        <v>71400</v>
      </c>
      <c r="G50" s="41" t="s">
        <v>101</v>
      </c>
      <c r="H50" s="26">
        <v>0</v>
      </c>
      <c r="I50" s="21" t="str">
        <f t="shared" si="0"/>
        <v>Contado</v>
      </c>
      <c r="J50" s="22">
        <f t="shared" si="1"/>
        <v>45685</v>
      </c>
      <c r="K50" s="27">
        <f t="shared" ca="1" si="2"/>
        <v>0</v>
      </c>
      <c r="L50" s="23" t="str">
        <f t="shared" si="3"/>
        <v>Pagado</v>
      </c>
      <c r="M50" s="36">
        <f>SUMIFS(Tabla_Pagos[IMPORTE ABONADO],Tabla_Pagos[FECHA DE ABONO],"&gt;0",Tabla_Pagos[NRO DOC],B50)</f>
        <v>71400</v>
      </c>
      <c r="N50" s="36">
        <f t="shared" si="4"/>
        <v>0</v>
      </c>
      <c r="O50" s="22" cm="1">
        <f t="array" ref="O50">MAX(IF((Tabla_Pagos[NRO DOC]=B50)*(Tabla_Pagos[IMPORTE ABONADO]&gt;0),Tabla_Pagos[FECHA DE ABONO]))</f>
        <v>45685</v>
      </c>
    </row>
    <row r="51" spans="2:15" ht="21" customHeight="1" x14ac:dyDescent="0.25">
      <c r="B51" s="39">
        <v>923</v>
      </c>
      <c r="C51" s="20">
        <v>45686</v>
      </c>
      <c r="D51" s="40" t="s">
        <v>241</v>
      </c>
      <c r="E51" s="37" t="str">
        <f>IFERROR(VLOOKUP(D51,CLIENTES!$B$12:$G$2602,2,FALSE),"")</f>
        <v>GALEB  GALEB EVENTOS LIMITADA</v>
      </c>
      <c r="F51" s="31">
        <v>190000</v>
      </c>
      <c r="G51" s="41" t="s">
        <v>101</v>
      </c>
      <c r="H51" s="26">
        <v>0</v>
      </c>
      <c r="I51" s="21" t="str">
        <f t="shared" si="0"/>
        <v>Contado</v>
      </c>
      <c r="J51" s="22">
        <f t="shared" si="1"/>
        <v>45686</v>
      </c>
      <c r="K51" s="27">
        <f t="shared" ca="1" si="2"/>
        <v>0</v>
      </c>
      <c r="L51" s="23" t="str">
        <f t="shared" si="3"/>
        <v>Pagado</v>
      </c>
      <c r="M51" s="36">
        <f>SUMIFS(Tabla_Pagos[IMPORTE ABONADO],Tabla_Pagos[FECHA DE ABONO],"&gt;0",Tabla_Pagos[NRO DOC],B51)</f>
        <v>190000</v>
      </c>
      <c r="N51" s="36">
        <f t="shared" si="4"/>
        <v>0</v>
      </c>
      <c r="O51" s="22" cm="1">
        <f t="array" ref="O51">MAX(IF((Tabla_Pagos[NRO DOC]=B51)*(Tabla_Pagos[IMPORTE ABONADO]&gt;0),Tabla_Pagos[FECHA DE ABONO]))</f>
        <v>45686</v>
      </c>
    </row>
    <row r="52" spans="2:15" ht="21" customHeight="1" x14ac:dyDescent="0.25">
      <c r="B52" s="39">
        <v>924</v>
      </c>
      <c r="C52" s="20">
        <v>45686</v>
      </c>
      <c r="D52" s="40" t="s">
        <v>269</v>
      </c>
      <c r="E52" s="37" t="str">
        <f>IFERROR(VLOOKUP(D52,CLIENTES!$B$12:$G$2602,2,FALSE),"")</f>
        <v>SC CLEAN CAR SPA</v>
      </c>
      <c r="F52" s="31">
        <v>380800</v>
      </c>
      <c r="G52" s="41" t="s">
        <v>101</v>
      </c>
      <c r="H52" s="26">
        <v>0</v>
      </c>
      <c r="I52" s="21" t="str">
        <f t="shared" si="0"/>
        <v>Contado</v>
      </c>
      <c r="J52" s="22">
        <f t="shared" si="1"/>
        <v>45686</v>
      </c>
      <c r="K52" s="27">
        <f t="shared" ca="1" si="2"/>
        <v>0</v>
      </c>
      <c r="L52" s="23" t="str">
        <f t="shared" si="3"/>
        <v>Pagado</v>
      </c>
      <c r="M52" s="36">
        <f>SUMIFS(Tabla_Pagos[IMPORTE ABONADO],Tabla_Pagos[FECHA DE ABONO],"&gt;0",Tabla_Pagos[NRO DOC],B52)</f>
        <v>380800</v>
      </c>
      <c r="N52" s="36">
        <f t="shared" si="4"/>
        <v>0</v>
      </c>
      <c r="O52" s="22" cm="1">
        <f t="array" ref="O52">MAX(IF((Tabla_Pagos[NRO DOC]=B52)*(Tabla_Pagos[IMPORTE ABONADO]&gt;0),Tabla_Pagos[FECHA DE ABONO]))</f>
        <v>45686</v>
      </c>
    </row>
    <row r="53" spans="2:15" ht="21" customHeight="1" x14ac:dyDescent="0.25">
      <c r="B53" s="39">
        <v>925</v>
      </c>
      <c r="C53" s="20">
        <v>45691</v>
      </c>
      <c r="D53" s="40" t="s">
        <v>238</v>
      </c>
      <c r="E53" s="37" t="str">
        <f>IFERROR(VLOOKUP(D53,CLIENTES!$B$12:$G$2602,2,FALSE),"")</f>
        <v>SOCIEDAD DEMOLICIONES MARIO PORZIO S.A.</v>
      </c>
      <c r="F53" s="31">
        <v>25000</v>
      </c>
      <c r="G53" s="41" t="s">
        <v>101</v>
      </c>
      <c r="H53" s="26">
        <v>0</v>
      </c>
      <c r="I53" s="21" t="str">
        <f t="shared" si="0"/>
        <v>Contado</v>
      </c>
      <c r="J53" s="22">
        <f t="shared" si="1"/>
        <v>45691</v>
      </c>
      <c r="K53" s="27">
        <f t="shared" ca="1" si="2"/>
        <v>0</v>
      </c>
      <c r="L53" s="23" t="str">
        <f t="shared" si="3"/>
        <v>Pagado</v>
      </c>
      <c r="M53" s="36">
        <f>SUMIFS(Tabla_Pagos[IMPORTE ABONADO],Tabla_Pagos[FECHA DE ABONO],"&gt;0",Tabla_Pagos[NRO DOC],B53)</f>
        <v>25000</v>
      </c>
      <c r="N53" s="36">
        <f t="shared" si="4"/>
        <v>0</v>
      </c>
      <c r="O53" s="22" cm="1">
        <f t="array" ref="O53">MAX(IF((Tabla_Pagos[NRO DOC]=B53)*(Tabla_Pagos[IMPORTE ABONADO]&gt;0),Tabla_Pagos[FECHA DE ABONO]))</f>
        <v>45691</v>
      </c>
    </row>
    <row r="54" spans="2:15" ht="21" customHeight="1" x14ac:dyDescent="0.25">
      <c r="B54" s="39">
        <v>926</v>
      </c>
      <c r="C54" s="20">
        <v>45691</v>
      </c>
      <c r="D54" s="40" t="s">
        <v>195</v>
      </c>
      <c r="E54" s="37" t="str">
        <f>IFERROR(VLOOKUP(D54,CLIENTES!$B$12:$G$2602,2,FALSE),"")</f>
        <v>SERVICIOS ARDIRAB SPA</v>
      </c>
      <c r="F54" s="31">
        <v>5450200</v>
      </c>
      <c r="G54" s="41" t="s">
        <v>101</v>
      </c>
      <c r="H54" s="26">
        <v>30</v>
      </c>
      <c r="I54" s="21" t="str">
        <f t="shared" si="0"/>
        <v>Crédito</v>
      </c>
      <c r="J54" s="22">
        <f t="shared" si="1"/>
        <v>45721</v>
      </c>
      <c r="K54" s="27">
        <f t="shared" ca="1" si="2"/>
        <v>0</v>
      </c>
      <c r="L54" s="23" t="str">
        <f t="shared" si="3"/>
        <v>Pagado</v>
      </c>
      <c r="M54" s="36">
        <f>SUMIFS(Tabla_Pagos[IMPORTE ABONADO],Tabla_Pagos[FECHA DE ABONO],"&gt;0",Tabla_Pagos[NRO DOC],B54)</f>
        <v>5450200</v>
      </c>
      <c r="N54" s="36">
        <f t="shared" si="4"/>
        <v>0</v>
      </c>
      <c r="O54" s="22" cm="1">
        <f t="array" ref="O54">MAX(IF((Tabla_Pagos[NRO DOC]=B54)*(Tabla_Pagos[IMPORTE ABONADO]&gt;0),Tabla_Pagos[FECHA DE ABONO]))</f>
        <v>45719</v>
      </c>
    </row>
    <row r="55" spans="2:15" ht="21" customHeight="1" x14ac:dyDescent="0.25">
      <c r="B55" s="39">
        <v>927</v>
      </c>
      <c r="C55" s="20">
        <v>45691</v>
      </c>
      <c r="D55" s="40" t="s">
        <v>44</v>
      </c>
      <c r="E55" s="37" t="str">
        <f>IFERROR(VLOOKUP(D55,CLIENTES!$B$12:$G$2602,2,FALSE),"")</f>
        <v>SKC RED SPA</v>
      </c>
      <c r="F55" s="31">
        <v>142800</v>
      </c>
      <c r="G55" s="41" t="s">
        <v>101</v>
      </c>
      <c r="H55" s="26">
        <v>30</v>
      </c>
      <c r="I55" s="21" t="str">
        <f t="shared" si="0"/>
        <v>Crédito</v>
      </c>
      <c r="J55" s="22">
        <f t="shared" si="1"/>
        <v>45721</v>
      </c>
      <c r="K55" s="27">
        <f t="shared" ca="1" si="2"/>
        <v>0</v>
      </c>
      <c r="L55" s="23" t="str">
        <f t="shared" si="3"/>
        <v>Pagado</v>
      </c>
      <c r="M55" s="36">
        <f>SUMIFS(Tabla_Pagos[IMPORTE ABONADO],Tabla_Pagos[FECHA DE ABONO],"&gt;0",Tabla_Pagos[NRO DOC],B55)</f>
        <v>142800</v>
      </c>
      <c r="N55" s="36">
        <f t="shared" si="4"/>
        <v>0</v>
      </c>
      <c r="O55" s="22" cm="1">
        <f t="array" ref="O55">MAX(IF((Tabla_Pagos[NRO DOC]=B55)*(Tabla_Pagos[IMPORTE ABONADO]&gt;0),Tabla_Pagos[FECHA DE ABONO]))</f>
        <v>45723</v>
      </c>
    </row>
    <row r="56" spans="2:15" ht="21" customHeight="1" x14ac:dyDescent="0.25">
      <c r="B56" s="39">
        <v>928</v>
      </c>
      <c r="C56" s="20">
        <v>45691</v>
      </c>
      <c r="D56" s="40" t="s">
        <v>44</v>
      </c>
      <c r="E56" s="37" t="str">
        <f>IFERROR(VLOOKUP(D56,CLIENTES!$B$12:$G$2602,2,FALSE),"")</f>
        <v>SKC RED SPA</v>
      </c>
      <c r="F56" s="31">
        <v>428400</v>
      </c>
      <c r="G56" s="41" t="s">
        <v>101</v>
      </c>
      <c r="H56" s="26">
        <v>30</v>
      </c>
      <c r="I56" s="21" t="str">
        <f t="shared" si="0"/>
        <v>Crédito</v>
      </c>
      <c r="J56" s="22">
        <f t="shared" si="1"/>
        <v>45721</v>
      </c>
      <c r="K56" s="27">
        <f t="shared" ca="1" si="2"/>
        <v>0</v>
      </c>
      <c r="L56" s="23" t="str">
        <f t="shared" si="3"/>
        <v>Pagado</v>
      </c>
      <c r="M56" s="36">
        <f>SUMIFS(Tabla_Pagos[IMPORTE ABONADO],Tabla_Pagos[FECHA DE ABONO],"&gt;0",Tabla_Pagos[NRO DOC],B56)</f>
        <v>428400</v>
      </c>
      <c r="N56" s="36">
        <f t="shared" si="4"/>
        <v>0</v>
      </c>
      <c r="O56" s="22" cm="1">
        <f t="array" ref="O56">MAX(IF((Tabla_Pagos[NRO DOC]=B56)*(Tabla_Pagos[IMPORTE ABONADO]&gt;0),Tabla_Pagos[FECHA DE ABONO]))</f>
        <v>45723</v>
      </c>
    </row>
    <row r="57" spans="2:15" ht="21" customHeight="1" x14ac:dyDescent="0.25">
      <c r="B57" s="39">
        <v>929</v>
      </c>
      <c r="C57" s="20">
        <v>45691</v>
      </c>
      <c r="D57" s="40" t="s">
        <v>32</v>
      </c>
      <c r="E57" s="37" t="str">
        <f>IFERROR(VLOOKUP(D57,CLIENTES!$B$12:$G$2602,2,FALSE),"")</f>
        <v>AUTOMOTRIZ NICOLAS LTDA.</v>
      </c>
      <c r="F57" s="31">
        <v>714000</v>
      </c>
      <c r="G57" s="41" t="s">
        <v>101</v>
      </c>
      <c r="H57" s="26">
        <v>30</v>
      </c>
      <c r="I57" s="21" t="str">
        <f t="shared" si="0"/>
        <v>Crédito</v>
      </c>
      <c r="J57" s="22">
        <f t="shared" si="1"/>
        <v>45721</v>
      </c>
      <c r="K57" s="27">
        <f t="shared" ca="1" si="2"/>
        <v>0</v>
      </c>
      <c r="L57" s="23" t="str">
        <f t="shared" si="3"/>
        <v>Pagado</v>
      </c>
      <c r="M57" s="36">
        <f>SUMIFS(Tabla_Pagos[IMPORTE ABONADO],Tabla_Pagos[FECHA DE ABONO],"&gt;0",Tabla_Pagos[NRO DOC],B57)</f>
        <v>714000</v>
      </c>
      <c r="N57" s="36">
        <f t="shared" si="4"/>
        <v>0</v>
      </c>
      <c r="O57" s="22" cm="1">
        <f t="array" ref="O57">MAX(IF((Tabla_Pagos[NRO DOC]=B57)*(Tabla_Pagos[IMPORTE ABONADO]&gt;0),Tabla_Pagos[FECHA DE ABONO]))</f>
        <v>45716</v>
      </c>
    </row>
    <row r="58" spans="2:15" ht="21" customHeight="1" x14ac:dyDescent="0.25">
      <c r="B58" s="39">
        <v>930</v>
      </c>
      <c r="C58" s="20">
        <v>45691</v>
      </c>
      <c r="D58" s="40" t="s">
        <v>239</v>
      </c>
      <c r="E58" s="37" t="str">
        <f>IFERROR(VLOOKUP(D58,CLIENTES!$B$12:$G$2602,2,FALSE),"")</f>
        <v>INVERSIONES O4 SPA</v>
      </c>
      <c r="F58" s="31">
        <v>160650</v>
      </c>
      <c r="G58" s="41" t="s">
        <v>101</v>
      </c>
      <c r="H58" s="26">
        <v>30</v>
      </c>
      <c r="I58" s="21" t="str">
        <f t="shared" si="0"/>
        <v>Crédito</v>
      </c>
      <c r="J58" s="22">
        <f t="shared" si="1"/>
        <v>45721</v>
      </c>
      <c r="K58" s="27">
        <f t="shared" ca="1" si="2"/>
        <v>0</v>
      </c>
      <c r="L58" s="23" t="str">
        <f t="shared" si="3"/>
        <v>Pagado</v>
      </c>
      <c r="M58" s="36">
        <f>SUMIFS(Tabla_Pagos[IMPORTE ABONADO],Tabla_Pagos[FECHA DE ABONO],"&gt;0",Tabla_Pagos[NRO DOC],B58)</f>
        <v>160650</v>
      </c>
      <c r="N58" s="36">
        <f t="shared" si="4"/>
        <v>0</v>
      </c>
      <c r="O58" s="22" cm="1">
        <f t="array" ref="O58">MAX(IF((Tabla_Pagos[NRO DOC]=B58)*(Tabla_Pagos[IMPORTE ABONADO]&gt;0),Tabla_Pagos[FECHA DE ABONO]))</f>
        <v>45691</v>
      </c>
    </row>
    <row r="59" spans="2:15" ht="21" customHeight="1" x14ac:dyDescent="0.25">
      <c r="B59" s="39">
        <v>931</v>
      </c>
      <c r="C59" s="20">
        <v>45691</v>
      </c>
      <c r="D59" s="40" t="s">
        <v>239</v>
      </c>
      <c r="E59" s="37" t="str">
        <f>IFERROR(VLOOKUP(D59,CLIENTES!$B$12:$G$2602,2,FALSE),"")</f>
        <v>INVERSIONES O4 SPA</v>
      </c>
      <c r="F59" s="31">
        <v>160650</v>
      </c>
      <c r="G59" s="41" t="s">
        <v>101</v>
      </c>
      <c r="H59" s="26">
        <v>30</v>
      </c>
      <c r="I59" s="21" t="str">
        <f t="shared" si="0"/>
        <v>Crédito</v>
      </c>
      <c r="J59" s="22">
        <f t="shared" si="1"/>
        <v>45721</v>
      </c>
      <c r="K59" s="27">
        <f t="shared" ca="1" si="2"/>
        <v>0</v>
      </c>
      <c r="L59" s="23" t="str">
        <f t="shared" si="3"/>
        <v>Pagado</v>
      </c>
      <c r="M59" s="36">
        <f>SUMIFS(Tabla_Pagos[IMPORTE ABONADO],Tabla_Pagos[FECHA DE ABONO],"&gt;0",Tabla_Pagos[NRO DOC],B59)</f>
        <v>160650</v>
      </c>
      <c r="N59" s="36">
        <f t="shared" si="4"/>
        <v>0</v>
      </c>
      <c r="O59" s="22" cm="1">
        <f t="array" ref="O59">MAX(IF((Tabla_Pagos[NRO DOC]=B59)*(Tabla_Pagos[IMPORTE ABONADO]&gt;0),Tabla_Pagos[FECHA DE ABONO]))</f>
        <v>45691</v>
      </c>
    </row>
    <row r="60" spans="2:15" ht="21" customHeight="1" x14ac:dyDescent="0.25">
      <c r="B60" s="39">
        <v>932</v>
      </c>
      <c r="C60" s="20">
        <v>45693</v>
      </c>
      <c r="D60" s="40" t="s">
        <v>240</v>
      </c>
      <c r="E60" s="37" t="str">
        <f>IFERROR(VLOOKUP(D60,CLIENTES!$B$12:$G$2602,2,FALSE),"")</f>
        <v>SOCIEDAD DE INVERSIONES SAN ALONSO SPA</v>
      </c>
      <c r="F60" s="31">
        <v>350000</v>
      </c>
      <c r="G60" s="41" t="s">
        <v>101</v>
      </c>
      <c r="H60" s="26">
        <v>0</v>
      </c>
      <c r="I60" s="21" t="str">
        <f t="shared" si="0"/>
        <v>Contado</v>
      </c>
      <c r="J60" s="22">
        <f t="shared" si="1"/>
        <v>45693</v>
      </c>
      <c r="K60" s="27">
        <f t="shared" ca="1" si="2"/>
        <v>0</v>
      </c>
      <c r="L60" s="23" t="str">
        <f t="shared" si="3"/>
        <v>Pagado</v>
      </c>
      <c r="M60" s="36">
        <f>SUMIFS(Tabla_Pagos[IMPORTE ABONADO],Tabla_Pagos[FECHA DE ABONO],"&gt;0",Tabla_Pagos[NRO DOC],B60)</f>
        <v>350000</v>
      </c>
      <c r="N60" s="36">
        <f t="shared" si="4"/>
        <v>0</v>
      </c>
      <c r="O60" s="22" cm="1">
        <f t="array" ref="O60">MAX(IF((Tabla_Pagos[NRO DOC]=B60)*(Tabla_Pagos[IMPORTE ABONADO]&gt;0),Tabla_Pagos[FECHA DE ABONO]))</f>
        <v>45693</v>
      </c>
    </row>
    <row r="61" spans="2:15" ht="21" customHeight="1" x14ac:dyDescent="0.25">
      <c r="B61" s="39">
        <v>933</v>
      </c>
      <c r="C61" s="20">
        <v>45698</v>
      </c>
      <c r="D61" s="40" t="s">
        <v>241</v>
      </c>
      <c r="E61" s="37" t="str">
        <f>IFERROR(VLOOKUP(D61,CLIENTES!$B$12:$G$2602,2,FALSE),"")</f>
        <v>GALEB  GALEB EVENTOS LIMITADA</v>
      </c>
      <c r="F61" s="31">
        <v>180001</v>
      </c>
      <c r="G61" s="41" t="s">
        <v>101</v>
      </c>
      <c r="H61" s="26">
        <v>0</v>
      </c>
      <c r="I61" s="21" t="str">
        <f t="shared" si="0"/>
        <v>Contado</v>
      </c>
      <c r="J61" s="22">
        <f t="shared" si="1"/>
        <v>45698</v>
      </c>
      <c r="K61" s="27">
        <f t="shared" ca="1" si="2"/>
        <v>0</v>
      </c>
      <c r="L61" s="23" t="str">
        <f t="shared" si="3"/>
        <v>Pagado</v>
      </c>
      <c r="M61" s="36">
        <f>SUMIFS(Tabla_Pagos[IMPORTE ABONADO],Tabla_Pagos[FECHA DE ABONO],"&gt;0",Tabla_Pagos[NRO DOC],B61)</f>
        <v>180001</v>
      </c>
      <c r="N61" s="36">
        <f t="shared" si="4"/>
        <v>0</v>
      </c>
      <c r="O61" s="22" cm="1">
        <f t="array" ref="O61">MAX(IF((Tabla_Pagos[NRO DOC]=B61)*(Tabla_Pagos[IMPORTE ABONADO]&gt;0),Tabla_Pagos[FECHA DE ABONO]))</f>
        <v>45698</v>
      </c>
    </row>
    <row r="62" spans="2:15" ht="21" customHeight="1" x14ac:dyDescent="0.25">
      <c r="B62" s="39">
        <v>934</v>
      </c>
      <c r="C62" s="20">
        <v>45698</v>
      </c>
      <c r="D62" s="40" t="s">
        <v>242</v>
      </c>
      <c r="E62" s="37" t="str">
        <f>IFERROR(VLOOKUP(D62,CLIENTES!$B$12:$G$2602,2,FALSE),"")</f>
        <v>TRANSPORTES TOLECAR SPA</v>
      </c>
      <c r="F62" s="31">
        <v>38080</v>
      </c>
      <c r="G62" s="41" t="s">
        <v>101</v>
      </c>
      <c r="H62" s="26">
        <v>0</v>
      </c>
      <c r="I62" s="21" t="str">
        <f t="shared" si="0"/>
        <v>Contado</v>
      </c>
      <c r="J62" s="22">
        <f t="shared" si="1"/>
        <v>45698</v>
      </c>
      <c r="K62" s="27">
        <f t="shared" ca="1" si="2"/>
        <v>0</v>
      </c>
      <c r="L62" s="23" t="str">
        <f t="shared" si="3"/>
        <v>Pagado</v>
      </c>
      <c r="M62" s="36">
        <f>SUMIFS(Tabla_Pagos[IMPORTE ABONADO],Tabla_Pagos[FECHA DE ABONO],"&gt;0",Tabla_Pagos[NRO DOC],B62)</f>
        <v>38080</v>
      </c>
      <c r="N62" s="36">
        <f t="shared" si="4"/>
        <v>0</v>
      </c>
      <c r="O62" s="22" cm="1">
        <f t="array" ref="O62">MAX(IF((Tabla_Pagos[NRO DOC]=B62)*(Tabla_Pagos[IMPORTE ABONADO]&gt;0),Tabla_Pagos[FECHA DE ABONO]))</f>
        <v>45698</v>
      </c>
    </row>
    <row r="63" spans="2:15" ht="21" customHeight="1" x14ac:dyDescent="0.25">
      <c r="B63" s="39">
        <v>935</v>
      </c>
      <c r="C63" s="20">
        <v>45700</v>
      </c>
      <c r="D63" s="40" t="s">
        <v>243</v>
      </c>
      <c r="E63" s="37" t="str">
        <f>IFERROR(VLOOKUP(D63,CLIENTES!$B$12:$G$2602,2,FALSE),"")</f>
        <v>TRANSPORTES C Y C LIMITADA</v>
      </c>
      <c r="F63" s="31">
        <v>23800</v>
      </c>
      <c r="G63" s="41" t="s">
        <v>101</v>
      </c>
      <c r="H63" s="26">
        <v>0</v>
      </c>
      <c r="I63" s="21" t="str">
        <f t="shared" si="0"/>
        <v>Contado</v>
      </c>
      <c r="J63" s="22">
        <f t="shared" si="1"/>
        <v>45700</v>
      </c>
      <c r="K63" s="27">
        <f t="shared" ca="1" si="2"/>
        <v>0</v>
      </c>
      <c r="L63" s="23" t="str">
        <f t="shared" si="3"/>
        <v>Pagado</v>
      </c>
      <c r="M63" s="36">
        <f>SUMIFS(Tabla_Pagos[IMPORTE ABONADO],Tabla_Pagos[FECHA DE ABONO],"&gt;0",Tabla_Pagos[NRO DOC],B63)</f>
        <v>23800</v>
      </c>
      <c r="N63" s="36">
        <f t="shared" si="4"/>
        <v>0</v>
      </c>
      <c r="O63" s="22" cm="1">
        <f t="array" ref="O63">MAX(IF((Tabla_Pagos[NRO DOC]=B63)*(Tabla_Pagos[IMPORTE ABONADO]&gt;0),Tabla_Pagos[FECHA DE ABONO]))</f>
        <v>45700</v>
      </c>
    </row>
    <row r="64" spans="2:15" ht="21" customHeight="1" x14ac:dyDescent="0.25">
      <c r="B64" s="39">
        <v>936</v>
      </c>
      <c r="C64" s="20">
        <v>45700</v>
      </c>
      <c r="D64" s="40" t="s">
        <v>170</v>
      </c>
      <c r="E64" s="37" t="str">
        <f>IFERROR(VLOOKUP(D64,CLIENTES!$B$12:$G$2602,2,FALSE),"")</f>
        <v>RAMON ANGEL RIQUELME OLIVARES</v>
      </c>
      <c r="F64" s="31">
        <v>278460</v>
      </c>
      <c r="G64" s="41" t="s">
        <v>101</v>
      </c>
      <c r="H64" s="26">
        <v>0</v>
      </c>
      <c r="I64" s="21" t="str">
        <f t="shared" si="0"/>
        <v>Contado</v>
      </c>
      <c r="J64" s="22">
        <f t="shared" si="1"/>
        <v>45700</v>
      </c>
      <c r="K64" s="27">
        <f t="shared" ca="1" si="2"/>
        <v>0</v>
      </c>
      <c r="L64" s="23" t="str">
        <f t="shared" si="3"/>
        <v>Pagado</v>
      </c>
      <c r="M64" s="36">
        <f>SUMIFS(Tabla_Pagos[IMPORTE ABONADO],Tabla_Pagos[FECHA DE ABONO],"&gt;0",Tabla_Pagos[NRO DOC],B64)</f>
        <v>278460</v>
      </c>
      <c r="N64" s="36">
        <f t="shared" si="4"/>
        <v>0</v>
      </c>
      <c r="O64" s="22" cm="1">
        <f t="array" ref="O64">MAX(IF((Tabla_Pagos[NRO DOC]=B64)*(Tabla_Pagos[IMPORTE ABONADO]&gt;0),Tabla_Pagos[FECHA DE ABONO]))</f>
        <v>45700</v>
      </c>
    </row>
    <row r="65" spans="2:15" ht="21" customHeight="1" x14ac:dyDescent="0.25">
      <c r="B65" s="39">
        <v>937</v>
      </c>
      <c r="C65" s="20">
        <v>45700</v>
      </c>
      <c r="D65" s="40" t="s">
        <v>168</v>
      </c>
      <c r="E65" s="37" t="str">
        <f>IFERROR(VLOOKUP(D65,CLIENTES!$B$12:$G$2602,2,FALSE),"")</f>
        <v>CENTRO DE RECICLAJE DEL NORTE LIMITADA</v>
      </c>
      <c r="F65" s="31">
        <v>47600</v>
      </c>
      <c r="G65" s="41" t="s">
        <v>101</v>
      </c>
      <c r="H65" s="26">
        <v>0</v>
      </c>
      <c r="I65" s="21" t="str">
        <f t="shared" si="0"/>
        <v>Contado</v>
      </c>
      <c r="J65" s="22">
        <f t="shared" si="1"/>
        <v>45700</v>
      </c>
      <c r="K65" s="27">
        <f t="shared" ca="1" si="2"/>
        <v>0</v>
      </c>
      <c r="L65" s="23" t="str">
        <f t="shared" si="3"/>
        <v>Pagado</v>
      </c>
      <c r="M65" s="36">
        <f>SUMIFS(Tabla_Pagos[IMPORTE ABONADO],Tabla_Pagos[FECHA DE ABONO],"&gt;0",Tabla_Pagos[NRO DOC],B65)</f>
        <v>47600</v>
      </c>
      <c r="N65" s="36">
        <f t="shared" si="4"/>
        <v>0</v>
      </c>
      <c r="O65" s="22" cm="1">
        <f t="array" ref="O65">MAX(IF((Tabla_Pagos[NRO DOC]=B65)*(Tabla_Pagos[IMPORTE ABONADO]&gt;0),Tabla_Pagos[FECHA DE ABONO]))</f>
        <v>45700</v>
      </c>
    </row>
    <row r="66" spans="2:15" ht="21" customHeight="1" x14ac:dyDescent="0.25">
      <c r="B66" s="39">
        <v>938</v>
      </c>
      <c r="C66" s="20">
        <v>45700</v>
      </c>
      <c r="D66" s="40" t="s">
        <v>194</v>
      </c>
      <c r="E66" s="37" t="str">
        <f>IFERROR(VLOOKUP(D66,CLIENTES!$B$12:$G$2602,2,FALSE),"")</f>
        <v>PRESTACION DE SERVICIOS MEDICOS JOSE LUIS GUERRA DIAZ E.I.R.L.</v>
      </c>
      <c r="F66" s="31">
        <v>142800</v>
      </c>
      <c r="G66" s="41" t="s">
        <v>101</v>
      </c>
      <c r="H66" s="26">
        <v>0</v>
      </c>
      <c r="I66" s="21" t="str">
        <f t="shared" si="0"/>
        <v>Contado</v>
      </c>
      <c r="J66" s="22">
        <f t="shared" si="1"/>
        <v>45700</v>
      </c>
      <c r="K66" s="27">
        <f t="shared" ca="1" si="2"/>
        <v>0</v>
      </c>
      <c r="L66" s="23" t="str">
        <f t="shared" si="3"/>
        <v>Pagado</v>
      </c>
      <c r="M66" s="36">
        <f>SUMIFS(Tabla_Pagos[IMPORTE ABONADO],Tabla_Pagos[FECHA DE ABONO],"&gt;0",Tabla_Pagos[NRO DOC],B66)</f>
        <v>142800</v>
      </c>
      <c r="N66" s="36">
        <f t="shared" si="4"/>
        <v>0</v>
      </c>
      <c r="O66" s="22" cm="1">
        <f t="array" ref="O66">MAX(IF((Tabla_Pagos[NRO DOC]=B66)*(Tabla_Pagos[IMPORTE ABONADO]&gt;0),Tabla_Pagos[FECHA DE ABONO]))</f>
        <v>45700</v>
      </c>
    </row>
    <row r="67" spans="2:15" ht="21" customHeight="1" x14ac:dyDescent="0.25">
      <c r="B67" s="39">
        <v>939</v>
      </c>
      <c r="C67" s="20">
        <v>45702</v>
      </c>
      <c r="D67" s="40" t="s">
        <v>244</v>
      </c>
      <c r="E67" s="37" t="str">
        <f>IFERROR(VLOOKUP(D67,CLIENTES!$B$12:$G$2602,2,FALSE),"")</f>
        <v>INVERSIONES FPG SPA</v>
      </c>
      <c r="F67" s="31">
        <v>435540</v>
      </c>
      <c r="G67" s="41" t="s">
        <v>101</v>
      </c>
      <c r="H67" s="26">
        <v>0</v>
      </c>
      <c r="I67" s="21" t="str">
        <f t="shared" si="0"/>
        <v>Contado</v>
      </c>
      <c r="J67" s="22">
        <f t="shared" si="1"/>
        <v>45702</v>
      </c>
      <c r="K67" s="27">
        <f t="shared" ca="1" si="2"/>
        <v>0</v>
      </c>
      <c r="L67" s="23" t="str">
        <f t="shared" si="3"/>
        <v>Pagado</v>
      </c>
      <c r="M67" s="36">
        <f>SUMIFS(Tabla_Pagos[IMPORTE ABONADO],Tabla_Pagos[FECHA DE ABONO],"&gt;0",Tabla_Pagos[NRO DOC],B67)</f>
        <v>435540</v>
      </c>
      <c r="N67" s="36">
        <f t="shared" si="4"/>
        <v>0</v>
      </c>
      <c r="O67" s="22" cm="1">
        <f t="array" ref="O67">MAX(IF((Tabla_Pagos[NRO DOC]=B67)*(Tabla_Pagos[IMPORTE ABONADO]&gt;0),Tabla_Pagos[FECHA DE ABONO]))</f>
        <v>45702</v>
      </c>
    </row>
    <row r="68" spans="2:15" ht="21" customHeight="1" x14ac:dyDescent="0.25">
      <c r="B68" s="39">
        <v>940</v>
      </c>
      <c r="C68" s="20">
        <v>45702</v>
      </c>
      <c r="D68" s="40" t="s">
        <v>44</v>
      </c>
      <c r="E68" s="37" t="str">
        <f>IFERROR(VLOOKUP(D68,CLIENTES!$B$12:$G$2602,2,FALSE),"")</f>
        <v>SKC RED SPA</v>
      </c>
      <c r="F68" s="31">
        <v>416500</v>
      </c>
      <c r="G68" s="41" t="s">
        <v>101</v>
      </c>
      <c r="H68" s="26">
        <v>30</v>
      </c>
      <c r="I68" s="21" t="str">
        <f t="shared" si="0"/>
        <v>Crédito</v>
      </c>
      <c r="J68" s="22">
        <f t="shared" si="1"/>
        <v>45732</v>
      </c>
      <c r="K68" s="27">
        <f t="shared" ca="1" si="2"/>
        <v>0</v>
      </c>
      <c r="L68" s="23" t="str">
        <f t="shared" si="3"/>
        <v>Pagado</v>
      </c>
      <c r="M68" s="36">
        <f>SUMIFS(Tabla_Pagos[IMPORTE ABONADO],Tabla_Pagos[FECHA DE ABONO],"&gt;0",Tabla_Pagos[NRO DOC],B68)</f>
        <v>416500</v>
      </c>
      <c r="N68" s="36">
        <f t="shared" si="4"/>
        <v>0</v>
      </c>
      <c r="O68" s="22" cm="1">
        <f t="array" ref="O68">MAX(IF((Tabla_Pagos[NRO DOC]=B68)*(Tabla_Pagos[IMPORTE ABONADO]&gt;0),Tabla_Pagos[FECHA DE ABONO]))</f>
        <v>45730</v>
      </c>
    </row>
    <row r="69" spans="2:15" ht="21" customHeight="1" x14ac:dyDescent="0.25">
      <c r="B69" s="39">
        <v>941</v>
      </c>
      <c r="C69" s="20">
        <v>45705</v>
      </c>
      <c r="D69" s="40" t="s">
        <v>170</v>
      </c>
      <c r="E69" s="37" t="str">
        <f>IFERROR(VLOOKUP(D69,CLIENTES!$B$12:$G$2602,2,FALSE),"")</f>
        <v>RAMON ANGEL RIQUELME OLIVARES</v>
      </c>
      <c r="F69" s="31">
        <v>3998400</v>
      </c>
      <c r="G69" s="41" t="s">
        <v>101</v>
      </c>
      <c r="H69" s="26">
        <v>0</v>
      </c>
      <c r="I69" s="21" t="str">
        <f t="shared" si="0"/>
        <v>Contado</v>
      </c>
      <c r="J69" s="22">
        <f t="shared" si="1"/>
        <v>45705</v>
      </c>
      <c r="K69" s="27">
        <f t="shared" ca="1" si="2"/>
        <v>0</v>
      </c>
      <c r="L69" s="23" t="str">
        <f t="shared" si="3"/>
        <v>Pagado</v>
      </c>
      <c r="M69" s="36">
        <f>SUMIFS(Tabla_Pagos[IMPORTE ABONADO],Tabla_Pagos[FECHA DE ABONO],"&gt;0",Tabla_Pagos[NRO DOC],B69)</f>
        <v>3998400</v>
      </c>
      <c r="N69" s="36">
        <f t="shared" si="4"/>
        <v>0</v>
      </c>
      <c r="O69" s="22" cm="1">
        <f t="array" ref="O69">MAX(IF((Tabla_Pagos[NRO DOC]=B69)*(Tabla_Pagos[IMPORTE ABONADO]&gt;0),Tabla_Pagos[FECHA DE ABONO]))</f>
        <v>45705</v>
      </c>
    </row>
    <row r="70" spans="2:15" ht="21" customHeight="1" x14ac:dyDescent="0.25">
      <c r="B70" s="39">
        <v>942</v>
      </c>
      <c r="C70" s="20">
        <v>45705</v>
      </c>
      <c r="D70" s="40" t="s">
        <v>170</v>
      </c>
      <c r="E70" s="37" t="str">
        <f>IFERROR(VLOOKUP(D70,CLIENTES!$B$12:$G$2602,2,FALSE),"")</f>
        <v>RAMON ANGEL RIQUELME OLIVARES</v>
      </c>
      <c r="F70" s="31">
        <v>261800</v>
      </c>
      <c r="G70" s="41" t="s">
        <v>101</v>
      </c>
      <c r="H70" s="26">
        <v>0</v>
      </c>
      <c r="I70" s="21" t="str">
        <f t="shared" si="0"/>
        <v>Contado</v>
      </c>
      <c r="J70" s="22">
        <f t="shared" si="1"/>
        <v>45705</v>
      </c>
      <c r="K70" s="27">
        <f t="shared" ca="1" si="2"/>
        <v>0</v>
      </c>
      <c r="L70" s="23" t="str">
        <f t="shared" si="3"/>
        <v>Pagado</v>
      </c>
      <c r="M70" s="36">
        <f>SUMIFS(Tabla_Pagos[IMPORTE ABONADO],Tabla_Pagos[FECHA DE ABONO],"&gt;0",Tabla_Pagos[NRO DOC],B70)</f>
        <v>261800</v>
      </c>
      <c r="N70" s="36">
        <f t="shared" si="4"/>
        <v>0</v>
      </c>
      <c r="O70" s="22" cm="1">
        <f t="array" ref="O70">MAX(IF((Tabla_Pagos[NRO DOC]=B70)*(Tabla_Pagos[IMPORTE ABONADO]&gt;0),Tabla_Pagos[FECHA DE ABONO]))</f>
        <v>45705</v>
      </c>
    </row>
    <row r="71" spans="2:15" ht="21" customHeight="1" x14ac:dyDescent="0.25">
      <c r="B71" s="39">
        <v>943</v>
      </c>
      <c r="C71" s="20">
        <v>45706</v>
      </c>
      <c r="D71" s="40" t="s">
        <v>54</v>
      </c>
      <c r="E71" s="37" t="str">
        <f>IFERROR(VLOOKUP(D71,CLIENTES!$B$12:$G$2602,2,FALSE),"")</f>
        <v>AUCAN LOGISTIC SPA</v>
      </c>
      <c r="F71" s="31">
        <v>434350</v>
      </c>
      <c r="G71" s="41" t="s">
        <v>101</v>
      </c>
      <c r="H71" s="26">
        <v>0</v>
      </c>
      <c r="I71" s="21" t="str">
        <f t="shared" si="0"/>
        <v>Contado</v>
      </c>
      <c r="J71" s="22">
        <f t="shared" si="1"/>
        <v>45706</v>
      </c>
      <c r="K71" s="27">
        <f t="shared" ca="1" si="2"/>
        <v>0</v>
      </c>
      <c r="L71" s="23" t="str">
        <f t="shared" si="3"/>
        <v>Pagado</v>
      </c>
      <c r="M71" s="36">
        <f>SUMIFS(Tabla_Pagos[IMPORTE ABONADO],Tabla_Pagos[FECHA DE ABONO],"&gt;0",Tabla_Pagos[NRO DOC],B71)</f>
        <v>434350</v>
      </c>
      <c r="N71" s="36">
        <f t="shared" si="4"/>
        <v>0</v>
      </c>
      <c r="O71" s="22" cm="1">
        <f t="array" ref="O71">MAX(IF((Tabla_Pagos[NRO DOC]=B71)*(Tabla_Pagos[IMPORTE ABONADO]&gt;0),Tabla_Pagos[FECHA DE ABONO]))</f>
        <v>45706</v>
      </c>
    </row>
    <row r="72" spans="2:15" ht="21" customHeight="1" x14ac:dyDescent="0.25">
      <c r="B72" s="39">
        <v>944</v>
      </c>
      <c r="C72" s="20">
        <v>45706</v>
      </c>
      <c r="D72" s="40" t="s">
        <v>55</v>
      </c>
      <c r="E72" s="37" t="str">
        <f>IFERROR(VLOOKUP(D72,CLIENTES!$B$12:$G$2602,2,FALSE),"")</f>
        <v>MINERA NITTETSU CHILE LTDA</v>
      </c>
      <c r="F72" s="31">
        <v>119000</v>
      </c>
      <c r="G72" s="41" t="s">
        <v>101</v>
      </c>
      <c r="H72" s="26">
        <v>0</v>
      </c>
      <c r="I72" s="21" t="str">
        <f t="shared" si="0"/>
        <v>Contado</v>
      </c>
      <c r="J72" s="22">
        <f t="shared" si="1"/>
        <v>45706</v>
      </c>
      <c r="K72" s="27">
        <f t="shared" ca="1" si="2"/>
        <v>0</v>
      </c>
      <c r="L72" s="23" t="str">
        <f t="shared" si="3"/>
        <v>Pagado</v>
      </c>
      <c r="M72" s="36">
        <f>SUMIFS(Tabla_Pagos[IMPORTE ABONADO],Tabla_Pagos[FECHA DE ABONO],"&gt;0",Tabla_Pagos[NRO DOC],B72)</f>
        <v>119000</v>
      </c>
      <c r="N72" s="36">
        <f t="shared" si="4"/>
        <v>0</v>
      </c>
      <c r="O72" s="22" cm="1">
        <f t="array" ref="O72">MAX(IF((Tabla_Pagos[NRO DOC]=B72)*(Tabla_Pagos[IMPORTE ABONADO]&gt;0),Tabla_Pagos[FECHA DE ABONO]))</f>
        <v>45706</v>
      </c>
    </row>
    <row r="73" spans="2:15" ht="21" customHeight="1" x14ac:dyDescent="0.25">
      <c r="B73" s="39">
        <v>945</v>
      </c>
      <c r="C73" s="20">
        <v>45706</v>
      </c>
      <c r="D73" s="40" t="s">
        <v>105</v>
      </c>
      <c r="E73" s="37" t="str">
        <f>IFERROR(VLOOKUP(D73,CLIENTES!$B$12:$G$2602,2,FALSE),"")</f>
        <v>INGENIERIA C Y G LIMITADA</v>
      </c>
      <c r="F73" s="31">
        <v>183260</v>
      </c>
      <c r="G73" s="41" t="s">
        <v>101</v>
      </c>
      <c r="H73" s="26">
        <v>30</v>
      </c>
      <c r="I73" s="21" t="str">
        <f t="shared" si="0"/>
        <v>Crédito</v>
      </c>
      <c r="J73" s="22">
        <f t="shared" si="1"/>
        <v>45736</v>
      </c>
      <c r="K73" s="27">
        <f t="shared" ca="1" si="2"/>
        <v>0</v>
      </c>
      <c r="L73" s="23" t="str">
        <f t="shared" si="3"/>
        <v>Pagado</v>
      </c>
      <c r="M73" s="36">
        <f>SUMIFS(Tabla_Pagos[IMPORTE ABONADO],Tabla_Pagos[FECHA DE ABONO],"&gt;0",Tabla_Pagos[NRO DOC],B73)</f>
        <v>183260</v>
      </c>
      <c r="N73" s="36">
        <f t="shared" si="4"/>
        <v>0</v>
      </c>
      <c r="O73" s="22" cm="1">
        <f t="array" ref="O73">MAX(IF((Tabla_Pagos[NRO DOC]=B73)*(Tabla_Pagos[IMPORTE ABONADO]&gt;0),Tabla_Pagos[FECHA DE ABONO]))</f>
        <v>45707</v>
      </c>
    </row>
    <row r="74" spans="2:15" ht="21" customHeight="1" x14ac:dyDescent="0.25">
      <c r="B74" s="39">
        <v>946</v>
      </c>
      <c r="C74" s="20">
        <v>45707</v>
      </c>
      <c r="D74" s="40" t="s">
        <v>245</v>
      </c>
      <c r="E74" s="37" t="str">
        <f>IFERROR(VLOOKUP(D74,CLIENTES!$B$12:$G$2602,2,FALSE),"")</f>
        <v>SERVICIOS MONTENEGRO SPA</v>
      </c>
      <c r="F74" s="31">
        <v>35700</v>
      </c>
      <c r="G74" s="41" t="s">
        <v>101</v>
      </c>
      <c r="H74" s="26">
        <v>0</v>
      </c>
      <c r="I74" s="21" t="str">
        <f t="shared" si="0"/>
        <v>Contado</v>
      </c>
      <c r="J74" s="22">
        <f t="shared" si="1"/>
        <v>45707</v>
      </c>
      <c r="K74" s="27">
        <f t="shared" ca="1" si="2"/>
        <v>0</v>
      </c>
      <c r="L74" s="23" t="str">
        <f t="shared" si="3"/>
        <v>Pagado</v>
      </c>
      <c r="M74" s="36">
        <f>SUMIFS(Tabla_Pagos[IMPORTE ABONADO],Tabla_Pagos[FECHA DE ABONO],"&gt;0",Tabla_Pagos[NRO DOC],B74)</f>
        <v>35700</v>
      </c>
      <c r="N74" s="36">
        <f t="shared" si="4"/>
        <v>0</v>
      </c>
      <c r="O74" s="22" cm="1">
        <f t="array" ref="O74">MAX(IF((Tabla_Pagos[NRO DOC]=B74)*(Tabla_Pagos[IMPORTE ABONADO]&gt;0),Tabla_Pagos[FECHA DE ABONO]))</f>
        <v>45707</v>
      </c>
    </row>
    <row r="75" spans="2:15" ht="21" customHeight="1" x14ac:dyDescent="0.25">
      <c r="B75" s="39">
        <v>947</v>
      </c>
      <c r="C75" s="20">
        <v>45708</v>
      </c>
      <c r="D75" s="40" t="s">
        <v>55</v>
      </c>
      <c r="E75" s="37" t="str">
        <f>IFERROR(VLOOKUP(D75,CLIENTES!$B$12:$G$2602,2,FALSE),"")</f>
        <v>MINERA NITTETSU CHILE LTDA</v>
      </c>
      <c r="F75" s="31">
        <v>107100</v>
      </c>
      <c r="G75" s="41" t="s">
        <v>101</v>
      </c>
      <c r="H75" s="26">
        <v>0</v>
      </c>
      <c r="I75" s="21" t="str">
        <f t="shared" si="0"/>
        <v>Contado</v>
      </c>
      <c r="J75" s="22">
        <f t="shared" si="1"/>
        <v>45708</v>
      </c>
      <c r="K75" s="27">
        <f t="shared" ca="1" si="2"/>
        <v>0</v>
      </c>
      <c r="L75" s="23" t="str">
        <f t="shared" si="3"/>
        <v>Pagado</v>
      </c>
      <c r="M75" s="36">
        <f>SUMIFS(Tabla_Pagos[IMPORTE ABONADO],Tabla_Pagos[FECHA DE ABONO],"&gt;0",Tabla_Pagos[NRO DOC],B75)</f>
        <v>107100</v>
      </c>
      <c r="N75" s="36">
        <f t="shared" si="4"/>
        <v>0</v>
      </c>
      <c r="O75" s="22" cm="1">
        <f t="array" ref="O75">MAX(IF((Tabla_Pagos[NRO DOC]=B75)*(Tabla_Pagos[IMPORTE ABONADO]&gt;0),Tabla_Pagos[FECHA DE ABONO]))</f>
        <v>45708</v>
      </c>
    </row>
    <row r="76" spans="2:15" ht="21" customHeight="1" x14ac:dyDescent="0.25">
      <c r="B76" s="39">
        <v>948</v>
      </c>
      <c r="C76" s="20">
        <v>45708</v>
      </c>
      <c r="D76" s="40" t="s">
        <v>54</v>
      </c>
      <c r="E76" s="37" t="str">
        <f>IFERROR(VLOOKUP(D76,CLIENTES!$B$12:$G$2602,2,FALSE),"")</f>
        <v>AUCAN LOGISTIC SPA</v>
      </c>
      <c r="F76" s="31">
        <v>428400</v>
      </c>
      <c r="G76" s="41" t="s">
        <v>101</v>
      </c>
      <c r="H76" s="26">
        <v>0</v>
      </c>
      <c r="I76" s="21" t="str">
        <f t="shared" ref="I76:I139" si="5">IF(H76="","",IF(H76=0,"Contado","Crédito"))</f>
        <v>Contado</v>
      </c>
      <c r="J76" s="22">
        <f t="shared" ref="J76:J139" si="6">IF(I76="","",C76+H76)</f>
        <v>45708</v>
      </c>
      <c r="K76" s="27">
        <f t="shared" ref="K76:K139" ca="1" si="7">IFERROR(IF(B76="","",IF(N76=0,0,J76-TODAY())),"")</f>
        <v>0</v>
      </c>
      <c r="L76" s="23" t="str">
        <f t="shared" ref="L76:L139" si="8">IF(I76="","",IF(N76=0,"Pagado",IF(K76&lt;0,"Vencido","No vencido")))</f>
        <v>Pagado</v>
      </c>
      <c r="M76" s="36">
        <f>SUMIFS(Tabla_Pagos[IMPORTE ABONADO],Tabla_Pagos[FECHA DE ABONO],"&gt;0",Tabla_Pagos[NRO DOC],B76)</f>
        <v>428400</v>
      </c>
      <c r="N76" s="36">
        <f t="shared" ref="N76:N139" si="9">F76-M76</f>
        <v>0</v>
      </c>
      <c r="O76" s="22" cm="1">
        <f t="array" ref="O76">MAX(IF((Tabla_Pagos[NRO DOC]=B76)*(Tabla_Pagos[IMPORTE ABONADO]&gt;0),Tabla_Pagos[FECHA DE ABONO]))</f>
        <v>45708</v>
      </c>
    </row>
    <row r="77" spans="2:15" ht="21" customHeight="1" x14ac:dyDescent="0.25">
      <c r="B77" s="39">
        <v>949</v>
      </c>
      <c r="C77" s="20">
        <v>45709</v>
      </c>
      <c r="D77" s="40" t="s">
        <v>246</v>
      </c>
      <c r="E77" s="37" t="str">
        <f>IFERROR(VLOOKUP(D77,CLIENTES!$B$12:$G$2602,2,FALSE),"")</f>
        <v>MADOM SERVICIO AUTOMOTRIZ SPA</v>
      </c>
      <c r="F77" s="31">
        <v>416500</v>
      </c>
      <c r="G77" s="41" t="s">
        <v>101</v>
      </c>
      <c r="H77" s="26">
        <v>0</v>
      </c>
      <c r="I77" s="21" t="str">
        <f t="shared" si="5"/>
        <v>Contado</v>
      </c>
      <c r="J77" s="22">
        <f t="shared" si="6"/>
        <v>45709</v>
      </c>
      <c r="K77" s="27">
        <f t="shared" ca="1" si="7"/>
        <v>0</v>
      </c>
      <c r="L77" s="23" t="str">
        <f t="shared" si="8"/>
        <v>Pagado</v>
      </c>
      <c r="M77" s="36">
        <f>SUMIFS(Tabla_Pagos[IMPORTE ABONADO],Tabla_Pagos[FECHA DE ABONO],"&gt;0",Tabla_Pagos[NRO DOC],B77)</f>
        <v>416500</v>
      </c>
      <c r="N77" s="36">
        <f t="shared" si="9"/>
        <v>0</v>
      </c>
      <c r="O77" s="22" cm="1">
        <f t="array" ref="O77">MAX(IF((Tabla_Pagos[NRO DOC]=B77)*(Tabla_Pagos[IMPORTE ABONADO]&gt;0),Tabla_Pagos[FECHA DE ABONO]))</f>
        <v>45709</v>
      </c>
    </row>
    <row r="78" spans="2:15" ht="21" customHeight="1" x14ac:dyDescent="0.25">
      <c r="B78" s="39">
        <v>950</v>
      </c>
      <c r="C78" s="20">
        <v>45713</v>
      </c>
      <c r="D78" s="40" t="s">
        <v>105</v>
      </c>
      <c r="E78" s="37" t="str">
        <f>IFERROR(VLOOKUP(D78,CLIENTES!$B$12:$G$2602,2,FALSE),"")</f>
        <v>INGENIERIA C Y G LIMITADA</v>
      </c>
      <c r="F78" s="31">
        <v>203490</v>
      </c>
      <c r="G78" s="41" t="s">
        <v>101</v>
      </c>
      <c r="H78" s="26">
        <v>30</v>
      </c>
      <c r="I78" s="21" t="str">
        <f t="shared" si="5"/>
        <v>Crédito</v>
      </c>
      <c r="J78" s="22">
        <f t="shared" si="6"/>
        <v>45743</v>
      </c>
      <c r="K78" s="27">
        <f t="shared" ca="1" si="7"/>
        <v>0</v>
      </c>
      <c r="L78" s="23" t="str">
        <f t="shared" si="8"/>
        <v>Pagado</v>
      </c>
      <c r="M78" s="36">
        <f>SUMIFS(Tabla_Pagos[IMPORTE ABONADO],Tabla_Pagos[FECHA DE ABONO],"&gt;0",Tabla_Pagos[NRO DOC],B78)</f>
        <v>203490</v>
      </c>
      <c r="N78" s="36">
        <f t="shared" si="9"/>
        <v>0</v>
      </c>
      <c r="O78" s="22" cm="1">
        <f t="array" ref="O78">MAX(IF((Tabla_Pagos[NRO DOC]=B78)*(Tabla_Pagos[IMPORTE ABONADO]&gt;0),Tabla_Pagos[FECHA DE ABONO]))</f>
        <v>45714</v>
      </c>
    </row>
    <row r="79" spans="2:15" ht="21" customHeight="1" x14ac:dyDescent="0.25">
      <c r="B79" s="39">
        <v>951</v>
      </c>
      <c r="C79" s="20">
        <v>45714</v>
      </c>
      <c r="D79" s="40" t="s">
        <v>247</v>
      </c>
      <c r="E79" s="37" t="str">
        <f>IFERROR(VLOOKUP(D79,CLIENTES!$B$12:$G$2602,2,FALSE),"")</f>
        <v>YACAR SPA</v>
      </c>
      <c r="F79" s="31">
        <v>226100</v>
      </c>
      <c r="G79" s="41" t="s">
        <v>101</v>
      </c>
      <c r="H79" s="26">
        <v>0</v>
      </c>
      <c r="I79" s="21" t="str">
        <f t="shared" si="5"/>
        <v>Contado</v>
      </c>
      <c r="J79" s="22">
        <f t="shared" si="6"/>
        <v>45714</v>
      </c>
      <c r="K79" s="27">
        <f t="shared" ca="1" si="7"/>
        <v>0</v>
      </c>
      <c r="L79" s="23" t="str">
        <f t="shared" si="8"/>
        <v>Pagado</v>
      </c>
      <c r="M79" s="36">
        <f>SUMIFS(Tabla_Pagos[IMPORTE ABONADO],Tabla_Pagos[FECHA DE ABONO],"&gt;0",Tabla_Pagos[NRO DOC],B79)</f>
        <v>226100</v>
      </c>
      <c r="N79" s="36">
        <f t="shared" si="9"/>
        <v>0</v>
      </c>
      <c r="O79" s="22" cm="1">
        <f t="array" ref="O79">MAX(IF((Tabla_Pagos[NRO DOC]=B79)*(Tabla_Pagos[IMPORTE ABONADO]&gt;0),Tabla_Pagos[FECHA DE ABONO]))</f>
        <v>45714</v>
      </c>
    </row>
    <row r="80" spans="2:15" ht="21" customHeight="1" x14ac:dyDescent="0.25">
      <c r="B80" s="39">
        <v>952</v>
      </c>
      <c r="C80" s="20">
        <v>45715</v>
      </c>
      <c r="D80" s="40" t="s">
        <v>248</v>
      </c>
      <c r="E80" s="37" t="str">
        <f>IFERROR(VLOOKUP(D80,CLIENTES!$B$12:$G$2602,2,FALSE),"")</f>
        <v>ALTE INDUSTRIAL S.A.</v>
      </c>
      <c r="F80" s="31">
        <v>210000</v>
      </c>
      <c r="G80" s="41" t="s">
        <v>101</v>
      </c>
      <c r="H80" s="26">
        <v>0</v>
      </c>
      <c r="I80" s="21" t="str">
        <f t="shared" si="5"/>
        <v>Contado</v>
      </c>
      <c r="J80" s="22">
        <f t="shared" si="6"/>
        <v>45715</v>
      </c>
      <c r="K80" s="27">
        <f t="shared" ca="1" si="7"/>
        <v>0</v>
      </c>
      <c r="L80" s="23" t="str">
        <f t="shared" si="8"/>
        <v>Pagado</v>
      </c>
      <c r="M80" s="36">
        <f>SUMIFS(Tabla_Pagos[IMPORTE ABONADO],Tabla_Pagos[FECHA DE ABONO],"&gt;0",Tabla_Pagos[NRO DOC],B80)</f>
        <v>210000</v>
      </c>
      <c r="N80" s="36">
        <f t="shared" si="9"/>
        <v>0</v>
      </c>
      <c r="O80" s="22" cm="1">
        <f t="array" ref="O80">MAX(IF((Tabla_Pagos[NRO DOC]=B80)*(Tabla_Pagos[IMPORTE ABONADO]&gt;0),Tabla_Pagos[FECHA DE ABONO]))</f>
        <v>45715</v>
      </c>
    </row>
    <row r="81" spans="2:15" ht="21" customHeight="1" x14ac:dyDescent="0.25">
      <c r="B81" s="39">
        <v>953</v>
      </c>
      <c r="C81" s="20">
        <v>45716</v>
      </c>
      <c r="D81" s="40" t="s">
        <v>168</v>
      </c>
      <c r="E81" s="37" t="str">
        <f>IFERROR(VLOOKUP(D81,CLIENTES!$B$12:$G$2602,2,FALSE),"")</f>
        <v>CENTRO DE RECICLAJE DEL NORTE LIMITADA</v>
      </c>
      <c r="F81" s="31">
        <v>47600</v>
      </c>
      <c r="G81" s="41" t="s">
        <v>101</v>
      </c>
      <c r="H81" s="26">
        <v>30</v>
      </c>
      <c r="I81" s="21" t="str">
        <f t="shared" si="5"/>
        <v>Crédito</v>
      </c>
      <c r="J81" s="22">
        <f t="shared" si="6"/>
        <v>45746</v>
      </c>
      <c r="K81" s="27">
        <f t="shared" ca="1" si="7"/>
        <v>0</v>
      </c>
      <c r="L81" s="23" t="str">
        <f t="shared" si="8"/>
        <v>Pagado</v>
      </c>
      <c r="M81" s="36">
        <f>SUMIFS(Tabla_Pagos[IMPORTE ABONADO],Tabla_Pagos[FECHA DE ABONO],"&gt;0",Tabla_Pagos[NRO DOC],B81)</f>
        <v>47600</v>
      </c>
      <c r="N81" s="36">
        <f t="shared" si="9"/>
        <v>0</v>
      </c>
      <c r="O81" s="22" cm="1">
        <f t="array" ref="O81">MAX(IF((Tabla_Pagos[NRO DOC]=B81)*(Tabla_Pagos[IMPORTE ABONADO]&gt;0),Tabla_Pagos[FECHA DE ABONO]))</f>
        <v>45716</v>
      </c>
    </row>
    <row r="82" spans="2:15" ht="21" customHeight="1" x14ac:dyDescent="0.25">
      <c r="B82" s="39">
        <v>954</v>
      </c>
      <c r="C82" s="20">
        <v>45716</v>
      </c>
      <c r="D82" s="40" t="s">
        <v>249</v>
      </c>
      <c r="E82" s="37" t="str">
        <f>IFERROR(VLOOKUP(D82,CLIENTES!$B$12:$G$2602,2,FALSE),"")</f>
        <v>INMOBILIARIA E INVERSIONES QUILODRAN LIMITADA</v>
      </c>
      <c r="F82" s="31">
        <v>702100</v>
      </c>
      <c r="G82" s="41" t="s">
        <v>101</v>
      </c>
      <c r="H82" s="26">
        <v>0</v>
      </c>
      <c r="I82" s="21" t="str">
        <f t="shared" si="5"/>
        <v>Contado</v>
      </c>
      <c r="J82" s="22">
        <f t="shared" si="6"/>
        <v>45716</v>
      </c>
      <c r="K82" s="27">
        <f t="shared" ca="1" si="7"/>
        <v>0</v>
      </c>
      <c r="L82" s="23" t="str">
        <f t="shared" si="8"/>
        <v>Pagado</v>
      </c>
      <c r="M82" s="36">
        <f>SUMIFS(Tabla_Pagos[IMPORTE ABONADO],Tabla_Pagos[FECHA DE ABONO],"&gt;0",Tabla_Pagos[NRO DOC],B82)</f>
        <v>702100</v>
      </c>
      <c r="N82" s="36">
        <f t="shared" si="9"/>
        <v>0</v>
      </c>
      <c r="O82" s="22" cm="1">
        <f t="array" ref="O82">MAX(IF((Tabla_Pagos[NRO DOC]=B82)*(Tabla_Pagos[IMPORTE ABONADO]&gt;0),Tabla_Pagos[FECHA DE ABONO]))</f>
        <v>45716</v>
      </c>
    </row>
    <row r="83" spans="2:15" ht="21" customHeight="1" x14ac:dyDescent="0.25">
      <c r="B83" s="39">
        <v>955</v>
      </c>
      <c r="C83" s="20">
        <v>45716</v>
      </c>
      <c r="D83" s="40" t="s">
        <v>249</v>
      </c>
      <c r="E83" s="37" t="str">
        <f>IFERROR(VLOOKUP(D83,CLIENTES!$B$12:$G$2602,2,FALSE),"")</f>
        <v>INMOBILIARIA E INVERSIONES QUILODRAN LIMITADA</v>
      </c>
      <c r="F83" s="31">
        <v>107100</v>
      </c>
      <c r="G83" s="41" t="s">
        <v>101</v>
      </c>
      <c r="H83" s="26">
        <v>0</v>
      </c>
      <c r="I83" s="21" t="str">
        <f t="shared" si="5"/>
        <v>Contado</v>
      </c>
      <c r="J83" s="22">
        <f t="shared" si="6"/>
        <v>45716</v>
      </c>
      <c r="K83" s="27">
        <f t="shared" ca="1" si="7"/>
        <v>0</v>
      </c>
      <c r="L83" s="23" t="str">
        <f t="shared" si="8"/>
        <v>Pagado</v>
      </c>
      <c r="M83" s="36">
        <f>SUMIFS(Tabla_Pagos[IMPORTE ABONADO],Tabla_Pagos[FECHA DE ABONO],"&gt;0",Tabla_Pagos[NRO DOC],B83)</f>
        <v>107100</v>
      </c>
      <c r="N83" s="36">
        <f t="shared" si="9"/>
        <v>0</v>
      </c>
      <c r="O83" s="22" cm="1">
        <f t="array" ref="O83">MAX(IF((Tabla_Pagos[NRO DOC]=B83)*(Tabla_Pagos[IMPORTE ABONADO]&gt;0),Tabla_Pagos[FECHA DE ABONO]))</f>
        <v>45716</v>
      </c>
    </row>
    <row r="84" spans="2:15" ht="21" customHeight="1" x14ac:dyDescent="0.25">
      <c r="B84" s="39">
        <v>956</v>
      </c>
      <c r="C84" s="20">
        <v>45719</v>
      </c>
      <c r="D84" s="40" t="s">
        <v>192</v>
      </c>
      <c r="E84" s="37" t="str">
        <f>IFERROR(VLOOKUP(D84,CLIENTES!$B$12:$G$2602,2,FALSE),"")</f>
        <v>JERALDO TOPOGRAFÃA SUBTERRÃNEA Y GEODÃ‰SICA SPA</v>
      </c>
      <c r="F84" s="31">
        <v>95200</v>
      </c>
      <c r="G84" s="41" t="s">
        <v>101</v>
      </c>
      <c r="H84" s="26">
        <v>0</v>
      </c>
      <c r="I84" s="21" t="str">
        <f t="shared" si="5"/>
        <v>Contado</v>
      </c>
      <c r="J84" s="22">
        <f t="shared" si="6"/>
        <v>45719</v>
      </c>
      <c r="K84" s="27">
        <f t="shared" ca="1" si="7"/>
        <v>0</v>
      </c>
      <c r="L84" s="23" t="str">
        <f t="shared" si="8"/>
        <v>Pagado</v>
      </c>
      <c r="M84" s="36">
        <f>SUMIFS(Tabla_Pagos[IMPORTE ABONADO],Tabla_Pagos[FECHA DE ABONO],"&gt;0",Tabla_Pagos[NRO DOC],B84)</f>
        <v>95200</v>
      </c>
      <c r="N84" s="36">
        <f t="shared" si="9"/>
        <v>0</v>
      </c>
      <c r="O84" s="22" cm="1">
        <f t="array" ref="O84">MAX(IF((Tabla_Pagos[NRO DOC]=B84)*(Tabla_Pagos[IMPORTE ABONADO]&gt;0),Tabla_Pagos[FECHA DE ABONO]))</f>
        <v>45719</v>
      </c>
    </row>
    <row r="85" spans="2:15" ht="21" customHeight="1" x14ac:dyDescent="0.25">
      <c r="B85" s="39">
        <v>957</v>
      </c>
      <c r="C85" s="20">
        <v>45719</v>
      </c>
      <c r="D85" s="40" t="s">
        <v>193</v>
      </c>
      <c r="E85" s="37" t="str">
        <f>IFERROR(VLOOKUP(D85,CLIENTES!$B$12:$G$2602,2,FALSE),"")</f>
        <v>TRANSNORTE SPA</v>
      </c>
      <c r="F85" s="31">
        <v>1868300</v>
      </c>
      <c r="G85" s="41" t="s">
        <v>101</v>
      </c>
      <c r="H85" s="26">
        <v>0</v>
      </c>
      <c r="I85" s="21" t="str">
        <f t="shared" si="5"/>
        <v>Contado</v>
      </c>
      <c r="J85" s="22">
        <f t="shared" si="6"/>
        <v>45719</v>
      </c>
      <c r="K85" s="27">
        <f t="shared" ca="1" si="7"/>
        <v>0</v>
      </c>
      <c r="L85" s="23" t="str">
        <f t="shared" si="8"/>
        <v>Pagado</v>
      </c>
      <c r="M85" s="36">
        <f>SUMIFS(Tabla_Pagos[IMPORTE ABONADO],Tabla_Pagos[FECHA DE ABONO],"&gt;0",Tabla_Pagos[NRO DOC],B85)</f>
        <v>1868300</v>
      </c>
      <c r="N85" s="36">
        <f t="shared" si="9"/>
        <v>0</v>
      </c>
      <c r="O85" s="22" cm="1">
        <f t="array" ref="O85">MAX(IF((Tabla_Pagos[NRO DOC]=B85)*(Tabla_Pagos[IMPORTE ABONADO]&gt;0),Tabla_Pagos[FECHA DE ABONO]))</f>
        <v>45719</v>
      </c>
    </row>
    <row r="86" spans="2:15" ht="21" customHeight="1" x14ac:dyDescent="0.25">
      <c r="B86" s="39">
        <v>958</v>
      </c>
      <c r="C86" s="20">
        <v>45719</v>
      </c>
      <c r="D86" s="40" t="s">
        <v>194</v>
      </c>
      <c r="E86" s="37" t="str">
        <f>IFERROR(VLOOKUP(D86,CLIENTES!$B$12:$G$2602,2,FALSE),"")</f>
        <v>PRESTACION DE SERVICIOS MEDICOS JOSE LUIS GUERRA DIAZ E.I.R.L.</v>
      </c>
      <c r="F86" s="31">
        <v>630700</v>
      </c>
      <c r="G86" s="41" t="s">
        <v>101</v>
      </c>
      <c r="H86" s="26">
        <v>0</v>
      </c>
      <c r="I86" s="21" t="str">
        <f t="shared" si="5"/>
        <v>Contado</v>
      </c>
      <c r="J86" s="22">
        <f t="shared" si="6"/>
        <v>45719</v>
      </c>
      <c r="K86" s="27">
        <f t="shared" ca="1" si="7"/>
        <v>0</v>
      </c>
      <c r="L86" s="23" t="str">
        <f t="shared" si="8"/>
        <v>Pagado</v>
      </c>
      <c r="M86" s="36">
        <f>SUMIFS(Tabla_Pagos[IMPORTE ABONADO],Tabla_Pagos[FECHA DE ABONO],"&gt;0",Tabla_Pagos[NRO DOC],B86)</f>
        <v>630700</v>
      </c>
      <c r="N86" s="36">
        <f t="shared" si="9"/>
        <v>0</v>
      </c>
      <c r="O86" s="22" cm="1">
        <f t="array" ref="O86">MAX(IF((Tabla_Pagos[NRO DOC]=B86)*(Tabla_Pagos[IMPORTE ABONADO]&gt;0),Tabla_Pagos[FECHA DE ABONO]))</f>
        <v>45719</v>
      </c>
    </row>
    <row r="87" spans="2:15" ht="21" customHeight="1" x14ac:dyDescent="0.25">
      <c r="B87" s="39">
        <v>959</v>
      </c>
      <c r="C87" s="20">
        <v>45719</v>
      </c>
      <c r="D87" s="40" t="s">
        <v>44</v>
      </c>
      <c r="E87" s="37" t="str">
        <f>IFERROR(VLOOKUP(D87,CLIENTES!$B$12:$G$2602,2,FALSE),"")</f>
        <v>SKC RED SPA</v>
      </c>
      <c r="F87" s="31">
        <v>190400</v>
      </c>
      <c r="G87" s="41" t="s">
        <v>101</v>
      </c>
      <c r="H87" s="26">
        <v>30</v>
      </c>
      <c r="I87" s="21" t="str">
        <f t="shared" si="5"/>
        <v>Crédito</v>
      </c>
      <c r="J87" s="22">
        <f t="shared" si="6"/>
        <v>45749</v>
      </c>
      <c r="K87" s="27">
        <f t="shared" ca="1" si="7"/>
        <v>0</v>
      </c>
      <c r="L87" s="23" t="str">
        <f t="shared" si="8"/>
        <v>Pagado</v>
      </c>
      <c r="M87" s="36">
        <f>SUMIFS(Tabla_Pagos[IMPORTE ABONADO],Tabla_Pagos[FECHA DE ABONO],"&gt;0",Tabla_Pagos[NRO DOC],B87)</f>
        <v>190400</v>
      </c>
      <c r="N87" s="36">
        <f t="shared" si="9"/>
        <v>0</v>
      </c>
      <c r="O87" s="22" cm="1">
        <f t="array" ref="O87">MAX(IF((Tabla_Pagos[NRO DOC]=B87)*(Tabla_Pagos[IMPORTE ABONADO]&gt;0),Tabla_Pagos[FECHA DE ABONO]))</f>
        <v>45848</v>
      </c>
    </row>
    <row r="88" spans="2:15" ht="21" customHeight="1" x14ac:dyDescent="0.25">
      <c r="B88" s="39">
        <v>960</v>
      </c>
      <c r="C88" s="20">
        <v>45719</v>
      </c>
      <c r="D88" s="40" t="s">
        <v>60</v>
      </c>
      <c r="E88" s="37" t="str">
        <f>IFERROR(VLOOKUP(D88,CLIENTES!$B$12:$G$2602,2,FALSE),"")</f>
        <v>CENTRO DE MANTENIMIENTO AUTOMOTRIZ Y MAQUINARIA SPA</v>
      </c>
      <c r="F88" s="31">
        <v>380800</v>
      </c>
      <c r="G88" s="41" t="s">
        <v>101</v>
      </c>
      <c r="H88" s="26">
        <v>30</v>
      </c>
      <c r="I88" s="21" t="str">
        <f t="shared" si="5"/>
        <v>Crédito</v>
      </c>
      <c r="J88" s="22">
        <f t="shared" si="6"/>
        <v>45749</v>
      </c>
      <c r="K88" s="27">
        <f t="shared" ca="1" si="7"/>
        <v>0</v>
      </c>
      <c r="L88" s="23" t="str">
        <f t="shared" si="8"/>
        <v>Pagado</v>
      </c>
      <c r="M88" s="36">
        <f>SUMIFS(Tabla_Pagos[IMPORTE ABONADO],Tabla_Pagos[FECHA DE ABONO],"&gt;0",Tabla_Pagos[NRO DOC],B88)</f>
        <v>380800</v>
      </c>
      <c r="N88" s="36">
        <f t="shared" si="9"/>
        <v>0</v>
      </c>
      <c r="O88" s="22" cm="1">
        <f t="array" ref="O88">MAX(IF((Tabla_Pagos[NRO DOC]=B88)*(Tabla_Pagos[IMPORTE ABONADO]&gt;0),Tabla_Pagos[FECHA DE ABONO]))</f>
        <v>45719</v>
      </c>
    </row>
    <row r="89" spans="2:15" ht="21" customHeight="1" x14ac:dyDescent="0.25">
      <c r="B89" s="39">
        <v>961</v>
      </c>
      <c r="C89" s="20">
        <v>45719</v>
      </c>
      <c r="D89" s="40" t="s">
        <v>195</v>
      </c>
      <c r="E89" s="37" t="str">
        <f>IFERROR(VLOOKUP(D89,CLIENTES!$B$12:$G$2602,2,FALSE),"")</f>
        <v>SERVICIOS ARDIRAB SPA</v>
      </c>
      <c r="F89" s="31">
        <v>142800</v>
      </c>
      <c r="G89" s="41" t="s">
        <v>101</v>
      </c>
      <c r="H89" s="26">
        <v>30</v>
      </c>
      <c r="I89" s="21" t="str">
        <f t="shared" si="5"/>
        <v>Crédito</v>
      </c>
      <c r="J89" s="22">
        <f t="shared" si="6"/>
        <v>45749</v>
      </c>
      <c r="K89" s="27">
        <f t="shared" ca="1" si="7"/>
        <v>0</v>
      </c>
      <c r="L89" s="23" t="str">
        <f t="shared" si="8"/>
        <v>Pagado</v>
      </c>
      <c r="M89" s="36">
        <f>SUMIFS(Tabla_Pagos[IMPORTE ABONADO],Tabla_Pagos[FECHA DE ABONO],"&gt;0",Tabla_Pagos[NRO DOC],B89)</f>
        <v>142800</v>
      </c>
      <c r="N89" s="36">
        <f t="shared" si="9"/>
        <v>0</v>
      </c>
      <c r="O89" s="22" cm="1">
        <f t="array" ref="O89">MAX(IF((Tabla_Pagos[NRO DOC]=B89)*(Tabla_Pagos[IMPORTE ABONADO]&gt;0),Tabla_Pagos[FECHA DE ABONO]))</f>
        <v>45759</v>
      </c>
    </row>
    <row r="90" spans="2:15" ht="21" customHeight="1" x14ac:dyDescent="0.25">
      <c r="B90" s="39">
        <v>962</v>
      </c>
      <c r="C90" s="20">
        <v>45719</v>
      </c>
      <c r="D90" s="40" t="s">
        <v>170</v>
      </c>
      <c r="E90" s="37" t="str">
        <f>IFERROR(VLOOKUP(D90,CLIENTES!$B$12:$G$2602,2,FALSE),"")</f>
        <v>RAMON ANGEL RIQUELME OLIVARES</v>
      </c>
      <c r="F90" s="31">
        <v>123760</v>
      </c>
      <c r="G90" s="41" t="s">
        <v>101</v>
      </c>
      <c r="H90" s="26">
        <v>0</v>
      </c>
      <c r="I90" s="21" t="str">
        <f t="shared" si="5"/>
        <v>Contado</v>
      </c>
      <c r="J90" s="22">
        <f t="shared" si="6"/>
        <v>45719</v>
      </c>
      <c r="K90" s="27">
        <f t="shared" ca="1" si="7"/>
        <v>0</v>
      </c>
      <c r="L90" s="23" t="str">
        <f t="shared" si="8"/>
        <v>Pagado</v>
      </c>
      <c r="M90" s="36">
        <f>SUMIFS(Tabla_Pagos[IMPORTE ABONADO],Tabla_Pagos[FECHA DE ABONO],"&gt;0",Tabla_Pagos[NRO DOC],B90)</f>
        <v>123760</v>
      </c>
      <c r="N90" s="36">
        <f t="shared" si="9"/>
        <v>0</v>
      </c>
      <c r="O90" s="22" cm="1">
        <f t="array" ref="O90">MAX(IF((Tabla_Pagos[NRO DOC]=B90)*(Tabla_Pagos[IMPORTE ABONADO]&gt;0),Tabla_Pagos[FECHA DE ABONO]))</f>
        <v>45719</v>
      </c>
    </row>
    <row r="91" spans="2:15" ht="21" customHeight="1" x14ac:dyDescent="0.25">
      <c r="B91" s="39">
        <v>963</v>
      </c>
      <c r="C91" s="20">
        <v>45719</v>
      </c>
      <c r="D91" s="40" t="s">
        <v>196</v>
      </c>
      <c r="E91" s="37" t="str">
        <f>IFERROR(VLOOKUP(D91,CLIENTES!$B$12:$G$2602,2,FALSE),"")</f>
        <v>SERVICIOS INDUSTRIALES ROBERTO FERNANDEZ SPA</v>
      </c>
      <c r="F91" s="31">
        <v>1147160</v>
      </c>
      <c r="G91" s="41" t="s">
        <v>101</v>
      </c>
      <c r="H91" s="26">
        <v>0</v>
      </c>
      <c r="I91" s="21" t="str">
        <f t="shared" si="5"/>
        <v>Contado</v>
      </c>
      <c r="J91" s="22">
        <f t="shared" si="6"/>
        <v>45719</v>
      </c>
      <c r="K91" s="27">
        <f t="shared" ca="1" si="7"/>
        <v>0</v>
      </c>
      <c r="L91" s="23" t="str">
        <f t="shared" si="8"/>
        <v>Pagado</v>
      </c>
      <c r="M91" s="36">
        <f>SUMIFS(Tabla_Pagos[IMPORTE ABONADO],Tabla_Pagos[FECHA DE ABONO],"&gt;0",Tabla_Pagos[NRO DOC],B91)</f>
        <v>1147160</v>
      </c>
      <c r="N91" s="36">
        <f t="shared" si="9"/>
        <v>0</v>
      </c>
      <c r="O91" s="22" cm="1">
        <f t="array" ref="O91">MAX(IF((Tabla_Pagos[NRO DOC]=B91)*(Tabla_Pagos[IMPORTE ABONADO]&gt;0),Tabla_Pagos[FECHA DE ABONO]))</f>
        <v>45719</v>
      </c>
    </row>
    <row r="92" spans="2:15" ht="21" customHeight="1" x14ac:dyDescent="0.25">
      <c r="B92" s="39">
        <v>964</v>
      </c>
      <c r="C92" s="20">
        <v>45720</v>
      </c>
      <c r="D92" s="40" t="s">
        <v>197</v>
      </c>
      <c r="E92" s="37" t="str">
        <f>IFERROR(VLOOKUP(D92,CLIENTES!$B$12:$G$2602,2,FALSE),"")</f>
        <v>FRUTICOLA Y EXPORTADORA ATACAMA LTDA</v>
      </c>
      <c r="F92" s="31">
        <v>119000</v>
      </c>
      <c r="G92" s="41" t="s">
        <v>101</v>
      </c>
      <c r="H92" s="26">
        <v>0</v>
      </c>
      <c r="I92" s="21" t="str">
        <f t="shared" si="5"/>
        <v>Contado</v>
      </c>
      <c r="J92" s="22">
        <f t="shared" si="6"/>
        <v>45720</v>
      </c>
      <c r="K92" s="27">
        <f t="shared" ca="1" si="7"/>
        <v>0</v>
      </c>
      <c r="L92" s="23" t="str">
        <f t="shared" si="8"/>
        <v>Pagado</v>
      </c>
      <c r="M92" s="36">
        <f>SUMIFS(Tabla_Pagos[IMPORTE ABONADO],Tabla_Pagos[FECHA DE ABONO],"&gt;0",Tabla_Pagos[NRO DOC],B92)</f>
        <v>119000</v>
      </c>
      <c r="N92" s="36">
        <f t="shared" si="9"/>
        <v>0</v>
      </c>
      <c r="O92" s="22" cm="1">
        <f t="array" ref="O92">MAX(IF((Tabla_Pagos[NRO DOC]=B92)*(Tabla_Pagos[IMPORTE ABONADO]&gt;0),Tabla_Pagos[FECHA DE ABONO]))</f>
        <v>45720</v>
      </c>
    </row>
    <row r="93" spans="2:15" ht="21" customHeight="1" x14ac:dyDescent="0.25">
      <c r="B93" s="39">
        <v>965</v>
      </c>
      <c r="C93" s="20">
        <v>45720</v>
      </c>
      <c r="D93" s="40" t="s">
        <v>198</v>
      </c>
      <c r="E93" s="37" t="str">
        <f>IFERROR(VLOOKUP(D93,CLIENTES!$B$12:$G$2602,2,FALSE),"")</f>
        <v>INVERSIONES RÃO BIO BIO SPA</v>
      </c>
      <c r="F93" s="31">
        <v>821100</v>
      </c>
      <c r="G93" s="41" t="s">
        <v>101</v>
      </c>
      <c r="H93" s="26">
        <v>0</v>
      </c>
      <c r="I93" s="21" t="str">
        <f t="shared" si="5"/>
        <v>Contado</v>
      </c>
      <c r="J93" s="22">
        <f t="shared" si="6"/>
        <v>45720</v>
      </c>
      <c r="K93" s="27">
        <f t="shared" ca="1" si="7"/>
        <v>0</v>
      </c>
      <c r="L93" s="23" t="str">
        <f t="shared" si="8"/>
        <v>Pagado</v>
      </c>
      <c r="M93" s="36">
        <f>SUMIFS(Tabla_Pagos[IMPORTE ABONADO],Tabla_Pagos[FECHA DE ABONO],"&gt;0",Tabla_Pagos[NRO DOC],B93)</f>
        <v>821100</v>
      </c>
      <c r="N93" s="36">
        <f t="shared" si="9"/>
        <v>0</v>
      </c>
      <c r="O93" s="22" cm="1">
        <f t="array" ref="O93">MAX(IF((Tabla_Pagos[NRO DOC]=B93)*(Tabla_Pagos[IMPORTE ABONADO]&gt;0),Tabla_Pagos[FECHA DE ABONO]))</f>
        <v>45720</v>
      </c>
    </row>
    <row r="94" spans="2:15" ht="21" customHeight="1" x14ac:dyDescent="0.25">
      <c r="B94" s="39">
        <v>966</v>
      </c>
      <c r="C94" s="20">
        <v>45720</v>
      </c>
      <c r="D94" s="40" t="s">
        <v>199</v>
      </c>
      <c r="E94" s="37" t="str">
        <f>IFERROR(VLOOKUP(D94,CLIENTES!$B$12:$G$2602,2,FALSE),"")</f>
        <v>SOCIEDAD DE INVERSIONES E INMOBILIARIA ASEGEN PROPIEDADES LIMITADA</v>
      </c>
      <c r="F94" s="31">
        <v>190400</v>
      </c>
      <c r="G94" s="41" t="s">
        <v>101</v>
      </c>
      <c r="H94" s="26">
        <v>0</v>
      </c>
      <c r="I94" s="21" t="str">
        <f t="shared" si="5"/>
        <v>Contado</v>
      </c>
      <c r="J94" s="22">
        <f t="shared" si="6"/>
        <v>45720</v>
      </c>
      <c r="K94" s="27">
        <f t="shared" ca="1" si="7"/>
        <v>0</v>
      </c>
      <c r="L94" s="23" t="str">
        <f t="shared" si="8"/>
        <v>Pagado</v>
      </c>
      <c r="M94" s="36">
        <f>SUMIFS(Tabla_Pagos[IMPORTE ABONADO],Tabla_Pagos[FECHA DE ABONO],"&gt;0",Tabla_Pagos[NRO DOC],B94)</f>
        <v>190400</v>
      </c>
      <c r="N94" s="36">
        <f t="shared" si="9"/>
        <v>0</v>
      </c>
      <c r="O94" s="22" cm="1">
        <f t="array" ref="O94">MAX(IF((Tabla_Pagos[NRO DOC]=B94)*(Tabla_Pagos[IMPORTE ABONADO]&gt;0),Tabla_Pagos[FECHA DE ABONO]))</f>
        <v>45720</v>
      </c>
    </row>
    <row r="95" spans="2:15" ht="21" customHeight="1" x14ac:dyDescent="0.25">
      <c r="B95" s="39">
        <v>967</v>
      </c>
      <c r="C95" s="20">
        <v>45721</v>
      </c>
      <c r="D95" s="40" t="s">
        <v>200</v>
      </c>
      <c r="E95" s="37" t="str">
        <f>IFERROR(VLOOKUP(D95,CLIENTES!$B$12:$G$2602,2,FALSE),"")</f>
        <v>SERCOING LTDA</v>
      </c>
      <c r="F95" s="31">
        <v>35700</v>
      </c>
      <c r="G95" s="41" t="s">
        <v>101</v>
      </c>
      <c r="H95" s="26">
        <v>0</v>
      </c>
      <c r="I95" s="21" t="str">
        <f t="shared" si="5"/>
        <v>Contado</v>
      </c>
      <c r="J95" s="22">
        <f t="shared" si="6"/>
        <v>45721</v>
      </c>
      <c r="K95" s="27">
        <f t="shared" ca="1" si="7"/>
        <v>0</v>
      </c>
      <c r="L95" s="23" t="str">
        <f t="shared" si="8"/>
        <v>Pagado</v>
      </c>
      <c r="M95" s="36">
        <f>SUMIFS(Tabla_Pagos[IMPORTE ABONADO],Tabla_Pagos[FECHA DE ABONO],"&gt;0",Tabla_Pagos[NRO DOC],B95)</f>
        <v>35700</v>
      </c>
      <c r="N95" s="36">
        <f t="shared" si="9"/>
        <v>0</v>
      </c>
      <c r="O95" s="22" cm="1">
        <f t="array" ref="O95">MAX(IF((Tabla_Pagos[NRO DOC]=B95)*(Tabla_Pagos[IMPORTE ABONADO]&gt;0),Tabla_Pagos[FECHA DE ABONO]))</f>
        <v>45721</v>
      </c>
    </row>
    <row r="96" spans="2:15" ht="21" customHeight="1" x14ac:dyDescent="0.25">
      <c r="B96" s="39">
        <v>968</v>
      </c>
      <c r="C96" s="20">
        <v>45721</v>
      </c>
      <c r="D96" s="40" t="s">
        <v>201</v>
      </c>
      <c r="E96" s="37" t="str">
        <f>IFERROR(VLOOKUP(D96,CLIENTES!$B$12:$G$2602,2,FALSE),"")</f>
        <v>QUANTOS LA SPA</v>
      </c>
      <c r="F96" s="31">
        <v>47600</v>
      </c>
      <c r="G96" s="41" t="s">
        <v>101</v>
      </c>
      <c r="H96" s="26">
        <v>0</v>
      </c>
      <c r="I96" s="21" t="str">
        <f t="shared" si="5"/>
        <v>Contado</v>
      </c>
      <c r="J96" s="22">
        <f t="shared" si="6"/>
        <v>45721</v>
      </c>
      <c r="K96" s="27">
        <f t="shared" ca="1" si="7"/>
        <v>0</v>
      </c>
      <c r="L96" s="23" t="str">
        <f t="shared" si="8"/>
        <v>Pagado</v>
      </c>
      <c r="M96" s="36">
        <f>SUMIFS(Tabla_Pagos[IMPORTE ABONADO],Tabla_Pagos[FECHA DE ABONO],"&gt;0",Tabla_Pagos[NRO DOC],B96)</f>
        <v>47600</v>
      </c>
      <c r="N96" s="36">
        <f t="shared" si="9"/>
        <v>0</v>
      </c>
      <c r="O96" s="22" cm="1">
        <f t="array" ref="O96">MAX(IF((Tabla_Pagos[NRO DOC]=B96)*(Tabla_Pagos[IMPORTE ABONADO]&gt;0),Tabla_Pagos[FECHA DE ABONO]))</f>
        <v>45721</v>
      </c>
    </row>
    <row r="97" spans="2:15" ht="21" customHeight="1" x14ac:dyDescent="0.25">
      <c r="B97" s="39">
        <v>969</v>
      </c>
      <c r="C97" s="20">
        <v>45721</v>
      </c>
      <c r="D97" s="40" t="s">
        <v>202</v>
      </c>
      <c r="E97" s="37" t="str">
        <f>IFERROR(VLOOKUP(D97,CLIENTES!$B$12:$G$2602,2,FALSE),"")</f>
        <v>ATACAMA SERVICIOS LIMITADA</v>
      </c>
      <c r="F97" s="31">
        <v>178500</v>
      </c>
      <c r="G97" s="41" t="s">
        <v>101</v>
      </c>
      <c r="H97" s="26">
        <v>0</v>
      </c>
      <c r="I97" s="21" t="str">
        <f t="shared" si="5"/>
        <v>Contado</v>
      </c>
      <c r="J97" s="22">
        <f t="shared" si="6"/>
        <v>45721</v>
      </c>
      <c r="K97" s="27">
        <f t="shared" ca="1" si="7"/>
        <v>0</v>
      </c>
      <c r="L97" s="23" t="str">
        <f t="shared" si="8"/>
        <v>Pagado</v>
      </c>
      <c r="M97" s="36">
        <f>SUMIFS(Tabla_Pagos[IMPORTE ABONADO],Tabla_Pagos[FECHA DE ABONO],"&gt;0",Tabla_Pagos[NRO DOC],B97)</f>
        <v>178500</v>
      </c>
      <c r="N97" s="36">
        <f t="shared" si="9"/>
        <v>0</v>
      </c>
      <c r="O97" s="22" cm="1">
        <f t="array" ref="O97">MAX(IF((Tabla_Pagos[NRO DOC]=B97)*(Tabla_Pagos[IMPORTE ABONADO]&gt;0),Tabla_Pagos[FECHA DE ABONO]))</f>
        <v>45721</v>
      </c>
    </row>
    <row r="98" spans="2:15" ht="21" customHeight="1" x14ac:dyDescent="0.25">
      <c r="B98" s="39">
        <v>970</v>
      </c>
      <c r="C98" s="20">
        <v>45723</v>
      </c>
      <c r="D98" s="40" t="s">
        <v>200</v>
      </c>
      <c r="E98" s="37" t="str">
        <f>IFERROR(VLOOKUP(D98,CLIENTES!$B$12:$G$2602,2,FALSE),"")</f>
        <v>SERCOING LTDA</v>
      </c>
      <c r="F98" s="31">
        <v>29750</v>
      </c>
      <c r="G98" s="41" t="s">
        <v>101</v>
      </c>
      <c r="H98" s="26">
        <v>0</v>
      </c>
      <c r="I98" s="21" t="str">
        <f t="shared" si="5"/>
        <v>Contado</v>
      </c>
      <c r="J98" s="22">
        <f t="shared" si="6"/>
        <v>45723</v>
      </c>
      <c r="K98" s="27">
        <f t="shared" ca="1" si="7"/>
        <v>0</v>
      </c>
      <c r="L98" s="23" t="str">
        <f t="shared" si="8"/>
        <v>Pagado</v>
      </c>
      <c r="M98" s="36">
        <f>SUMIFS(Tabla_Pagos[IMPORTE ABONADO],Tabla_Pagos[FECHA DE ABONO],"&gt;0",Tabla_Pagos[NRO DOC],B98)</f>
        <v>29750</v>
      </c>
      <c r="N98" s="36">
        <f t="shared" si="9"/>
        <v>0</v>
      </c>
      <c r="O98" s="22" cm="1">
        <f t="array" ref="O98">MAX(IF((Tabla_Pagos[NRO DOC]=B98)*(Tabla_Pagos[IMPORTE ABONADO]&gt;0),Tabla_Pagos[FECHA DE ABONO]))</f>
        <v>45723</v>
      </c>
    </row>
    <row r="99" spans="2:15" ht="21" customHeight="1" x14ac:dyDescent="0.25">
      <c r="B99" s="39">
        <v>971</v>
      </c>
      <c r="C99" s="20">
        <v>45726</v>
      </c>
      <c r="D99" s="40" t="s">
        <v>203</v>
      </c>
      <c r="E99" s="37" t="str">
        <f>IFERROR(VLOOKUP(D99,CLIENTES!$B$12:$G$2602,2,FALSE),"")</f>
        <v>CABALLERO RALLYSERVICE SPA</v>
      </c>
      <c r="F99" s="31">
        <v>155997</v>
      </c>
      <c r="G99" s="41" t="s">
        <v>101</v>
      </c>
      <c r="H99" s="26">
        <v>0</v>
      </c>
      <c r="I99" s="21" t="str">
        <f t="shared" si="5"/>
        <v>Contado</v>
      </c>
      <c r="J99" s="22">
        <f t="shared" si="6"/>
        <v>45726</v>
      </c>
      <c r="K99" s="27">
        <f t="shared" ca="1" si="7"/>
        <v>0</v>
      </c>
      <c r="L99" s="23" t="str">
        <f t="shared" si="8"/>
        <v>Pagado</v>
      </c>
      <c r="M99" s="36">
        <f>SUMIFS(Tabla_Pagos[IMPORTE ABONADO],Tabla_Pagos[FECHA DE ABONO],"&gt;0",Tabla_Pagos[NRO DOC],B99)</f>
        <v>155997</v>
      </c>
      <c r="N99" s="36">
        <f t="shared" si="9"/>
        <v>0</v>
      </c>
      <c r="O99" s="22" cm="1">
        <f t="array" ref="O99">MAX(IF((Tabla_Pagos[NRO DOC]=B99)*(Tabla_Pagos[IMPORTE ABONADO]&gt;0),Tabla_Pagos[FECHA DE ABONO]))</f>
        <v>45726</v>
      </c>
    </row>
    <row r="100" spans="2:15" ht="21" customHeight="1" x14ac:dyDescent="0.25">
      <c r="B100" s="39">
        <v>972</v>
      </c>
      <c r="C100" s="20">
        <v>45726</v>
      </c>
      <c r="D100" s="40" t="s">
        <v>204</v>
      </c>
      <c r="E100" s="37" t="str">
        <f>IFERROR(VLOOKUP(D100,CLIENTES!$B$12:$G$2602,2,FALSE),"")</f>
        <v>MCV SERVICIOS GENERALES SPA</v>
      </c>
      <c r="F100" s="31">
        <v>10000</v>
      </c>
      <c r="G100" s="41" t="s">
        <v>101</v>
      </c>
      <c r="H100" s="26">
        <v>0</v>
      </c>
      <c r="I100" s="21" t="str">
        <f t="shared" si="5"/>
        <v>Contado</v>
      </c>
      <c r="J100" s="22">
        <f t="shared" si="6"/>
        <v>45726</v>
      </c>
      <c r="K100" s="27">
        <f t="shared" ca="1" si="7"/>
        <v>0</v>
      </c>
      <c r="L100" s="23" t="str">
        <f t="shared" si="8"/>
        <v>Pagado</v>
      </c>
      <c r="M100" s="36">
        <f>SUMIFS(Tabla_Pagos[IMPORTE ABONADO],Tabla_Pagos[FECHA DE ABONO],"&gt;0",Tabla_Pagos[NRO DOC],B100)</f>
        <v>10000</v>
      </c>
      <c r="N100" s="36">
        <f t="shared" si="9"/>
        <v>0</v>
      </c>
      <c r="O100" s="22" cm="1">
        <f t="array" ref="O100">MAX(IF((Tabla_Pagos[NRO DOC]=B100)*(Tabla_Pagos[IMPORTE ABONADO]&gt;0),Tabla_Pagos[FECHA DE ABONO]))</f>
        <v>45726</v>
      </c>
    </row>
    <row r="101" spans="2:15" ht="21" customHeight="1" x14ac:dyDescent="0.25">
      <c r="B101" s="39">
        <v>973</v>
      </c>
      <c r="C101" s="20">
        <v>45727</v>
      </c>
      <c r="D101" s="40" t="s">
        <v>105</v>
      </c>
      <c r="E101" s="37" t="str">
        <f>IFERROR(VLOOKUP(D101,CLIENTES!$B$12:$G$2602,2,FALSE),"")</f>
        <v>INGENIERIA C Y G LIMITADA</v>
      </c>
      <c r="F101" s="31">
        <v>121380</v>
      </c>
      <c r="G101" s="41" t="s">
        <v>101</v>
      </c>
      <c r="H101" s="26">
        <v>0</v>
      </c>
      <c r="I101" s="21" t="str">
        <f t="shared" si="5"/>
        <v>Contado</v>
      </c>
      <c r="J101" s="22">
        <f t="shared" si="6"/>
        <v>45727</v>
      </c>
      <c r="K101" s="27">
        <f t="shared" ca="1" si="7"/>
        <v>0</v>
      </c>
      <c r="L101" s="23" t="str">
        <f t="shared" si="8"/>
        <v>Pagado</v>
      </c>
      <c r="M101" s="36">
        <f>SUMIFS(Tabla_Pagos[IMPORTE ABONADO],Tabla_Pagos[FECHA DE ABONO],"&gt;0",Tabla_Pagos[NRO DOC],B101)</f>
        <v>121380</v>
      </c>
      <c r="N101" s="36">
        <f t="shared" si="9"/>
        <v>0</v>
      </c>
      <c r="O101" s="22" cm="1">
        <f t="array" ref="O101">MAX(IF((Tabla_Pagos[NRO DOC]=B101)*(Tabla_Pagos[IMPORTE ABONADO]&gt;0),Tabla_Pagos[FECHA DE ABONO]))</f>
        <v>45727</v>
      </c>
    </row>
    <row r="102" spans="2:15" ht="21" customHeight="1" x14ac:dyDescent="0.25">
      <c r="B102" s="39">
        <v>974</v>
      </c>
      <c r="C102" s="20">
        <v>45727</v>
      </c>
      <c r="D102" s="40" t="s">
        <v>58</v>
      </c>
      <c r="E102" s="37" t="str">
        <f>IFERROR(VLOOKUP(D102,CLIENTES!$B$12:$G$2602,2,FALSE),"")</f>
        <v>ZACH PROYECTOS SA</v>
      </c>
      <c r="F102" s="31">
        <v>190400</v>
      </c>
      <c r="G102" s="41" t="s">
        <v>101</v>
      </c>
      <c r="H102" s="26">
        <v>30</v>
      </c>
      <c r="I102" s="21" t="str">
        <f t="shared" si="5"/>
        <v>Crédito</v>
      </c>
      <c r="J102" s="22">
        <f t="shared" si="6"/>
        <v>45757</v>
      </c>
      <c r="K102" s="27">
        <f t="shared" ca="1" si="7"/>
        <v>0</v>
      </c>
      <c r="L102" s="23" t="str">
        <f t="shared" si="8"/>
        <v>Pagado</v>
      </c>
      <c r="M102" s="36">
        <f>SUMIFS(Tabla_Pagos[IMPORTE ABONADO],Tabla_Pagos[FECHA DE ABONO],"&gt;0",Tabla_Pagos[NRO DOC],B102)</f>
        <v>190400</v>
      </c>
      <c r="N102" s="36">
        <f t="shared" si="9"/>
        <v>0</v>
      </c>
      <c r="O102" s="22" cm="1">
        <f t="array" ref="O102">MAX(IF((Tabla_Pagos[NRO DOC]=B102)*(Tabla_Pagos[IMPORTE ABONADO]&gt;0),Tabla_Pagos[FECHA DE ABONO]))</f>
        <v>45833</v>
      </c>
    </row>
    <row r="103" spans="2:15" ht="21" customHeight="1" x14ac:dyDescent="0.25">
      <c r="B103" s="39">
        <v>975</v>
      </c>
      <c r="C103" s="20">
        <v>45727</v>
      </c>
      <c r="D103" s="40" t="s">
        <v>58</v>
      </c>
      <c r="E103" s="37" t="str">
        <f>IFERROR(VLOOKUP(D103,CLIENTES!$B$12:$G$2602,2,FALSE),"")</f>
        <v>ZACH PROYECTOS SA</v>
      </c>
      <c r="F103" s="31">
        <v>472430</v>
      </c>
      <c r="G103" s="41" t="s">
        <v>101</v>
      </c>
      <c r="H103" s="26">
        <v>30</v>
      </c>
      <c r="I103" s="21" t="str">
        <f t="shared" si="5"/>
        <v>Crédito</v>
      </c>
      <c r="J103" s="22">
        <f t="shared" si="6"/>
        <v>45757</v>
      </c>
      <c r="K103" s="27">
        <f t="shared" ca="1" si="7"/>
        <v>0</v>
      </c>
      <c r="L103" s="23" t="str">
        <f t="shared" si="8"/>
        <v>Pagado</v>
      </c>
      <c r="M103" s="36">
        <f>SUMIFS(Tabla_Pagos[IMPORTE ABONADO],Tabla_Pagos[FECHA DE ABONO],"&gt;0",Tabla_Pagos[NRO DOC],B103)</f>
        <v>472430</v>
      </c>
      <c r="N103" s="36">
        <f t="shared" si="9"/>
        <v>0</v>
      </c>
      <c r="O103" s="22" cm="1">
        <f t="array" ref="O103">MAX(IF((Tabla_Pagos[NRO DOC]=B103)*(Tabla_Pagos[IMPORTE ABONADO]&gt;0),Tabla_Pagos[FECHA DE ABONO]))</f>
        <v>45727</v>
      </c>
    </row>
    <row r="104" spans="2:15" ht="21" customHeight="1" x14ac:dyDescent="0.25">
      <c r="B104" s="39">
        <v>976</v>
      </c>
      <c r="C104" s="20">
        <v>45727</v>
      </c>
      <c r="D104" s="40" t="s">
        <v>194</v>
      </c>
      <c r="E104" s="37" t="str">
        <f>IFERROR(VLOOKUP(D104,CLIENTES!$B$12:$G$2602,2,FALSE),"")</f>
        <v>PRESTACION DE SERVICIOS MEDICOS JOSE LUIS GUERRA DIAZ E.I.R.L.</v>
      </c>
      <c r="F104" s="31">
        <v>499800</v>
      </c>
      <c r="G104" s="41" t="s">
        <v>101</v>
      </c>
      <c r="H104" s="26">
        <v>30</v>
      </c>
      <c r="I104" s="21" t="str">
        <f t="shared" si="5"/>
        <v>Crédito</v>
      </c>
      <c r="J104" s="22">
        <f t="shared" si="6"/>
        <v>45757</v>
      </c>
      <c r="K104" s="27">
        <f t="shared" ca="1" si="7"/>
        <v>0</v>
      </c>
      <c r="L104" s="23" t="str">
        <f t="shared" si="8"/>
        <v>Pagado</v>
      </c>
      <c r="M104" s="36">
        <f>SUMIFS(Tabla_Pagos[IMPORTE ABONADO],Tabla_Pagos[FECHA DE ABONO],"&gt;0",Tabla_Pagos[NRO DOC],B104)</f>
        <v>499800</v>
      </c>
      <c r="N104" s="36">
        <f t="shared" si="9"/>
        <v>0</v>
      </c>
      <c r="O104" s="22" cm="1">
        <f t="array" ref="O104">MAX(IF((Tabla_Pagos[NRO DOC]=B104)*(Tabla_Pagos[IMPORTE ABONADO]&gt;0),Tabla_Pagos[FECHA DE ABONO]))</f>
        <v>45727</v>
      </c>
    </row>
    <row r="105" spans="2:15" ht="21" customHeight="1" x14ac:dyDescent="0.25">
      <c r="B105" s="39">
        <v>977</v>
      </c>
      <c r="C105" s="20">
        <v>45727</v>
      </c>
      <c r="D105" s="40" t="s">
        <v>205</v>
      </c>
      <c r="E105" s="37" t="str">
        <f>IFERROR(VLOOKUP(D105,CLIENTES!$B$12:$G$2602,2,FALSE),"")</f>
        <v>CONSTRUCTORA DE PAVIMENTOS ASFALTICOS BITUMIX S.A</v>
      </c>
      <c r="F105" s="31">
        <v>210630</v>
      </c>
      <c r="G105" s="41" t="s">
        <v>101</v>
      </c>
      <c r="H105" s="26">
        <v>30</v>
      </c>
      <c r="I105" s="21" t="str">
        <f t="shared" si="5"/>
        <v>Crédito</v>
      </c>
      <c r="J105" s="22">
        <f t="shared" si="6"/>
        <v>45757</v>
      </c>
      <c r="K105" s="27">
        <f t="shared" ca="1" si="7"/>
        <v>0</v>
      </c>
      <c r="L105" s="23" t="str">
        <f t="shared" si="8"/>
        <v>Pagado</v>
      </c>
      <c r="M105" s="36">
        <f>SUMIFS(Tabla_Pagos[IMPORTE ABONADO],Tabla_Pagos[FECHA DE ABONO],"&gt;0",Tabla_Pagos[NRO DOC],B105)</f>
        <v>210630</v>
      </c>
      <c r="N105" s="36">
        <f t="shared" si="9"/>
        <v>0</v>
      </c>
      <c r="O105" s="22" cm="1">
        <f t="array" ref="O105">MAX(IF((Tabla_Pagos[NRO DOC]=B105)*(Tabla_Pagos[IMPORTE ABONADO]&gt;0),Tabla_Pagos[FECHA DE ABONO]))</f>
        <v>45764</v>
      </c>
    </row>
    <row r="106" spans="2:15" ht="21" customHeight="1" x14ac:dyDescent="0.25">
      <c r="B106" s="39">
        <v>978</v>
      </c>
      <c r="C106" s="20">
        <v>45727</v>
      </c>
      <c r="D106" s="40" t="s">
        <v>206</v>
      </c>
      <c r="E106" s="37" t="str">
        <f>IFERROR(VLOOKUP(D106,CLIENTES!$B$12:$G$2602,2,FALSE),"")</f>
        <v>AMFFAL SPA</v>
      </c>
      <c r="F106" s="31">
        <v>297500</v>
      </c>
      <c r="G106" s="41" t="s">
        <v>101</v>
      </c>
      <c r="H106" s="26">
        <v>0</v>
      </c>
      <c r="I106" s="21" t="str">
        <f t="shared" si="5"/>
        <v>Contado</v>
      </c>
      <c r="J106" s="22">
        <f t="shared" si="6"/>
        <v>45727</v>
      </c>
      <c r="K106" s="27">
        <f t="shared" ca="1" si="7"/>
        <v>0</v>
      </c>
      <c r="L106" s="23" t="str">
        <f t="shared" si="8"/>
        <v>Pagado</v>
      </c>
      <c r="M106" s="36">
        <f>SUMIFS(Tabla_Pagos[IMPORTE ABONADO],Tabla_Pagos[FECHA DE ABONO],"&gt;0",Tabla_Pagos[NRO DOC],B106)</f>
        <v>297500</v>
      </c>
      <c r="N106" s="36">
        <f t="shared" si="9"/>
        <v>0</v>
      </c>
      <c r="O106" s="22" cm="1">
        <f t="array" ref="O106">MAX(IF((Tabla_Pagos[NRO DOC]=B106)*(Tabla_Pagos[IMPORTE ABONADO]&gt;0),Tabla_Pagos[FECHA DE ABONO]))</f>
        <v>45727</v>
      </c>
    </row>
    <row r="107" spans="2:15" ht="21" customHeight="1" x14ac:dyDescent="0.25">
      <c r="B107" s="39">
        <v>979</v>
      </c>
      <c r="C107" s="20">
        <v>45727</v>
      </c>
      <c r="D107" s="40" t="s">
        <v>38</v>
      </c>
      <c r="E107" s="37" t="str">
        <f>IFERROR(VLOOKUP(D107,CLIENTES!$B$12:$G$2602,2,FALSE),"")</f>
        <v>CROSAN SPA</v>
      </c>
      <c r="F107" s="31">
        <v>261800</v>
      </c>
      <c r="G107" s="41" t="s">
        <v>101</v>
      </c>
      <c r="H107" s="26">
        <v>30</v>
      </c>
      <c r="I107" s="21" t="str">
        <f t="shared" si="5"/>
        <v>Crédito</v>
      </c>
      <c r="J107" s="22">
        <f t="shared" si="6"/>
        <v>45757</v>
      </c>
      <c r="K107" s="27">
        <f t="shared" ca="1" si="7"/>
        <v>0</v>
      </c>
      <c r="L107" s="23" t="str">
        <f t="shared" si="8"/>
        <v>Pagado</v>
      </c>
      <c r="M107" s="36">
        <f>SUMIFS(Tabla_Pagos[IMPORTE ABONADO],Tabla_Pagos[FECHA DE ABONO],"&gt;0",Tabla_Pagos[NRO DOC],B107)</f>
        <v>261800</v>
      </c>
      <c r="N107" s="36">
        <f t="shared" si="9"/>
        <v>0</v>
      </c>
      <c r="O107" s="22" cm="1">
        <f t="array" ref="O107">MAX(IF((Tabla_Pagos[NRO DOC]=B107)*(Tabla_Pagos[IMPORTE ABONADO]&gt;0),Tabla_Pagos[FECHA DE ABONO]))</f>
        <v>45751</v>
      </c>
    </row>
    <row r="108" spans="2:15" ht="21" customHeight="1" x14ac:dyDescent="0.25">
      <c r="B108" s="39">
        <v>980</v>
      </c>
      <c r="C108" s="20">
        <v>45727</v>
      </c>
      <c r="D108" s="40" t="s">
        <v>193</v>
      </c>
      <c r="E108" s="37" t="str">
        <f>IFERROR(VLOOKUP(D108,CLIENTES!$B$12:$G$2602,2,FALSE),"")</f>
        <v>TRANSNORTE SPA</v>
      </c>
      <c r="F108" s="31">
        <v>15000</v>
      </c>
      <c r="G108" s="41" t="s">
        <v>101</v>
      </c>
      <c r="H108" s="26">
        <v>30</v>
      </c>
      <c r="I108" s="21" t="str">
        <f t="shared" si="5"/>
        <v>Crédito</v>
      </c>
      <c r="J108" s="22">
        <f t="shared" si="6"/>
        <v>45757</v>
      </c>
      <c r="K108" s="27">
        <f t="shared" ca="1" si="7"/>
        <v>0</v>
      </c>
      <c r="L108" s="23" t="str">
        <f t="shared" si="8"/>
        <v>Pagado</v>
      </c>
      <c r="M108" s="36">
        <f>SUMIFS(Tabla_Pagos[IMPORTE ABONADO],Tabla_Pagos[FECHA DE ABONO],"&gt;0",Tabla_Pagos[NRO DOC],B108)</f>
        <v>15000</v>
      </c>
      <c r="N108" s="36">
        <f t="shared" si="9"/>
        <v>0</v>
      </c>
      <c r="O108" s="22" cm="1">
        <f t="array" ref="O108">MAX(IF((Tabla_Pagos[NRO DOC]=B108)*(Tabla_Pagos[IMPORTE ABONADO]&gt;0),Tabla_Pagos[FECHA DE ABONO]))</f>
        <v>45727</v>
      </c>
    </row>
    <row r="109" spans="2:15" ht="21" customHeight="1" x14ac:dyDescent="0.25">
      <c r="B109" s="39">
        <v>981</v>
      </c>
      <c r="C109" s="20">
        <v>45727</v>
      </c>
      <c r="D109" s="40" t="s">
        <v>102</v>
      </c>
      <c r="E109" s="37" t="str">
        <f>IFERROR(VLOOKUP(D109,CLIENTES!$B$12:$G$2602,2,FALSE),"")</f>
        <v>CONSTRUCTORA CARLOS ALBERTO ANDRES ALBISTUR REYES E.I.R.L.</v>
      </c>
      <c r="F109" s="31">
        <v>53550</v>
      </c>
      <c r="G109" s="41" t="s">
        <v>101</v>
      </c>
      <c r="H109" s="26">
        <v>30</v>
      </c>
      <c r="I109" s="21" t="str">
        <f t="shared" si="5"/>
        <v>Crédito</v>
      </c>
      <c r="J109" s="22">
        <f t="shared" si="6"/>
        <v>45757</v>
      </c>
      <c r="K109" s="27">
        <f t="shared" ca="1" si="7"/>
        <v>0</v>
      </c>
      <c r="L109" s="23" t="str">
        <f t="shared" si="8"/>
        <v>Pagado</v>
      </c>
      <c r="M109" s="36">
        <f>SUMIFS(Tabla_Pagos[IMPORTE ABONADO],Tabla_Pagos[FECHA DE ABONO],"&gt;0",Tabla_Pagos[NRO DOC],B109)</f>
        <v>53550</v>
      </c>
      <c r="N109" s="36">
        <f t="shared" si="9"/>
        <v>0</v>
      </c>
      <c r="O109" s="22" cm="1">
        <f t="array" ref="O109">MAX(IF((Tabla_Pagos[NRO DOC]=B109)*(Tabla_Pagos[IMPORTE ABONADO]&gt;0),Tabla_Pagos[FECHA DE ABONO]))</f>
        <v>45740</v>
      </c>
    </row>
    <row r="110" spans="2:15" ht="21" customHeight="1" x14ac:dyDescent="0.25">
      <c r="B110" s="39">
        <v>982</v>
      </c>
      <c r="C110" s="20">
        <v>45727</v>
      </c>
      <c r="D110" s="40" t="s">
        <v>106</v>
      </c>
      <c r="E110" s="37" t="str">
        <f>IFERROR(VLOOKUP(D110,CLIENTES!$B$12:$G$2602,2,FALSE),"")</f>
        <v>COMERCIAL SERPAN SPA</v>
      </c>
      <c r="F110" s="31">
        <v>11900</v>
      </c>
      <c r="G110" s="41" t="s">
        <v>101</v>
      </c>
      <c r="H110" s="26">
        <v>30</v>
      </c>
      <c r="I110" s="21" t="str">
        <f t="shared" si="5"/>
        <v>Crédito</v>
      </c>
      <c r="J110" s="22">
        <f t="shared" si="6"/>
        <v>45757</v>
      </c>
      <c r="K110" s="27">
        <f t="shared" ca="1" si="7"/>
        <v>0</v>
      </c>
      <c r="L110" s="23" t="str">
        <f t="shared" si="8"/>
        <v>Pagado</v>
      </c>
      <c r="M110" s="36">
        <f>SUMIFS(Tabla_Pagos[IMPORTE ABONADO],Tabla_Pagos[FECHA DE ABONO],"&gt;0",Tabla_Pagos[NRO DOC],B110)</f>
        <v>11900</v>
      </c>
      <c r="N110" s="36">
        <f t="shared" si="9"/>
        <v>0</v>
      </c>
      <c r="O110" s="22" cm="1">
        <f t="array" ref="O110">MAX(IF((Tabla_Pagos[NRO DOC]=B110)*(Tabla_Pagos[IMPORTE ABONADO]&gt;0),Tabla_Pagos[FECHA DE ABONO]))</f>
        <v>45727</v>
      </c>
    </row>
    <row r="111" spans="2:15" ht="21" customHeight="1" x14ac:dyDescent="0.25">
      <c r="B111" s="39">
        <v>983</v>
      </c>
      <c r="C111" s="20">
        <v>45730</v>
      </c>
      <c r="D111" s="40" t="s">
        <v>207</v>
      </c>
      <c r="E111" s="37" t="str">
        <f>IFERROR(VLOOKUP(D111,CLIENTES!$B$12:$G$2602,2,FALSE),"")</f>
        <v>JUAN ALONSO SILVA ARMIJO</v>
      </c>
      <c r="F111" s="31">
        <v>240000</v>
      </c>
      <c r="G111" s="41" t="s">
        <v>101</v>
      </c>
      <c r="H111" s="26">
        <v>0</v>
      </c>
      <c r="I111" s="21" t="str">
        <f t="shared" si="5"/>
        <v>Contado</v>
      </c>
      <c r="J111" s="22">
        <f t="shared" si="6"/>
        <v>45730</v>
      </c>
      <c r="K111" s="27">
        <f ca="1">IFERROR(IF(B111="","",IF(N111=0,0,J111-TODAY())),"")</f>
        <v>0</v>
      </c>
      <c r="L111" s="23" t="str">
        <f t="shared" si="8"/>
        <v>Pagado</v>
      </c>
      <c r="M111" s="36">
        <f>SUMIFS(Tabla_Pagos[IMPORTE ABONADO],Tabla_Pagos[FECHA DE ABONO],"&gt;0",Tabla_Pagos[NRO DOC],B111)</f>
        <v>240000</v>
      </c>
      <c r="N111" s="36">
        <f t="shared" si="9"/>
        <v>0</v>
      </c>
      <c r="O111" s="22" cm="1">
        <f t="array" ref="O111">MAX(IF((Tabla_Pagos[NRO DOC]=B111)*(Tabla_Pagos[IMPORTE ABONADO]&gt;0),Tabla_Pagos[FECHA DE ABONO]))</f>
        <v>45730</v>
      </c>
    </row>
    <row r="112" spans="2:15" ht="21" customHeight="1" x14ac:dyDescent="0.25">
      <c r="B112" s="39">
        <v>984</v>
      </c>
      <c r="C112" s="20">
        <v>45731</v>
      </c>
      <c r="D112" s="40" t="s">
        <v>41</v>
      </c>
      <c r="E112" s="37" t="str">
        <f>IFERROR(VLOOKUP(D112,CLIENTES!$B$12:$G$2602,2,FALSE),"")</f>
        <v>TRANSPORTE DOBLE C SPA</v>
      </c>
      <c r="F112" s="31">
        <v>261800</v>
      </c>
      <c r="G112" s="41" t="s">
        <v>101</v>
      </c>
      <c r="H112" s="26">
        <v>0</v>
      </c>
      <c r="I112" s="21" t="str">
        <f t="shared" si="5"/>
        <v>Contado</v>
      </c>
      <c r="J112" s="22">
        <f t="shared" si="6"/>
        <v>45731</v>
      </c>
      <c r="K112" s="27">
        <f t="shared" ca="1" si="7"/>
        <v>0</v>
      </c>
      <c r="L112" s="23" t="str">
        <f t="shared" si="8"/>
        <v>Pagado</v>
      </c>
      <c r="M112" s="36">
        <f>SUMIFS(Tabla_Pagos[IMPORTE ABONADO],Tabla_Pagos[FECHA DE ABONO],"&gt;0",Tabla_Pagos[NRO DOC],B112)</f>
        <v>261800</v>
      </c>
      <c r="N112" s="36">
        <f t="shared" si="9"/>
        <v>0</v>
      </c>
      <c r="O112" s="22" cm="1">
        <f t="array" ref="O112">MAX(IF((Tabla_Pagos[NRO DOC]=B112)*(Tabla_Pagos[IMPORTE ABONADO]&gt;0),Tabla_Pagos[FECHA DE ABONO]))</f>
        <v>45731</v>
      </c>
    </row>
    <row r="113" spans="2:15" ht="21" customHeight="1" x14ac:dyDescent="0.25">
      <c r="B113" s="39">
        <v>985</v>
      </c>
      <c r="C113" s="20">
        <v>45733</v>
      </c>
      <c r="D113" s="40" t="s">
        <v>208</v>
      </c>
      <c r="E113" s="37" t="str">
        <f>IFERROR(VLOOKUP(D113,CLIENTES!$B$12:$G$2602,2,FALSE),"")</f>
        <v>LUIS OSVALDO CASTRO ARRIAGADA</v>
      </c>
      <c r="F113" s="31">
        <v>200000</v>
      </c>
      <c r="G113" s="41" t="s">
        <v>101</v>
      </c>
      <c r="H113" s="26">
        <v>0</v>
      </c>
      <c r="I113" s="21" t="str">
        <f t="shared" si="5"/>
        <v>Contado</v>
      </c>
      <c r="J113" s="22">
        <f t="shared" si="6"/>
        <v>45733</v>
      </c>
      <c r="K113" s="27">
        <f t="shared" ca="1" si="7"/>
        <v>0</v>
      </c>
      <c r="L113" s="23" t="str">
        <f t="shared" si="8"/>
        <v>Pagado</v>
      </c>
      <c r="M113" s="36">
        <f>SUMIFS(Tabla_Pagos[IMPORTE ABONADO],Tabla_Pagos[FECHA DE ABONO],"&gt;0",Tabla_Pagos[NRO DOC],B113)</f>
        <v>200000</v>
      </c>
      <c r="N113" s="36">
        <f t="shared" si="9"/>
        <v>0</v>
      </c>
      <c r="O113" s="22" cm="1">
        <f t="array" ref="O113">MAX(IF((Tabla_Pagos[NRO DOC]=B113)*(Tabla_Pagos[IMPORTE ABONADO]&gt;0),Tabla_Pagos[FECHA DE ABONO]))</f>
        <v>45733</v>
      </c>
    </row>
    <row r="114" spans="2:15" ht="21" customHeight="1" x14ac:dyDescent="0.25">
      <c r="B114" s="39">
        <v>986</v>
      </c>
      <c r="C114" s="20">
        <v>45735</v>
      </c>
      <c r="D114" s="40" t="s">
        <v>34</v>
      </c>
      <c r="E114" s="37" t="str">
        <f>IFERROR(VLOOKUP(D114,CLIENTES!$B$12:$G$2602,2,FALSE),"")</f>
        <v>SERVICIOS INDUSTRIALES WARNER SPA</v>
      </c>
      <c r="F114" s="31">
        <v>564060</v>
      </c>
      <c r="G114" s="41" t="s">
        <v>101</v>
      </c>
      <c r="H114" s="26">
        <v>30</v>
      </c>
      <c r="I114" s="21" t="str">
        <f t="shared" si="5"/>
        <v>Crédito</v>
      </c>
      <c r="J114" s="22">
        <f t="shared" si="6"/>
        <v>45765</v>
      </c>
      <c r="K114" s="27">
        <f t="shared" ca="1" si="7"/>
        <v>0</v>
      </c>
      <c r="L114" s="23" t="str">
        <f t="shared" si="8"/>
        <v>Pagado</v>
      </c>
      <c r="M114" s="36">
        <f>SUMIFS(Tabla_Pagos[IMPORTE ABONADO],Tabla_Pagos[FECHA DE ABONO],"&gt;0",Tabla_Pagos[NRO DOC],B114)</f>
        <v>564060</v>
      </c>
      <c r="N114" s="36">
        <f t="shared" si="9"/>
        <v>0</v>
      </c>
      <c r="O114" s="22" cm="1">
        <f t="array" ref="O114">MAX(IF((Tabla_Pagos[NRO DOC]=B114)*(Tabla_Pagos[IMPORTE ABONADO]&gt;0),Tabla_Pagos[FECHA DE ABONO]))</f>
        <v>45742</v>
      </c>
    </row>
    <row r="115" spans="2:15" ht="21" customHeight="1" x14ac:dyDescent="0.25">
      <c r="B115" s="39">
        <v>987</v>
      </c>
      <c r="C115" s="20">
        <v>45735</v>
      </c>
      <c r="D115" s="40" t="s">
        <v>209</v>
      </c>
      <c r="E115" s="37" t="str">
        <f>IFERROR(VLOOKUP(D115,CLIENTES!$B$12:$G$2602,2,FALSE),"")</f>
        <v>SOCIEDAD COMERCIAL E INDUSTRIAL HYDRO CLEANING VAPOR LIMITADA</v>
      </c>
      <c r="F115" s="31">
        <v>20000</v>
      </c>
      <c r="G115" s="41" t="s">
        <v>101</v>
      </c>
      <c r="H115" s="26">
        <v>0</v>
      </c>
      <c r="I115" s="21" t="str">
        <f t="shared" si="5"/>
        <v>Contado</v>
      </c>
      <c r="J115" s="22">
        <f t="shared" si="6"/>
        <v>45735</v>
      </c>
      <c r="K115" s="27">
        <f t="shared" ca="1" si="7"/>
        <v>0</v>
      </c>
      <c r="L115" s="23" t="str">
        <f t="shared" si="8"/>
        <v>Pagado</v>
      </c>
      <c r="M115" s="36">
        <f>SUMIFS(Tabla_Pagos[IMPORTE ABONADO],Tabla_Pagos[FECHA DE ABONO],"&gt;0",Tabla_Pagos[NRO DOC],B115)</f>
        <v>20000</v>
      </c>
      <c r="N115" s="36">
        <f t="shared" si="9"/>
        <v>0</v>
      </c>
      <c r="O115" s="22" cm="1">
        <f t="array" ref="O115">MAX(IF((Tabla_Pagos[NRO DOC]=B115)*(Tabla_Pagos[IMPORTE ABONADO]&gt;0),Tabla_Pagos[FECHA DE ABONO]))</f>
        <v>45735</v>
      </c>
    </row>
    <row r="116" spans="2:15" ht="21" customHeight="1" x14ac:dyDescent="0.25">
      <c r="B116" s="39">
        <v>988</v>
      </c>
      <c r="C116" s="20">
        <v>45738</v>
      </c>
      <c r="D116" s="40" t="s">
        <v>198</v>
      </c>
      <c r="E116" s="37" t="str">
        <f>IFERROR(VLOOKUP(D116,CLIENTES!$B$12:$G$2602,2,FALSE),"")</f>
        <v>INVERSIONES RÃO BIO BIO SPA</v>
      </c>
      <c r="F116" s="31">
        <v>511700</v>
      </c>
      <c r="G116" s="41" t="s">
        <v>101</v>
      </c>
      <c r="H116" s="26">
        <v>0</v>
      </c>
      <c r="I116" s="21" t="str">
        <f t="shared" si="5"/>
        <v>Contado</v>
      </c>
      <c r="J116" s="22">
        <f t="shared" si="6"/>
        <v>45738</v>
      </c>
      <c r="K116" s="27">
        <f t="shared" ca="1" si="7"/>
        <v>0</v>
      </c>
      <c r="L116" s="23" t="str">
        <f t="shared" si="8"/>
        <v>Pagado</v>
      </c>
      <c r="M116" s="36">
        <f>SUMIFS(Tabla_Pagos[IMPORTE ABONADO],Tabla_Pagos[FECHA DE ABONO],"&gt;0",Tabla_Pagos[NRO DOC],B116)</f>
        <v>511700</v>
      </c>
      <c r="N116" s="36">
        <f t="shared" si="9"/>
        <v>0</v>
      </c>
      <c r="O116" s="22" cm="1">
        <f t="array" ref="O116">MAX(IF((Tabla_Pagos[NRO DOC]=B116)*(Tabla_Pagos[IMPORTE ABONADO]&gt;0),Tabla_Pagos[FECHA DE ABONO]))</f>
        <v>45738</v>
      </c>
    </row>
    <row r="117" spans="2:15" ht="21" customHeight="1" x14ac:dyDescent="0.25">
      <c r="B117" s="39">
        <v>989</v>
      </c>
      <c r="C117" s="20">
        <v>45740</v>
      </c>
      <c r="D117" s="40" t="s">
        <v>210</v>
      </c>
      <c r="E117" s="37" t="str">
        <f>IFERROR(VLOOKUP(D117,CLIENTES!$B$12:$G$2602,2,FALSE),"")</f>
        <v>CASTHER SPA.</v>
      </c>
      <c r="F117" s="31">
        <v>190400</v>
      </c>
      <c r="G117" s="41" t="s">
        <v>101</v>
      </c>
      <c r="H117" s="26">
        <v>30</v>
      </c>
      <c r="I117" s="21" t="str">
        <f t="shared" si="5"/>
        <v>Crédito</v>
      </c>
      <c r="J117" s="22">
        <f t="shared" si="6"/>
        <v>45770</v>
      </c>
      <c r="K117" s="27">
        <f t="shared" ca="1" si="7"/>
        <v>0</v>
      </c>
      <c r="L117" s="23" t="str">
        <f t="shared" si="8"/>
        <v>Pagado</v>
      </c>
      <c r="M117" s="36">
        <f>SUMIFS(Tabla_Pagos[IMPORTE ABONADO],Tabla_Pagos[FECHA DE ABONO],"&gt;0",Tabla_Pagos[NRO DOC],B117)</f>
        <v>190400</v>
      </c>
      <c r="N117" s="36">
        <f t="shared" si="9"/>
        <v>0</v>
      </c>
      <c r="O117" s="22" cm="1">
        <f t="array" ref="O117">MAX(IF((Tabla_Pagos[NRO DOC]=B117)*(Tabla_Pagos[IMPORTE ABONADO]&gt;0),Tabla_Pagos[FECHA DE ABONO]))</f>
        <v>45740</v>
      </c>
    </row>
    <row r="118" spans="2:15" ht="21" customHeight="1" x14ac:dyDescent="0.25">
      <c r="B118" s="39">
        <v>990</v>
      </c>
      <c r="C118" s="20">
        <v>45740</v>
      </c>
      <c r="D118" s="40" t="s">
        <v>211</v>
      </c>
      <c r="E118" s="37" t="str">
        <f>IFERROR(VLOOKUP(D118,CLIENTES!$B$12:$G$2602,2,FALSE),"")</f>
        <v>CONSTRUCTORA, REPARACIONES, APLICACIONES E INSTALACIONES GRUPO ATADURA</v>
      </c>
      <c r="F118" s="31">
        <v>117810</v>
      </c>
      <c r="G118" s="41" t="s">
        <v>101</v>
      </c>
      <c r="H118" s="26">
        <v>0</v>
      </c>
      <c r="I118" s="21" t="str">
        <f t="shared" si="5"/>
        <v>Contado</v>
      </c>
      <c r="J118" s="22">
        <f t="shared" si="6"/>
        <v>45740</v>
      </c>
      <c r="K118" s="27">
        <f t="shared" ca="1" si="7"/>
        <v>0</v>
      </c>
      <c r="L118" s="23" t="str">
        <f t="shared" si="8"/>
        <v>Pagado</v>
      </c>
      <c r="M118" s="36">
        <f>SUMIFS(Tabla_Pagos[IMPORTE ABONADO],Tabla_Pagos[FECHA DE ABONO],"&gt;0",Tabla_Pagos[NRO DOC],B118)</f>
        <v>117810</v>
      </c>
      <c r="N118" s="36">
        <f t="shared" si="9"/>
        <v>0</v>
      </c>
      <c r="O118" s="22" cm="1">
        <f t="array" ref="O118">MAX(IF((Tabla_Pagos[NRO DOC]=B118)*(Tabla_Pagos[IMPORTE ABONADO]&gt;0),Tabla_Pagos[FECHA DE ABONO]))</f>
        <v>45740</v>
      </c>
    </row>
    <row r="119" spans="2:15" ht="21" customHeight="1" x14ac:dyDescent="0.25">
      <c r="B119" s="39">
        <v>991</v>
      </c>
      <c r="C119" s="20">
        <v>45740</v>
      </c>
      <c r="D119" s="40" t="s">
        <v>212</v>
      </c>
      <c r="E119" s="37" t="str">
        <f>IFERROR(VLOOKUP(D119,CLIENTES!$B$12:$G$2602,2,FALSE),"")</f>
        <v>SOCIEDAD INGENIERIA Y SERVICIOS AF LIMITADA</v>
      </c>
      <c r="F119" s="31">
        <v>119000</v>
      </c>
      <c r="G119" s="41" t="s">
        <v>101</v>
      </c>
      <c r="H119" s="26">
        <v>0</v>
      </c>
      <c r="I119" s="21" t="str">
        <f t="shared" si="5"/>
        <v>Contado</v>
      </c>
      <c r="J119" s="22">
        <f t="shared" si="6"/>
        <v>45740</v>
      </c>
      <c r="K119" s="27">
        <f t="shared" ca="1" si="7"/>
        <v>0</v>
      </c>
      <c r="L119" s="23" t="str">
        <f t="shared" si="8"/>
        <v>Pagado</v>
      </c>
      <c r="M119" s="36">
        <f>SUMIFS(Tabla_Pagos[IMPORTE ABONADO],Tabla_Pagos[FECHA DE ABONO],"&gt;0",Tabla_Pagos[NRO DOC],B119)</f>
        <v>119000</v>
      </c>
      <c r="N119" s="36">
        <f t="shared" si="9"/>
        <v>0</v>
      </c>
      <c r="O119" s="22" cm="1">
        <f t="array" ref="O119">MAX(IF((Tabla_Pagos[NRO DOC]=B119)*(Tabla_Pagos[IMPORTE ABONADO]&gt;0),Tabla_Pagos[FECHA DE ABONO]))</f>
        <v>45740</v>
      </c>
    </row>
    <row r="120" spans="2:15" ht="21" customHeight="1" x14ac:dyDescent="0.25">
      <c r="B120" s="39">
        <v>992</v>
      </c>
      <c r="C120" s="20">
        <v>45740</v>
      </c>
      <c r="D120" s="40" t="s">
        <v>195</v>
      </c>
      <c r="E120" s="37" t="str">
        <f>IFERROR(VLOOKUP(D120,CLIENTES!$B$12:$G$2602,2,FALSE),"")</f>
        <v>SERVICIOS ARDIRAB SPA</v>
      </c>
      <c r="F120" s="31">
        <v>142800</v>
      </c>
      <c r="G120" s="41" t="s">
        <v>101</v>
      </c>
      <c r="H120" s="26">
        <v>30</v>
      </c>
      <c r="I120" s="21" t="str">
        <f t="shared" si="5"/>
        <v>Crédito</v>
      </c>
      <c r="J120" s="22">
        <f t="shared" si="6"/>
        <v>45770</v>
      </c>
      <c r="K120" s="27">
        <f t="shared" ca="1" si="7"/>
        <v>0</v>
      </c>
      <c r="L120" s="23" t="str">
        <f t="shared" si="8"/>
        <v>Pagado</v>
      </c>
      <c r="M120" s="36">
        <f>SUMIFS(Tabla_Pagos[IMPORTE ABONADO],Tabla_Pagos[FECHA DE ABONO],"&gt;0",Tabla_Pagos[NRO DOC],B120)</f>
        <v>142800</v>
      </c>
      <c r="N120" s="36">
        <f t="shared" si="9"/>
        <v>0</v>
      </c>
      <c r="O120" s="22" cm="1">
        <f t="array" ref="O120">MAX(IF((Tabla_Pagos[NRO DOC]=B120)*(Tabla_Pagos[IMPORTE ABONADO]&gt;0),Tabla_Pagos[FECHA DE ABONO]))</f>
        <v>45740</v>
      </c>
    </row>
    <row r="121" spans="2:15" ht="21" customHeight="1" x14ac:dyDescent="0.25">
      <c r="B121" s="39">
        <v>993</v>
      </c>
      <c r="C121" s="20">
        <v>45740</v>
      </c>
      <c r="D121" s="40" t="s">
        <v>32</v>
      </c>
      <c r="E121" s="37" t="str">
        <f>IFERROR(VLOOKUP(D121,CLIENTES!$B$12:$G$2602,2,FALSE),"")</f>
        <v>AUTOMOTRIZ NICOLAS LTDA.</v>
      </c>
      <c r="F121" s="31">
        <v>119000</v>
      </c>
      <c r="G121" s="41" t="s">
        <v>101</v>
      </c>
      <c r="H121" s="26">
        <v>30</v>
      </c>
      <c r="I121" s="21" t="str">
        <f t="shared" si="5"/>
        <v>Crédito</v>
      </c>
      <c r="J121" s="22">
        <f t="shared" si="6"/>
        <v>45770</v>
      </c>
      <c r="K121" s="27">
        <f t="shared" ca="1" si="7"/>
        <v>0</v>
      </c>
      <c r="L121" s="23" t="str">
        <f t="shared" si="8"/>
        <v>Pagado</v>
      </c>
      <c r="M121" s="36">
        <f>SUMIFS(Tabla_Pagos[IMPORTE ABONADO],Tabla_Pagos[FECHA DE ABONO],"&gt;0",Tabla_Pagos[NRO DOC],B121)</f>
        <v>119000</v>
      </c>
      <c r="N121" s="36">
        <f t="shared" si="9"/>
        <v>0</v>
      </c>
      <c r="O121" s="22" cm="1">
        <f t="array" ref="O121">MAX(IF((Tabla_Pagos[NRO DOC]=B121)*(Tabla_Pagos[IMPORTE ABONADO]&gt;0),Tabla_Pagos[FECHA DE ABONO]))</f>
        <v>45757</v>
      </c>
    </row>
    <row r="122" spans="2:15" ht="21" customHeight="1" x14ac:dyDescent="0.25">
      <c r="B122" s="39">
        <v>994</v>
      </c>
      <c r="C122" s="20">
        <v>45740</v>
      </c>
      <c r="D122" s="40" t="s">
        <v>198</v>
      </c>
      <c r="E122" s="37" t="str">
        <f>IFERROR(VLOOKUP(D122,CLIENTES!$B$12:$G$2602,2,FALSE),"")</f>
        <v>INVERSIONES RÃO BIO BIO SPA</v>
      </c>
      <c r="F122" s="31">
        <v>107100</v>
      </c>
      <c r="G122" s="41" t="s">
        <v>101</v>
      </c>
      <c r="H122" s="26">
        <v>0</v>
      </c>
      <c r="I122" s="21" t="str">
        <f t="shared" si="5"/>
        <v>Contado</v>
      </c>
      <c r="J122" s="22">
        <f t="shared" si="6"/>
        <v>45740</v>
      </c>
      <c r="K122" s="27">
        <f t="shared" ca="1" si="7"/>
        <v>0</v>
      </c>
      <c r="L122" s="23" t="str">
        <f t="shared" si="8"/>
        <v>Pagado</v>
      </c>
      <c r="M122" s="36">
        <f>SUMIFS(Tabla_Pagos[IMPORTE ABONADO],Tabla_Pagos[FECHA DE ABONO],"&gt;0",Tabla_Pagos[NRO DOC],B122)</f>
        <v>107100</v>
      </c>
      <c r="N122" s="36">
        <f t="shared" si="9"/>
        <v>0</v>
      </c>
      <c r="O122" s="22" cm="1">
        <f t="array" ref="O122">MAX(IF((Tabla_Pagos[NRO DOC]=B122)*(Tabla_Pagos[IMPORTE ABONADO]&gt;0),Tabla_Pagos[FECHA DE ABONO]))</f>
        <v>45740</v>
      </c>
    </row>
    <row r="123" spans="2:15" ht="21" customHeight="1" x14ac:dyDescent="0.25">
      <c r="B123" s="39">
        <v>995</v>
      </c>
      <c r="C123" s="20">
        <v>45741</v>
      </c>
      <c r="D123" s="40" t="s">
        <v>213</v>
      </c>
      <c r="E123" s="37" t="str">
        <f>IFERROR(VLOOKUP(D123,CLIENTES!$B$12:$G$2602,2,FALSE),"")</f>
        <v>COAX SPA</v>
      </c>
      <c r="F123" s="31">
        <v>297500</v>
      </c>
      <c r="G123" s="41" t="s">
        <v>101</v>
      </c>
      <c r="H123" s="26">
        <v>0</v>
      </c>
      <c r="I123" s="21" t="str">
        <f t="shared" si="5"/>
        <v>Contado</v>
      </c>
      <c r="J123" s="22">
        <f t="shared" si="6"/>
        <v>45741</v>
      </c>
      <c r="K123" s="27">
        <f t="shared" ca="1" si="7"/>
        <v>0</v>
      </c>
      <c r="L123" s="23" t="str">
        <f t="shared" si="8"/>
        <v>Pagado</v>
      </c>
      <c r="M123" s="36">
        <f>SUMIFS(Tabla_Pagos[IMPORTE ABONADO],Tabla_Pagos[FECHA DE ABONO],"&gt;0",Tabla_Pagos[NRO DOC],B123)</f>
        <v>297500</v>
      </c>
      <c r="N123" s="36">
        <f t="shared" si="9"/>
        <v>0</v>
      </c>
      <c r="O123" s="22" cm="1">
        <f t="array" ref="O123">MAX(IF((Tabla_Pagos[NRO DOC]=B123)*(Tabla_Pagos[IMPORTE ABONADO]&gt;0),Tabla_Pagos[FECHA DE ABONO]))</f>
        <v>45741</v>
      </c>
    </row>
    <row r="124" spans="2:15" ht="21" customHeight="1" x14ac:dyDescent="0.25">
      <c r="B124" s="39">
        <v>996</v>
      </c>
      <c r="C124" s="20">
        <v>45742</v>
      </c>
      <c r="D124" s="40" t="s">
        <v>102</v>
      </c>
      <c r="E124" s="37" t="str">
        <f>IFERROR(VLOOKUP(D124,CLIENTES!$B$12:$G$2602,2,FALSE),"")</f>
        <v>CONSTRUCTORA CARLOS ALBERTO ANDRES ALBISTUR REYES E.I.R.L.</v>
      </c>
      <c r="F124" s="31">
        <v>35700</v>
      </c>
      <c r="G124" s="41" t="s">
        <v>101</v>
      </c>
      <c r="H124" s="26">
        <v>30</v>
      </c>
      <c r="I124" s="21" t="str">
        <f t="shared" si="5"/>
        <v>Crédito</v>
      </c>
      <c r="J124" s="22">
        <f t="shared" si="6"/>
        <v>45772</v>
      </c>
      <c r="K124" s="27">
        <f t="shared" ca="1" si="7"/>
        <v>0</v>
      </c>
      <c r="L124" s="23" t="str">
        <f t="shared" si="8"/>
        <v>Pagado</v>
      </c>
      <c r="M124" s="36">
        <f>SUMIFS(Tabla_Pagos[IMPORTE ABONADO],Tabla_Pagos[FECHA DE ABONO],"&gt;0",Tabla_Pagos[NRO DOC],B124)</f>
        <v>35700</v>
      </c>
      <c r="N124" s="36">
        <f t="shared" si="9"/>
        <v>0</v>
      </c>
      <c r="O124" s="22" cm="1">
        <f t="array" ref="O124">MAX(IF((Tabla_Pagos[NRO DOC]=B124)*(Tabla_Pagos[IMPORTE ABONADO]&gt;0),Tabla_Pagos[FECHA DE ABONO]))</f>
        <v>45814</v>
      </c>
    </row>
    <row r="125" spans="2:15" ht="21" customHeight="1" x14ac:dyDescent="0.25">
      <c r="B125" s="39">
        <v>997</v>
      </c>
      <c r="C125" s="20">
        <v>45742</v>
      </c>
      <c r="D125" s="40" t="s">
        <v>102</v>
      </c>
      <c r="E125" s="37" t="str">
        <f>IFERROR(VLOOKUP(D125,CLIENTES!$B$12:$G$2602,2,FALSE),"")</f>
        <v>CONSTRUCTORA CARLOS ALBERTO ANDRES ALBISTUR REYES E.I.R.L.</v>
      </c>
      <c r="F125" s="31">
        <v>35700</v>
      </c>
      <c r="G125" s="41" t="s">
        <v>101</v>
      </c>
      <c r="H125" s="26">
        <v>30</v>
      </c>
      <c r="I125" s="21" t="str">
        <f t="shared" si="5"/>
        <v>Crédito</v>
      </c>
      <c r="J125" s="22">
        <f t="shared" si="6"/>
        <v>45772</v>
      </c>
      <c r="K125" s="27">
        <f t="shared" ca="1" si="7"/>
        <v>0</v>
      </c>
      <c r="L125" s="23" t="str">
        <f t="shared" si="8"/>
        <v>Pagado</v>
      </c>
      <c r="M125" s="36">
        <f>SUMIFS(Tabla_Pagos[IMPORTE ABONADO],Tabla_Pagos[FECHA DE ABONO],"&gt;0",Tabla_Pagos[NRO DOC],B125)</f>
        <v>35700</v>
      </c>
      <c r="N125" s="36">
        <f t="shared" si="9"/>
        <v>0</v>
      </c>
      <c r="O125" s="22" cm="1">
        <f t="array" ref="O125">MAX(IF((Tabla_Pagos[NRO DOC]=B125)*(Tabla_Pagos[IMPORTE ABONADO]&gt;0),Tabla_Pagos[FECHA DE ABONO]))</f>
        <v>45742</v>
      </c>
    </row>
    <row r="126" spans="2:15" ht="21" customHeight="1" x14ac:dyDescent="0.25">
      <c r="B126" s="39">
        <v>998</v>
      </c>
      <c r="C126" s="20">
        <v>45743</v>
      </c>
      <c r="D126" s="40" t="s">
        <v>36</v>
      </c>
      <c r="E126" s="37" t="str">
        <f>IFERROR(VLOOKUP(D126,CLIENTES!$B$12:$G$2602,2,FALSE),"")</f>
        <v>LC GROUP INTERNATIONAL SPA</v>
      </c>
      <c r="F126" s="31">
        <v>1499400</v>
      </c>
      <c r="G126" s="41" t="s">
        <v>101</v>
      </c>
      <c r="H126" s="26">
        <v>0</v>
      </c>
      <c r="I126" s="21" t="str">
        <f t="shared" si="5"/>
        <v>Contado</v>
      </c>
      <c r="J126" s="22">
        <f t="shared" si="6"/>
        <v>45743</v>
      </c>
      <c r="K126" s="27">
        <f t="shared" ca="1" si="7"/>
        <v>0</v>
      </c>
      <c r="L126" s="23" t="str">
        <f t="shared" si="8"/>
        <v>Pagado</v>
      </c>
      <c r="M126" s="36">
        <f>SUMIFS(Tabla_Pagos[IMPORTE ABONADO],Tabla_Pagos[FECHA DE ABONO],"&gt;0",Tabla_Pagos[NRO DOC],B126)</f>
        <v>1499400</v>
      </c>
      <c r="N126" s="36">
        <f t="shared" si="9"/>
        <v>0</v>
      </c>
      <c r="O126" s="22" cm="1">
        <f t="array" ref="O126">MAX(IF((Tabla_Pagos[NRO DOC]=B126)*(Tabla_Pagos[IMPORTE ABONADO]&gt;0),Tabla_Pagos[FECHA DE ABONO]))</f>
        <v>45743</v>
      </c>
    </row>
    <row r="127" spans="2:15" ht="21" customHeight="1" x14ac:dyDescent="0.25">
      <c r="B127" s="39">
        <v>999</v>
      </c>
      <c r="C127" s="20">
        <v>45744</v>
      </c>
      <c r="D127" s="40" t="s">
        <v>46</v>
      </c>
      <c r="E127" s="37" t="str">
        <f>IFERROR(VLOOKUP(D127,CLIENTES!$B$12:$G$2602,2,FALSE),"")</f>
        <v>ANGEL CUSTODIO CONCHA SANCHEZ</v>
      </c>
      <c r="F127" s="31">
        <v>20000</v>
      </c>
      <c r="G127" s="41" t="s">
        <v>101</v>
      </c>
      <c r="H127" s="26">
        <v>0</v>
      </c>
      <c r="I127" s="21" t="str">
        <f t="shared" si="5"/>
        <v>Contado</v>
      </c>
      <c r="J127" s="22">
        <f t="shared" si="6"/>
        <v>45744</v>
      </c>
      <c r="K127" s="27">
        <f t="shared" ca="1" si="7"/>
        <v>0</v>
      </c>
      <c r="L127" s="23" t="str">
        <f t="shared" si="8"/>
        <v>Pagado</v>
      </c>
      <c r="M127" s="36">
        <f>SUMIFS(Tabla_Pagos[IMPORTE ABONADO],Tabla_Pagos[FECHA DE ABONO],"&gt;0",Tabla_Pagos[NRO DOC],B127)</f>
        <v>20000</v>
      </c>
      <c r="N127" s="36">
        <f t="shared" si="9"/>
        <v>0</v>
      </c>
      <c r="O127" s="22" cm="1">
        <f t="array" ref="O127">MAX(IF((Tabla_Pagos[NRO DOC]=B127)*(Tabla_Pagos[IMPORTE ABONADO]&gt;0),Tabla_Pagos[FECHA DE ABONO]))</f>
        <v>45744</v>
      </c>
    </row>
    <row r="128" spans="2:15" ht="21" customHeight="1" x14ac:dyDescent="0.25">
      <c r="B128" s="39">
        <v>1000</v>
      </c>
      <c r="C128" s="20">
        <v>45745</v>
      </c>
      <c r="D128" s="40" t="s">
        <v>214</v>
      </c>
      <c r="E128" s="37" t="str">
        <f>IFERROR(VLOOKUP(D128,CLIENTES!$B$12:$G$2602,2,FALSE),"")</f>
        <v>NORTENERGY SOCIEDAD POR ACCIONES SPA</v>
      </c>
      <c r="F128" s="31">
        <v>20000</v>
      </c>
      <c r="G128" s="41" t="s">
        <v>101</v>
      </c>
      <c r="H128" s="26">
        <v>0</v>
      </c>
      <c r="I128" s="21" t="str">
        <f t="shared" si="5"/>
        <v>Contado</v>
      </c>
      <c r="J128" s="22">
        <f t="shared" si="6"/>
        <v>45745</v>
      </c>
      <c r="K128" s="27">
        <f t="shared" ca="1" si="7"/>
        <v>0</v>
      </c>
      <c r="L128" s="23" t="str">
        <f t="shared" si="8"/>
        <v>Pagado</v>
      </c>
      <c r="M128" s="36">
        <f>SUMIFS(Tabla_Pagos[IMPORTE ABONADO],Tabla_Pagos[FECHA DE ABONO],"&gt;0",Tabla_Pagos[NRO DOC],B128)</f>
        <v>20000</v>
      </c>
      <c r="N128" s="36">
        <f t="shared" si="9"/>
        <v>0</v>
      </c>
      <c r="O128" s="22" cm="1">
        <f t="array" ref="O128">MAX(IF((Tabla_Pagos[NRO DOC]=B128)*(Tabla_Pagos[IMPORTE ABONADO]&gt;0),Tabla_Pagos[FECHA DE ABONO]))</f>
        <v>45745</v>
      </c>
    </row>
    <row r="129" spans="2:15" ht="21" customHeight="1" x14ac:dyDescent="0.25">
      <c r="B129" s="39">
        <v>1002</v>
      </c>
      <c r="C129" s="20">
        <v>45748</v>
      </c>
      <c r="D129" s="40" t="s">
        <v>31</v>
      </c>
      <c r="E129" s="37" t="str">
        <f>IFERROR(VLOOKUP(D129,CLIENTES!$B$12:$G$2602,2,FALSE),"")</f>
        <v>KAUFMANN SA VEHICULOS MOTORIZADOS</v>
      </c>
      <c r="F129" s="31">
        <v>214200</v>
      </c>
      <c r="G129" s="41" t="s">
        <v>101</v>
      </c>
      <c r="H129" s="26">
        <v>30</v>
      </c>
      <c r="I129" s="21" t="str">
        <f t="shared" si="5"/>
        <v>Crédito</v>
      </c>
      <c r="J129" s="22">
        <f t="shared" si="6"/>
        <v>45778</v>
      </c>
      <c r="K129" s="27">
        <f t="shared" ca="1" si="7"/>
        <v>0</v>
      </c>
      <c r="L129" s="23" t="str">
        <f t="shared" si="8"/>
        <v>Pagado</v>
      </c>
      <c r="M129" s="36">
        <f>SUMIFS(Tabla_Pagos[IMPORTE ABONADO],Tabla_Pagos[FECHA DE ABONO],"&gt;0",Tabla_Pagos[NRO DOC],B129)</f>
        <v>214200</v>
      </c>
      <c r="N129" s="36">
        <f t="shared" si="9"/>
        <v>0</v>
      </c>
      <c r="O129" s="22" cm="1">
        <f t="array" ref="O129">MAX(IF((Tabla_Pagos[NRO DOC]=B129)*(Tabla_Pagos[IMPORTE ABONADO]&gt;0),Tabla_Pagos[FECHA DE ABONO]))</f>
        <v>45779</v>
      </c>
    </row>
    <row r="130" spans="2:15" ht="21" customHeight="1" x14ac:dyDescent="0.25">
      <c r="B130" s="39">
        <v>1004</v>
      </c>
      <c r="C130" s="20">
        <v>45749</v>
      </c>
      <c r="D130" s="40" t="s">
        <v>32</v>
      </c>
      <c r="E130" s="37" t="str">
        <f>IFERROR(VLOOKUP(D130,CLIENTES!$B$12:$G$2602,2,FALSE),"")</f>
        <v>AUTOMOTRIZ NICOLAS LTDA.</v>
      </c>
      <c r="F130" s="31">
        <v>119000</v>
      </c>
      <c r="G130" s="41" t="s">
        <v>101</v>
      </c>
      <c r="H130" s="26">
        <v>30</v>
      </c>
      <c r="I130" s="21" t="str">
        <f t="shared" si="5"/>
        <v>Crédito</v>
      </c>
      <c r="J130" s="22">
        <f t="shared" si="6"/>
        <v>45779</v>
      </c>
      <c r="K130" s="27">
        <f t="shared" ca="1" si="7"/>
        <v>0</v>
      </c>
      <c r="L130" s="23" t="str">
        <f t="shared" si="8"/>
        <v>Pagado</v>
      </c>
      <c r="M130" s="36">
        <f>SUMIFS(Tabla_Pagos[IMPORTE ABONADO],Tabla_Pagos[FECHA DE ABONO],"&gt;0",Tabla_Pagos[NRO DOC],B130)</f>
        <v>119000</v>
      </c>
      <c r="N130" s="36">
        <f t="shared" si="9"/>
        <v>0</v>
      </c>
      <c r="O130" s="22" cm="1">
        <f t="array" ref="O130">MAX(IF((Tabla_Pagos[NRO DOC]=B130)*(Tabla_Pagos[IMPORTE ABONADO]&gt;0),Tabla_Pagos[FECHA DE ABONO]))</f>
        <v>45771</v>
      </c>
    </row>
    <row r="131" spans="2:15" ht="21" customHeight="1" x14ac:dyDescent="0.25">
      <c r="B131" s="39">
        <v>1005</v>
      </c>
      <c r="C131" s="20">
        <v>45749</v>
      </c>
      <c r="D131" s="40" t="s">
        <v>33</v>
      </c>
      <c r="E131" s="37" t="str">
        <f>IFERROR(VLOOKUP(D131,CLIENTES!$B$12:$G$2602,2,FALSE),"")</f>
        <v>JOYERIA Y RELOJERIA KARIME DAU SPA</v>
      </c>
      <c r="F131" s="31">
        <v>535500</v>
      </c>
      <c r="G131" s="41" t="s">
        <v>101</v>
      </c>
      <c r="H131" s="26">
        <v>0</v>
      </c>
      <c r="I131" s="21" t="str">
        <f t="shared" si="5"/>
        <v>Contado</v>
      </c>
      <c r="J131" s="22">
        <f t="shared" si="6"/>
        <v>45749</v>
      </c>
      <c r="K131" s="27">
        <f t="shared" ca="1" si="7"/>
        <v>0</v>
      </c>
      <c r="L131" s="23" t="str">
        <f t="shared" si="8"/>
        <v>Pagado</v>
      </c>
      <c r="M131" s="36">
        <f>SUMIFS(Tabla_Pagos[IMPORTE ABONADO],Tabla_Pagos[FECHA DE ABONO],"&gt;0",Tabla_Pagos[NRO DOC],B131)</f>
        <v>535500</v>
      </c>
      <c r="N131" s="36">
        <f t="shared" si="9"/>
        <v>0</v>
      </c>
      <c r="O131" s="22" cm="1">
        <f t="array" ref="O131">MAX(IF((Tabla_Pagos[NRO DOC]=B131)*(Tabla_Pagos[IMPORTE ABONADO]&gt;0),Tabla_Pagos[FECHA DE ABONO]))</f>
        <v>45749</v>
      </c>
    </row>
    <row r="132" spans="2:15" ht="21" customHeight="1" x14ac:dyDescent="0.25">
      <c r="B132" s="39">
        <v>1008</v>
      </c>
      <c r="C132" s="20">
        <v>45749</v>
      </c>
      <c r="D132" s="40" t="s">
        <v>34</v>
      </c>
      <c r="E132" s="37" t="str">
        <f>IFERROR(VLOOKUP(D132,CLIENTES!$B$12:$G$2602,2,FALSE),"")</f>
        <v>SERVICIOS INDUSTRIALES WARNER SPA</v>
      </c>
      <c r="F132" s="31">
        <v>1666000</v>
      </c>
      <c r="G132" s="41" t="s">
        <v>134</v>
      </c>
      <c r="H132" s="26">
        <v>30</v>
      </c>
      <c r="I132" s="21" t="str">
        <f t="shared" si="5"/>
        <v>Crédito</v>
      </c>
      <c r="J132" s="22">
        <f t="shared" si="6"/>
        <v>45779</v>
      </c>
      <c r="K132" s="27">
        <f t="shared" ca="1" si="7"/>
        <v>0</v>
      </c>
      <c r="L132" s="23" t="str">
        <f t="shared" si="8"/>
        <v>Pagado</v>
      </c>
      <c r="M132" s="36">
        <f>SUMIFS(Tabla_Pagos[IMPORTE ABONADO],Tabla_Pagos[FECHA DE ABONO],"&gt;0",Tabla_Pagos[NRO DOC],B132)</f>
        <v>1666000</v>
      </c>
      <c r="N132" s="36">
        <f t="shared" si="9"/>
        <v>0</v>
      </c>
      <c r="O132" s="22" cm="1">
        <f t="array" ref="O132">MAX(IF((Tabla_Pagos[NRO DOC]=B132)*(Tabla_Pagos[IMPORTE ABONADO]&gt;0),Tabla_Pagos[FECHA DE ABONO]))</f>
        <v>45778</v>
      </c>
    </row>
    <row r="133" spans="2:15" ht="21" customHeight="1" x14ac:dyDescent="0.25">
      <c r="B133" s="39">
        <v>1009</v>
      </c>
      <c r="C133" s="20">
        <v>45749</v>
      </c>
      <c r="D133" s="40" t="s">
        <v>35</v>
      </c>
      <c r="E133" s="37" t="str">
        <f>IFERROR(VLOOKUP(D133,CLIENTES!$B$12:$G$2602,2,FALSE),"")</f>
        <v>SERVICIOS INTEGRALES LA RIVERA SPA</v>
      </c>
      <c r="F133" s="31">
        <v>476000</v>
      </c>
      <c r="G133" s="41" t="s">
        <v>101</v>
      </c>
      <c r="H133" s="26">
        <v>0</v>
      </c>
      <c r="I133" s="21" t="str">
        <f t="shared" si="5"/>
        <v>Contado</v>
      </c>
      <c r="J133" s="22">
        <f t="shared" si="6"/>
        <v>45749</v>
      </c>
      <c r="K133" s="27">
        <f t="shared" ca="1" si="7"/>
        <v>0</v>
      </c>
      <c r="L133" s="23" t="str">
        <f t="shared" si="8"/>
        <v>Pagado</v>
      </c>
      <c r="M133" s="36">
        <f>SUMIFS(Tabla_Pagos[IMPORTE ABONADO],Tabla_Pagos[FECHA DE ABONO],"&gt;0",Tabla_Pagos[NRO DOC],B133)</f>
        <v>476000</v>
      </c>
      <c r="N133" s="36">
        <f t="shared" si="9"/>
        <v>0</v>
      </c>
      <c r="O133" s="22" cm="1">
        <f t="array" ref="O133">MAX(IF((Tabla_Pagos[NRO DOC]=B133)*(Tabla_Pagos[IMPORTE ABONADO]&gt;0),Tabla_Pagos[FECHA DE ABONO]))</f>
        <v>45749</v>
      </c>
    </row>
    <row r="134" spans="2:15" ht="21" customHeight="1" x14ac:dyDescent="0.25">
      <c r="B134" s="39">
        <v>1010</v>
      </c>
      <c r="C134" s="20">
        <v>45750</v>
      </c>
      <c r="D134" s="40" t="s">
        <v>36</v>
      </c>
      <c r="E134" s="37" t="str">
        <f>IFERROR(VLOOKUP(D134,CLIENTES!$B$12:$G$2602,2,FALSE),"")</f>
        <v>LC GROUP INTERNATIONAL SPA</v>
      </c>
      <c r="F134" s="31">
        <v>1332800</v>
      </c>
      <c r="G134" s="41" t="s">
        <v>101</v>
      </c>
      <c r="H134" s="26">
        <v>0</v>
      </c>
      <c r="I134" s="21" t="str">
        <f t="shared" si="5"/>
        <v>Contado</v>
      </c>
      <c r="J134" s="22">
        <f t="shared" si="6"/>
        <v>45750</v>
      </c>
      <c r="K134" s="27">
        <f t="shared" ca="1" si="7"/>
        <v>0</v>
      </c>
      <c r="L134" s="23" t="str">
        <f t="shared" si="8"/>
        <v>Pagado</v>
      </c>
      <c r="M134" s="36">
        <f>SUMIFS(Tabla_Pagos[IMPORTE ABONADO],Tabla_Pagos[FECHA DE ABONO],"&gt;0",Tabla_Pagos[NRO DOC],B134)</f>
        <v>1332800</v>
      </c>
      <c r="N134" s="36">
        <f t="shared" si="9"/>
        <v>0</v>
      </c>
      <c r="O134" s="22" cm="1">
        <f t="array" ref="O134">MAX(IF((Tabla_Pagos[NRO DOC]=B134)*(Tabla_Pagos[IMPORTE ABONADO]&gt;0),Tabla_Pagos[FECHA DE ABONO]))</f>
        <v>45750</v>
      </c>
    </row>
    <row r="135" spans="2:15" ht="21" customHeight="1" x14ac:dyDescent="0.25">
      <c r="B135" s="39">
        <v>1011</v>
      </c>
      <c r="C135" s="20">
        <v>45750</v>
      </c>
      <c r="D135" s="40" t="s">
        <v>37</v>
      </c>
      <c r="E135" s="37" t="str">
        <f>IFERROR(VLOOKUP(D135,CLIENTES!$B$12:$G$2602,2,FALSE),"")</f>
        <v>AILUV SPA</v>
      </c>
      <c r="F135" s="31">
        <v>368900</v>
      </c>
      <c r="G135" s="41" t="s">
        <v>101</v>
      </c>
      <c r="H135" s="26">
        <v>0</v>
      </c>
      <c r="I135" s="21" t="str">
        <f t="shared" si="5"/>
        <v>Contado</v>
      </c>
      <c r="J135" s="22">
        <f t="shared" si="6"/>
        <v>45750</v>
      </c>
      <c r="K135" s="27">
        <f t="shared" ca="1" si="7"/>
        <v>0</v>
      </c>
      <c r="L135" s="23" t="str">
        <f t="shared" si="8"/>
        <v>Pagado</v>
      </c>
      <c r="M135" s="36">
        <f>SUMIFS(Tabla_Pagos[IMPORTE ABONADO],Tabla_Pagos[FECHA DE ABONO],"&gt;0",Tabla_Pagos[NRO DOC],B135)</f>
        <v>368900</v>
      </c>
      <c r="N135" s="36">
        <f t="shared" si="9"/>
        <v>0</v>
      </c>
      <c r="O135" s="22" cm="1">
        <f t="array" ref="O135">MAX(IF((Tabla_Pagos[NRO DOC]=B135)*(Tabla_Pagos[IMPORTE ABONADO]&gt;0),Tabla_Pagos[FECHA DE ABONO]))</f>
        <v>45750</v>
      </c>
    </row>
    <row r="136" spans="2:15" ht="21" customHeight="1" x14ac:dyDescent="0.25">
      <c r="B136" s="39">
        <v>1012</v>
      </c>
      <c r="C136" s="20">
        <v>45750</v>
      </c>
      <c r="D136" s="40" t="s">
        <v>38</v>
      </c>
      <c r="E136" s="37" t="str">
        <f>IFERROR(VLOOKUP(D136,CLIENTES!$B$12:$G$2602,2,FALSE),"")</f>
        <v>CROSAN SPA</v>
      </c>
      <c r="F136" s="31">
        <v>2280040</v>
      </c>
      <c r="G136" s="41" t="s">
        <v>101</v>
      </c>
      <c r="H136" s="26">
        <v>30</v>
      </c>
      <c r="I136" s="21" t="str">
        <f t="shared" si="5"/>
        <v>Crédito</v>
      </c>
      <c r="J136" s="22">
        <f t="shared" si="6"/>
        <v>45780</v>
      </c>
      <c r="K136" s="27">
        <f t="shared" ca="1" si="7"/>
        <v>0</v>
      </c>
      <c r="L136" s="23" t="str">
        <f t="shared" si="8"/>
        <v>Pagado</v>
      </c>
      <c r="M136" s="36">
        <f>SUMIFS(Tabla_Pagos[IMPORTE ABONADO],Tabla_Pagos[FECHA DE ABONO],"&gt;0",Tabla_Pagos[NRO DOC],B136)</f>
        <v>2280040</v>
      </c>
      <c r="N136" s="36">
        <f t="shared" si="9"/>
        <v>0</v>
      </c>
      <c r="O136" s="22" cm="1">
        <f t="array" ref="O136">MAX(IF((Tabla_Pagos[NRO DOC]=B136)*(Tabla_Pagos[IMPORTE ABONADO]&gt;0),Tabla_Pagos[FECHA DE ABONO]))</f>
        <v>45777</v>
      </c>
    </row>
    <row r="137" spans="2:15" ht="21" customHeight="1" x14ac:dyDescent="0.25">
      <c r="B137" s="39">
        <v>1014</v>
      </c>
      <c r="C137" s="20">
        <v>45751</v>
      </c>
      <c r="D137" s="40" t="s">
        <v>39</v>
      </c>
      <c r="E137" s="37" t="str">
        <f>IFERROR(VLOOKUP(D137,CLIENTES!$B$12:$G$2602,2,FALSE),"")</f>
        <v>PALMON SPA</v>
      </c>
      <c r="F137" s="31">
        <v>749700</v>
      </c>
      <c r="G137" s="41" t="s">
        <v>101</v>
      </c>
      <c r="H137" s="26">
        <v>0</v>
      </c>
      <c r="I137" s="21" t="str">
        <f t="shared" si="5"/>
        <v>Contado</v>
      </c>
      <c r="J137" s="22">
        <f t="shared" si="6"/>
        <v>45751</v>
      </c>
      <c r="K137" s="27">
        <f t="shared" ca="1" si="7"/>
        <v>0</v>
      </c>
      <c r="L137" s="23" t="str">
        <f t="shared" si="8"/>
        <v>Pagado</v>
      </c>
      <c r="M137" s="36">
        <f>SUMIFS(Tabla_Pagos[IMPORTE ABONADO],Tabla_Pagos[FECHA DE ABONO],"&gt;0",Tabla_Pagos[NRO DOC],B137)</f>
        <v>749700</v>
      </c>
      <c r="N137" s="36">
        <f t="shared" si="9"/>
        <v>0</v>
      </c>
      <c r="O137" s="22" cm="1">
        <f t="array" ref="O137">MAX(IF((Tabla_Pagos[NRO DOC]=B137)*(Tabla_Pagos[IMPORTE ABONADO]&gt;0),Tabla_Pagos[FECHA DE ABONO]))</f>
        <v>45751</v>
      </c>
    </row>
    <row r="138" spans="2:15" ht="21" customHeight="1" x14ac:dyDescent="0.25">
      <c r="B138" s="39">
        <v>1015</v>
      </c>
      <c r="C138" s="20">
        <v>45751</v>
      </c>
      <c r="D138" s="40" t="s">
        <v>40</v>
      </c>
      <c r="E138" s="37" t="str">
        <f>IFERROR(VLOOKUP(D138,CLIENTES!$B$12:$G$2602,2,FALSE),"")</f>
        <v>INGENIERIA Y SERVICIOS TERRACOP SPA</v>
      </c>
      <c r="F138" s="31">
        <v>238000</v>
      </c>
      <c r="G138" s="41" t="s">
        <v>101</v>
      </c>
      <c r="H138" s="26">
        <v>30</v>
      </c>
      <c r="I138" s="21" t="str">
        <f t="shared" si="5"/>
        <v>Crédito</v>
      </c>
      <c r="J138" s="22">
        <f t="shared" si="6"/>
        <v>45781</v>
      </c>
      <c r="K138" s="27">
        <f t="shared" ca="1" si="7"/>
        <v>0</v>
      </c>
      <c r="L138" s="23" t="str">
        <f t="shared" si="8"/>
        <v>Pagado</v>
      </c>
      <c r="M138" s="36">
        <f>SUMIFS(Tabla_Pagos[IMPORTE ABONADO],Tabla_Pagos[FECHA DE ABONO],"&gt;0",Tabla_Pagos[NRO DOC],B138)</f>
        <v>238000</v>
      </c>
      <c r="N138" s="36">
        <f t="shared" si="9"/>
        <v>0</v>
      </c>
      <c r="O138" s="22" cm="1">
        <f t="array" ref="O138">MAX(IF((Tabla_Pagos[NRO DOC]=B138)*(Tabla_Pagos[IMPORTE ABONADO]&gt;0),Tabla_Pagos[FECHA DE ABONO]))</f>
        <v>45778</v>
      </c>
    </row>
    <row r="139" spans="2:15" ht="21" customHeight="1" x14ac:dyDescent="0.25">
      <c r="B139" s="39">
        <v>1016</v>
      </c>
      <c r="C139" s="20">
        <v>45752</v>
      </c>
      <c r="D139" s="40" t="s">
        <v>41</v>
      </c>
      <c r="E139" s="37" t="str">
        <f>IFERROR(VLOOKUP(D139,CLIENTES!$B$12:$G$2602,2,FALSE),"")</f>
        <v>TRANSPORTE DOBLE C SPA</v>
      </c>
      <c r="F139" s="31">
        <v>145180</v>
      </c>
      <c r="G139" s="41" t="s">
        <v>101</v>
      </c>
      <c r="H139" s="26">
        <v>0</v>
      </c>
      <c r="I139" s="21" t="str">
        <f t="shared" si="5"/>
        <v>Contado</v>
      </c>
      <c r="J139" s="22">
        <f t="shared" si="6"/>
        <v>45752</v>
      </c>
      <c r="K139" s="27">
        <f t="shared" ca="1" si="7"/>
        <v>0</v>
      </c>
      <c r="L139" s="23" t="str">
        <f t="shared" si="8"/>
        <v>Pagado</v>
      </c>
      <c r="M139" s="36">
        <f>SUMIFS(Tabla_Pagos[IMPORTE ABONADO],Tabla_Pagos[FECHA DE ABONO],"&gt;0",Tabla_Pagos[NRO DOC],B139)</f>
        <v>145180</v>
      </c>
      <c r="N139" s="36">
        <f t="shared" si="9"/>
        <v>0</v>
      </c>
      <c r="O139" s="22" cm="1">
        <f t="array" ref="O139">MAX(IF((Tabla_Pagos[NRO DOC]=B139)*(Tabla_Pagos[IMPORTE ABONADO]&gt;0),Tabla_Pagos[FECHA DE ABONO]))</f>
        <v>45752</v>
      </c>
    </row>
    <row r="140" spans="2:15" ht="21" customHeight="1" x14ac:dyDescent="0.25">
      <c r="B140" s="39">
        <v>1018</v>
      </c>
      <c r="C140" s="20">
        <v>45754</v>
      </c>
      <c r="D140" s="40" t="s">
        <v>24</v>
      </c>
      <c r="E140" s="37" t="str">
        <f>IFERROR(VLOOKUP(D140,CLIENTES!$B$12:$G$2602,2,FALSE),"")</f>
        <v>WILSON ELEODORO MERINO ROJAS</v>
      </c>
      <c r="F140" s="31">
        <v>39999</v>
      </c>
      <c r="G140" s="41" t="s">
        <v>101</v>
      </c>
      <c r="H140" s="26">
        <v>0</v>
      </c>
      <c r="I140" s="21" t="str">
        <f t="shared" ref="I140:I203" si="10">IF(H140="","",IF(H140=0,"Contado","Crédito"))</f>
        <v>Contado</v>
      </c>
      <c r="J140" s="22">
        <f t="shared" ref="J140:J203" si="11">IF(I140="","",C140+H140)</f>
        <v>45754</v>
      </c>
      <c r="K140" s="27">
        <f t="shared" ref="K140:K203" ca="1" si="12">IFERROR(IF(B140="","",IF(N140=0,0,J140-TODAY())),"")</f>
        <v>0</v>
      </c>
      <c r="L140" s="23" t="str">
        <f t="shared" ref="L140:L203" si="13">IF(I140="","",IF(N140=0,"Pagado",IF(K140&lt;0,"Vencido","No vencido")))</f>
        <v>Pagado</v>
      </c>
      <c r="M140" s="36">
        <f>SUMIFS(Tabla_Pagos[IMPORTE ABONADO],Tabla_Pagos[FECHA DE ABONO],"&gt;0",Tabla_Pagos[NRO DOC],B140)</f>
        <v>39999</v>
      </c>
      <c r="N140" s="36">
        <f t="shared" ref="N140:N203" si="14">F140-M140</f>
        <v>0</v>
      </c>
      <c r="O140" s="22" cm="1">
        <f t="array" ref="O140">MAX(IF((Tabla_Pagos[NRO DOC]=B140)*(Tabla_Pagos[IMPORTE ABONADO]&gt;0),Tabla_Pagos[FECHA DE ABONO]))</f>
        <v>45754</v>
      </c>
    </row>
    <row r="141" spans="2:15" ht="21" customHeight="1" x14ac:dyDescent="0.25">
      <c r="B141" s="39">
        <v>1019</v>
      </c>
      <c r="C141" s="20">
        <v>45755</v>
      </c>
      <c r="D141" s="40" t="s">
        <v>42</v>
      </c>
      <c r="E141" s="37" t="str">
        <f>IFERROR(VLOOKUP(D141,CLIENTES!$B$12:$G$2602,2,FALSE),"")</f>
        <v>CONSTRUCTORA ROJAS Y FIERRO FERSMETAL LIMITADA</v>
      </c>
      <c r="F141" s="31">
        <v>71400</v>
      </c>
      <c r="G141" s="41" t="s">
        <v>101</v>
      </c>
      <c r="H141" s="26">
        <v>0</v>
      </c>
      <c r="I141" s="21" t="str">
        <f t="shared" si="10"/>
        <v>Contado</v>
      </c>
      <c r="J141" s="22">
        <f t="shared" si="11"/>
        <v>45755</v>
      </c>
      <c r="K141" s="27">
        <f t="shared" ca="1" si="12"/>
        <v>0</v>
      </c>
      <c r="L141" s="23" t="str">
        <f t="shared" si="13"/>
        <v>Pagado</v>
      </c>
      <c r="M141" s="36">
        <f>SUMIFS(Tabla_Pagos[IMPORTE ABONADO],Tabla_Pagos[FECHA DE ABONO],"&gt;0",Tabla_Pagos[NRO DOC],B141)</f>
        <v>71400</v>
      </c>
      <c r="N141" s="36">
        <f t="shared" si="14"/>
        <v>0</v>
      </c>
      <c r="O141" s="22" cm="1">
        <f t="array" ref="O141">MAX(IF((Tabla_Pagos[NRO DOC]=B141)*(Tabla_Pagos[IMPORTE ABONADO]&gt;0),Tabla_Pagos[FECHA DE ABONO]))</f>
        <v>45755</v>
      </c>
    </row>
    <row r="142" spans="2:15" ht="21" customHeight="1" x14ac:dyDescent="0.25">
      <c r="B142" s="39">
        <v>1020</v>
      </c>
      <c r="C142" s="20">
        <v>45756</v>
      </c>
      <c r="D142" s="40" t="s">
        <v>43</v>
      </c>
      <c r="E142" s="37" t="str">
        <f>IFERROR(VLOOKUP(D142,CLIENTES!$B$12:$G$2602,2,FALSE),"")</f>
        <v>SERVICIOS DE INGENIERIA Y MAESTRANZA SPA</v>
      </c>
      <c r="F142" s="31">
        <v>214200</v>
      </c>
      <c r="G142" s="41" t="s">
        <v>101</v>
      </c>
      <c r="H142" s="26">
        <v>30</v>
      </c>
      <c r="I142" s="21" t="str">
        <f t="shared" si="10"/>
        <v>Crédito</v>
      </c>
      <c r="J142" s="22">
        <f t="shared" si="11"/>
        <v>45786</v>
      </c>
      <c r="K142" s="27">
        <f t="shared" ca="1" si="12"/>
        <v>0</v>
      </c>
      <c r="L142" s="23" t="str">
        <f t="shared" si="13"/>
        <v>Pagado</v>
      </c>
      <c r="M142" s="36">
        <f>SUMIFS(Tabla_Pagos[IMPORTE ABONADO],Tabla_Pagos[FECHA DE ABONO],"&gt;0",Tabla_Pagos[NRO DOC],B142)</f>
        <v>214200</v>
      </c>
      <c r="N142" s="36">
        <f t="shared" si="14"/>
        <v>0</v>
      </c>
      <c r="O142" s="22" cm="1">
        <f t="array" ref="O142">MAX(IF((Tabla_Pagos[NRO DOC]=B142)*(Tabla_Pagos[IMPORTE ABONADO]&gt;0),Tabla_Pagos[FECHA DE ABONO]))</f>
        <v>45757</v>
      </c>
    </row>
    <row r="143" spans="2:15" ht="21" customHeight="1" x14ac:dyDescent="0.25">
      <c r="B143" s="39">
        <v>1022</v>
      </c>
      <c r="C143" s="20">
        <v>45756</v>
      </c>
      <c r="D143" s="40" t="s">
        <v>44</v>
      </c>
      <c r="E143" s="37" t="str">
        <f>IFERROR(VLOOKUP(D143,CLIENTES!$B$12:$G$2602,2,FALSE),"")</f>
        <v>SKC RED SPA</v>
      </c>
      <c r="F143" s="31">
        <v>345100</v>
      </c>
      <c r="G143" s="41" t="s">
        <v>101</v>
      </c>
      <c r="H143" s="26">
        <v>30</v>
      </c>
      <c r="I143" s="21" t="str">
        <f t="shared" si="10"/>
        <v>Crédito</v>
      </c>
      <c r="J143" s="22">
        <f t="shared" si="11"/>
        <v>45786</v>
      </c>
      <c r="K143" s="27">
        <f t="shared" ca="1" si="12"/>
        <v>0</v>
      </c>
      <c r="L143" s="23" t="str">
        <f t="shared" si="13"/>
        <v>Pagado</v>
      </c>
      <c r="M143" s="36">
        <f>SUMIFS(Tabla_Pagos[IMPORTE ABONADO],Tabla_Pagos[FECHA DE ABONO],"&gt;0",Tabla_Pagos[NRO DOC],B143)</f>
        <v>345100</v>
      </c>
      <c r="N143" s="36">
        <f t="shared" si="14"/>
        <v>0</v>
      </c>
      <c r="O143" s="22" cm="1">
        <f t="array" ref="O143">MAX(IF((Tabla_Pagos[NRO DOC]=B143)*(Tabla_Pagos[IMPORTE ABONADO]&gt;0),Tabla_Pagos[FECHA DE ABONO]))</f>
        <v>45786</v>
      </c>
    </row>
    <row r="144" spans="2:15" ht="21" customHeight="1" x14ac:dyDescent="0.25">
      <c r="B144" s="39">
        <v>1023</v>
      </c>
      <c r="C144" s="20">
        <v>45756</v>
      </c>
      <c r="D144" s="40" t="s">
        <v>45</v>
      </c>
      <c r="E144" s="37" t="str">
        <f>IFERROR(VLOOKUP(D144,CLIENTES!$B$12:$G$2602,2,FALSE),"")</f>
        <v>INGEGROUP INGENIERIA  SPA</v>
      </c>
      <c r="F144" s="31">
        <v>29750</v>
      </c>
      <c r="G144" s="41" t="s">
        <v>101</v>
      </c>
      <c r="H144" s="26">
        <v>0</v>
      </c>
      <c r="I144" s="21" t="str">
        <f t="shared" si="10"/>
        <v>Contado</v>
      </c>
      <c r="J144" s="22">
        <f t="shared" si="11"/>
        <v>45756</v>
      </c>
      <c r="K144" s="27">
        <f t="shared" ca="1" si="12"/>
        <v>0</v>
      </c>
      <c r="L144" s="23" t="str">
        <f t="shared" si="13"/>
        <v>Pagado</v>
      </c>
      <c r="M144" s="36">
        <f>SUMIFS(Tabla_Pagos[IMPORTE ABONADO],Tabla_Pagos[FECHA DE ABONO],"&gt;0",Tabla_Pagos[NRO DOC],B144)</f>
        <v>29750</v>
      </c>
      <c r="N144" s="36">
        <f t="shared" si="14"/>
        <v>0</v>
      </c>
      <c r="O144" s="22" cm="1">
        <f t="array" ref="O144">MAX(IF((Tabla_Pagos[NRO DOC]=B144)*(Tabla_Pagos[IMPORTE ABONADO]&gt;0),Tabla_Pagos[FECHA DE ABONO]))</f>
        <v>45756</v>
      </c>
    </row>
    <row r="145" spans="2:15" ht="21" customHeight="1" x14ac:dyDescent="0.25">
      <c r="B145" s="39">
        <v>1024</v>
      </c>
      <c r="C145" s="20">
        <v>45757</v>
      </c>
      <c r="D145" s="40" t="s">
        <v>44</v>
      </c>
      <c r="E145" s="37" t="str">
        <f>IFERROR(VLOOKUP(D145,CLIENTES!$B$12:$G$2602,2,FALSE),"")</f>
        <v>SKC RED SPA</v>
      </c>
      <c r="F145" s="31">
        <v>345100</v>
      </c>
      <c r="G145" s="41" t="s">
        <v>101</v>
      </c>
      <c r="H145" s="26">
        <v>30</v>
      </c>
      <c r="I145" s="21" t="str">
        <f t="shared" si="10"/>
        <v>Crédito</v>
      </c>
      <c r="J145" s="22">
        <f t="shared" si="11"/>
        <v>45787</v>
      </c>
      <c r="K145" s="27">
        <f t="shared" ca="1" si="12"/>
        <v>0</v>
      </c>
      <c r="L145" s="23" t="str">
        <f t="shared" si="13"/>
        <v>Pagado</v>
      </c>
      <c r="M145" s="36">
        <f>SUMIFS(Tabla_Pagos[IMPORTE ABONADO],Tabla_Pagos[FECHA DE ABONO],"&gt;0",Tabla_Pagos[NRO DOC],B145)</f>
        <v>345100</v>
      </c>
      <c r="N145" s="36">
        <f t="shared" si="14"/>
        <v>0</v>
      </c>
      <c r="O145" s="22" cm="1">
        <f t="array" ref="O145">MAX(IF((Tabla_Pagos[NRO DOC]=B145)*(Tabla_Pagos[IMPORTE ABONADO]&gt;0),Tabla_Pagos[FECHA DE ABONO]))</f>
        <v>45812</v>
      </c>
    </row>
    <row r="146" spans="2:15" ht="21" customHeight="1" x14ac:dyDescent="0.25">
      <c r="B146" s="39">
        <v>1025</v>
      </c>
      <c r="C146" s="20">
        <v>45757</v>
      </c>
      <c r="D146" s="40" t="s">
        <v>44</v>
      </c>
      <c r="E146" s="37" t="str">
        <f>IFERROR(VLOOKUP(D146,CLIENTES!$B$12:$G$2602,2,FALSE),"")</f>
        <v>SKC RED SPA</v>
      </c>
      <c r="F146" s="31">
        <v>345100</v>
      </c>
      <c r="G146" s="41" t="s">
        <v>101</v>
      </c>
      <c r="H146" s="26">
        <v>30</v>
      </c>
      <c r="I146" s="21" t="str">
        <f t="shared" si="10"/>
        <v>Crédito</v>
      </c>
      <c r="J146" s="22">
        <f t="shared" si="11"/>
        <v>45787</v>
      </c>
      <c r="K146" s="27">
        <f t="shared" ca="1" si="12"/>
        <v>0</v>
      </c>
      <c r="L146" s="23" t="str">
        <f t="shared" si="13"/>
        <v>Pagado</v>
      </c>
      <c r="M146" s="36">
        <f>SUMIFS(Tabla_Pagos[IMPORTE ABONADO],Tabla_Pagos[FECHA DE ABONO],"&gt;0",Tabla_Pagos[NRO DOC],B146)</f>
        <v>345100</v>
      </c>
      <c r="N146" s="36">
        <f t="shared" si="14"/>
        <v>0</v>
      </c>
      <c r="O146" s="22" cm="1">
        <f t="array" ref="O146">MAX(IF((Tabla_Pagos[NRO DOC]=B146)*(Tabla_Pagos[IMPORTE ABONADO]&gt;0),Tabla_Pagos[FECHA DE ABONO]))</f>
        <v>45786</v>
      </c>
    </row>
    <row r="147" spans="2:15" ht="21" customHeight="1" x14ac:dyDescent="0.25">
      <c r="B147" s="39">
        <v>1026</v>
      </c>
      <c r="C147" s="20">
        <v>45757</v>
      </c>
      <c r="D147" s="40" t="s">
        <v>44</v>
      </c>
      <c r="E147" s="37" t="str">
        <f>IFERROR(VLOOKUP(D147,CLIENTES!$B$12:$G$2602,2,FALSE),"")</f>
        <v>SKC RED SPA</v>
      </c>
      <c r="F147" s="31">
        <v>297500</v>
      </c>
      <c r="G147" s="41" t="s">
        <v>101</v>
      </c>
      <c r="H147" s="26">
        <v>30</v>
      </c>
      <c r="I147" s="21" t="str">
        <f t="shared" si="10"/>
        <v>Crédito</v>
      </c>
      <c r="J147" s="22">
        <f t="shared" si="11"/>
        <v>45787</v>
      </c>
      <c r="K147" s="27">
        <f t="shared" ca="1" si="12"/>
        <v>0</v>
      </c>
      <c r="L147" s="23" t="str">
        <f t="shared" si="13"/>
        <v>Pagado</v>
      </c>
      <c r="M147" s="36">
        <f>SUMIFS(Tabla_Pagos[IMPORTE ABONADO],Tabla_Pagos[FECHA DE ABONO],"&gt;0",Tabla_Pagos[NRO DOC],B147)</f>
        <v>297500</v>
      </c>
      <c r="N147" s="36">
        <f t="shared" si="14"/>
        <v>0</v>
      </c>
      <c r="O147" s="22" cm="1">
        <f t="array" ref="O147">MAX(IF((Tabla_Pagos[NRO DOC]=B147)*(Tabla_Pagos[IMPORTE ABONADO]&gt;0),Tabla_Pagos[FECHA DE ABONO]))</f>
        <v>45786</v>
      </c>
    </row>
    <row r="148" spans="2:15" ht="21" customHeight="1" x14ac:dyDescent="0.25">
      <c r="B148" s="39">
        <v>1027</v>
      </c>
      <c r="C148" s="20">
        <v>45757</v>
      </c>
      <c r="D148" s="40" t="s">
        <v>46</v>
      </c>
      <c r="E148" s="37" t="str">
        <f>IFERROR(VLOOKUP(D148,CLIENTES!$B$12:$G$2602,2,FALSE),"")</f>
        <v>ANGEL CUSTODIO CONCHA SANCHEZ</v>
      </c>
      <c r="F148" s="31">
        <v>20000</v>
      </c>
      <c r="G148" s="41" t="s">
        <v>101</v>
      </c>
      <c r="H148" s="26">
        <v>0</v>
      </c>
      <c r="I148" s="21" t="str">
        <f t="shared" si="10"/>
        <v>Contado</v>
      </c>
      <c r="J148" s="22">
        <f t="shared" si="11"/>
        <v>45757</v>
      </c>
      <c r="K148" s="27">
        <f t="shared" ca="1" si="12"/>
        <v>0</v>
      </c>
      <c r="L148" s="23" t="str">
        <f t="shared" si="13"/>
        <v>Pagado</v>
      </c>
      <c r="M148" s="36">
        <f>SUMIFS(Tabla_Pagos[IMPORTE ABONADO],Tabla_Pagos[FECHA DE ABONO],"&gt;0",Tabla_Pagos[NRO DOC],B148)</f>
        <v>20000</v>
      </c>
      <c r="N148" s="36">
        <f t="shared" si="14"/>
        <v>0</v>
      </c>
      <c r="O148" s="22" cm="1">
        <f t="array" ref="O148">MAX(IF((Tabla_Pagos[NRO DOC]=B148)*(Tabla_Pagos[IMPORTE ABONADO]&gt;0),Tabla_Pagos[FECHA DE ABONO]))</f>
        <v>45757</v>
      </c>
    </row>
    <row r="149" spans="2:15" ht="21" customHeight="1" x14ac:dyDescent="0.25">
      <c r="B149" s="39">
        <v>1029</v>
      </c>
      <c r="C149" s="20">
        <v>45757</v>
      </c>
      <c r="D149" s="40" t="s">
        <v>47</v>
      </c>
      <c r="E149" s="37" t="str">
        <f>IFERROR(VLOOKUP(D149,CLIENTES!$B$12:$G$2602,2,FALSE),"")</f>
        <v>PATAGONIA SERVICIOS SPA</v>
      </c>
      <c r="F149" s="31">
        <v>3510500</v>
      </c>
      <c r="G149" s="41" t="s">
        <v>134</v>
      </c>
      <c r="H149" s="26">
        <v>30</v>
      </c>
      <c r="I149" s="21" t="str">
        <f t="shared" si="10"/>
        <v>Crédito</v>
      </c>
      <c r="J149" s="22">
        <f t="shared" si="11"/>
        <v>45787</v>
      </c>
      <c r="K149" s="27">
        <f t="shared" ca="1" si="12"/>
        <v>0</v>
      </c>
      <c r="L149" s="23" t="str">
        <f t="shared" si="13"/>
        <v>Pagado</v>
      </c>
      <c r="M149" s="36">
        <f>SUMIFS(Tabla_Pagos[IMPORTE ABONADO],Tabla_Pagos[FECHA DE ABONO],"&gt;0",Tabla_Pagos[NRO DOC],B149)</f>
        <v>3510500</v>
      </c>
      <c r="N149" s="36">
        <f t="shared" si="14"/>
        <v>0</v>
      </c>
      <c r="O149" s="22" cm="1">
        <f t="array" ref="O149">MAX(IF((Tabla_Pagos[NRO DOC]=B149)*(Tabla_Pagos[IMPORTE ABONADO]&gt;0),Tabla_Pagos[FECHA DE ABONO]))</f>
        <v>45792</v>
      </c>
    </row>
    <row r="150" spans="2:15" ht="21" customHeight="1" x14ac:dyDescent="0.25">
      <c r="B150" s="39">
        <v>1030</v>
      </c>
      <c r="C150" s="20">
        <v>45757</v>
      </c>
      <c r="D150" s="40" t="s">
        <v>47</v>
      </c>
      <c r="E150" s="37" t="str">
        <f>IFERROR(VLOOKUP(D150,CLIENTES!$B$12:$G$2602,2,FALSE),"")</f>
        <v>PATAGONIA SERVICIOS SPA</v>
      </c>
      <c r="F150" s="31">
        <v>5712000</v>
      </c>
      <c r="G150" s="41" t="s">
        <v>134</v>
      </c>
      <c r="H150" s="26">
        <v>30</v>
      </c>
      <c r="I150" s="21" t="str">
        <f t="shared" si="10"/>
        <v>Crédito</v>
      </c>
      <c r="J150" s="22">
        <f t="shared" si="11"/>
        <v>45787</v>
      </c>
      <c r="K150" s="27">
        <f t="shared" ca="1" si="12"/>
        <v>0</v>
      </c>
      <c r="L150" s="23" t="str">
        <f t="shared" si="13"/>
        <v>Pagado</v>
      </c>
      <c r="M150" s="36">
        <f>SUMIFS(Tabla_Pagos[IMPORTE ABONADO],Tabla_Pagos[FECHA DE ABONO],"&gt;0",Tabla_Pagos[NRO DOC],B150)</f>
        <v>5712000</v>
      </c>
      <c r="N150" s="36">
        <f t="shared" si="14"/>
        <v>0</v>
      </c>
      <c r="O150" s="22" cm="1">
        <f t="array" ref="O150">MAX(IF((Tabla_Pagos[NRO DOC]=B150)*(Tabla_Pagos[IMPORTE ABONADO]&gt;0),Tabla_Pagos[FECHA DE ABONO]))</f>
        <v>45792</v>
      </c>
    </row>
    <row r="151" spans="2:15" ht="21" customHeight="1" x14ac:dyDescent="0.25">
      <c r="B151" s="39">
        <v>1031</v>
      </c>
      <c r="C151" s="20">
        <v>45757</v>
      </c>
      <c r="D151" s="40" t="s">
        <v>47</v>
      </c>
      <c r="E151" s="37" t="str">
        <f>IFERROR(VLOOKUP(D151,CLIENTES!$B$12:$G$2602,2,FALSE),"")</f>
        <v>PATAGONIA SERVICIOS SPA</v>
      </c>
      <c r="F151" s="31">
        <v>2856000</v>
      </c>
      <c r="G151" s="41" t="s">
        <v>134</v>
      </c>
      <c r="H151" s="26">
        <v>30</v>
      </c>
      <c r="I151" s="21" t="str">
        <f t="shared" si="10"/>
        <v>Crédito</v>
      </c>
      <c r="J151" s="22">
        <f t="shared" si="11"/>
        <v>45787</v>
      </c>
      <c r="K151" s="27">
        <f t="shared" ca="1" si="12"/>
        <v>0</v>
      </c>
      <c r="L151" s="23" t="str">
        <f t="shared" si="13"/>
        <v>Pagado</v>
      </c>
      <c r="M151" s="36">
        <f>SUMIFS(Tabla_Pagos[IMPORTE ABONADO],Tabla_Pagos[FECHA DE ABONO],"&gt;0",Tabla_Pagos[NRO DOC],B151)</f>
        <v>2856000</v>
      </c>
      <c r="N151" s="36">
        <f t="shared" si="14"/>
        <v>0</v>
      </c>
      <c r="O151" s="22" cm="1">
        <f t="array" ref="O151">MAX(IF((Tabla_Pagos[NRO DOC]=B151)*(Tabla_Pagos[IMPORTE ABONADO]&gt;0),Tabla_Pagos[FECHA DE ABONO]))</f>
        <v>45817</v>
      </c>
    </row>
    <row r="152" spans="2:15" ht="21" customHeight="1" x14ac:dyDescent="0.25">
      <c r="B152" s="39">
        <v>1032</v>
      </c>
      <c r="C152" s="20">
        <v>45759</v>
      </c>
      <c r="D152" s="40" t="s">
        <v>48</v>
      </c>
      <c r="E152" s="37" t="str">
        <f>IFERROR(VLOOKUP(D152,CLIENTES!$B$12:$G$2602,2,FALSE),"")</f>
        <v>RESITER SERVICIOS GENERALES SPA</v>
      </c>
      <c r="F152" s="31">
        <v>357000</v>
      </c>
      <c r="G152" s="41" t="s">
        <v>101</v>
      </c>
      <c r="H152" s="26">
        <v>0</v>
      </c>
      <c r="I152" s="21" t="str">
        <f t="shared" si="10"/>
        <v>Contado</v>
      </c>
      <c r="J152" s="22">
        <f t="shared" si="11"/>
        <v>45759</v>
      </c>
      <c r="K152" s="27">
        <f t="shared" ca="1" si="12"/>
        <v>0</v>
      </c>
      <c r="L152" s="23" t="str">
        <f t="shared" si="13"/>
        <v>Pagado</v>
      </c>
      <c r="M152" s="36">
        <f>SUMIFS(Tabla_Pagos[IMPORTE ABONADO],Tabla_Pagos[FECHA DE ABONO],"&gt;0",Tabla_Pagos[NRO DOC],B152)</f>
        <v>357000</v>
      </c>
      <c r="N152" s="36">
        <f t="shared" si="14"/>
        <v>0</v>
      </c>
      <c r="O152" s="22" cm="1">
        <f t="array" ref="O152">MAX(IF((Tabla_Pagos[NRO DOC]=B152)*(Tabla_Pagos[IMPORTE ABONADO]&gt;0),Tabla_Pagos[FECHA DE ABONO]))</f>
        <v>45759</v>
      </c>
    </row>
    <row r="153" spans="2:15" ht="21" customHeight="1" x14ac:dyDescent="0.25">
      <c r="B153" s="39">
        <v>1033</v>
      </c>
      <c r="C153" s="20">
        <v>45759</v>
      </c>
      <c r="D153" s="40" t="s">
        <v>48</v>
      </c>
      <c r="E153" s="37" t="str">
        <f>IFERROR(VLOOKUP(D153,CLIENTES!$B$12:$G$2602,2,FALSE),"")</f>
        <v>RESITER SERVICIOS GENERALES SPA</v>
      </c>
      <c r="F153" s="31">
        <v>35700</v>
      </c>
      <c r="G153" s="41" t="s">
        <v>101</v>
      </c>
      <c r="H153" s="26">
        <v>0</v>
      </c>
      <c r="I153" s="21" t="str">
        <f t="shared" si="10"/>
        <v>Contado</v>
      </c>
      <c r="J153" s="22">
        <f t="shared" si="11"/>
        <v>45759</v>
      </c>
      <c r="K153" s="27">
        <f t="shared" ca="1" si="12"/>
        <v>0</v>
      </c>
      <c r="L153" s="23" t="str">
        <f t="shared" si="13"/>
        <v>Pagado</v>
      </c>
      <c r="M153" s="36">
        <f>SUMIFS(Tabla_Pagos[IMPORTE ABONADO],Tabla_Pagos[FECHA DE ABONO],"&gt;0",Tabla_Pagos[NRO DOC],B153)</f>
        <v>35700</v>
      </c>
      <c r="N153" s="36">
        <f t="shared" si="14"/>
        <v>0</v>
      </c>
      <c r="O153" s="22" cm="1">
        <f t="array" ref="O153">MAX(IF((Tabla_Pagos[NRO DOC]=B153)*(Tabla_Pagos[IMPORTE ABONADO]&gt;0),Tabla_Pagos[FECHA DE ABONO]))</f>
        <v>45759</v>
      </c>
    </row>
    <row r="154" spans="2:15" ht="21" customHeight="1" x14ac:dyDescent="0.25">
      <c r="B154" s="39">
        <v>1034</v>
      </c>
      <c r="C154" s="20">
        <v>45762</v>
      </c>
      <c r="D154" s="40" t="s">
        <v>49</v>
      </c>
      <c r="E154" s="37" t="str">
        <f>IFERROR(VLOOKUP(D154,CLIENTES!$B$12:$G$2602,2,FALSE),"")</f>
        <v>MOINCO INGENIERIA SPA</v>
      </c>
      <c r="F154" s="31">
        <v>1257830</v>
      </c>
      <c r="G154" s="41" t="s">
        <v>101</v>
      </c>
      <c r="H154" s="26">
        <v>0</v>
      </c>
      <c r="I154" s="21" t="str">
        <f t="shared" si="10"/>
        <v>Contado</v>
      </c>
      <c r="J154" s="22">
        <f t="shared" si="11"/>
        <v>45762</v>
      </c>
      <c r="K154" s="27">
        <f t="shared" ca="1" si="12"/>
        <v>0</v>
      </c>
      <c r="L154" s="23" t="str">
        <f t="shared" si="13"/>
        <v>Pagado</v>
      </c>
      <c r="M154" s="36">
        <f>SUMIFS(Tabla_Pagos[IMPORTE ABONADO],Tabla_Pagos[FECHA DE ABONO],"&gt;0",Tabla_Pagos[NRO DOC],B154)</f>
        <v>1257830</v>
      </c>
      <c r="N154" s="36">
        <f t="shared" si="14"/>
        <v>0</v>
      </c>
      <c r="O154" s="22" cm="1">
        <f t="array" ref="O154">MAX(IF((Tabla_Pagos[NRO DOC]=B154)*(Tabla_Pagos[IMPORTE ABONADO]&gt;0),Tabla_Pagos[FECHA DE ABONO]))</f>
        <v>45762</v>
      </c>
    </row>
    <row r="155" spans="2:15" ht="21" customHeight="1" x14ac:dyDescent="0.25">
      <c r="B155" s="39">
        <v>1035</v>
      </c>
      <c r="C155" s="20">
        <v>45762</v>
      </c>
      <c r="D155" s="40" t="s">
        <v>27</v>
      </c>
      <c r="E155" s="37" t="str">
        <f>IFERROR(VLOOKUP(D155,CLIENTES!$B$12:$G$2602,2,FALSE),"")</f>
        <v>LORENA CARMEN OTAROLA SOTO</v>
      </c>
      <c r="F155" s="31">
        <v>20000</v>
      </c>
      <c r="G155" s="41" t="s">
        <v>101</v>
      </c>
      <c r="H155" s="26">
        <v>0</v>
      </c>
      <c r="I155" s="21" t="str">
        <f t="shared" si="10"/>
        <v>Contado</v>
      </c>
      <c r="J155" s="22">
        <f t="shared" si="11"/>
        <v>45762</v>
      </c>
      <c r="K155" s="27">
        <f t="shared" ca="1" si="12"/>
        <v>0</v>
      </c>
      <c r="L155" s="23" t="str">
        <f t="shared" si="13"/>
        <v>Pagado</v>
      </c>
      <c r="M155" s="36">
        <f>SUMIFS(Tabla_Pagos[IMPORTE ABONADO],Tabla_Pagos[FECHA DE ABONO],"&gt;0",Tabla_Pagos[NRO DOC],B155)</f>
        <v>20000</v>
      </c>
      <c r="N155" s="36">
        <f t="shared" si="14"/>
        <v>0</v>
      </c>
      <c r="O155" s="22" cm="1">
        <f t="array" ref="O155">MAX(IF((Tabla_Pagos[NRO DOC]=B155)*(Tabla_Pagos[IMPORTE ABONADO]&gt;0),Tabla_Pagos[FECHA DE ABONO]))</f>
        <v>45762</v>
      </c>
    </row>
    <row r="156" spans="2:15" ht="21" customHeight="1" x14ac:dyDescent="0.25">
      <c r="B156" s="39">
        <v>1036</v>
      </c>
      <c r="C156" s="20">
        <v>45763</v>
      </c>
      <c r="D156" s="40" t="s">
        <v>50</v>
      </c>
      <c r="E156" s="37" t="str">
        <f>IFERROR(VLOOKUP(D156,CLIENTES!$B$12:$G$2602,2,FALSE),"")</f>
        <v>CORREDORAS DE PROPIEDADES P  F SPA</v>
      </c>
      <c r="F156" s="31">
        <v>59500</v>
      </c>
      <c r="G156" s="41" t="s">
        <v>101</v>
      </c>
      <c r="H156" s="26">
        <v>0</v>
      </c>
      <c r="I156" s="21" t="str">
        <f t="shared" si="10"/>
        <v>Contado</v>
      </c>
      <c r="J156" s="22">
        <f t="shared" si="11"/>
        <v>45763</v>
      </c>
      <c r="K156" s="27">
        <f t="shared" ca="1" si="12"/>
        <v>0</v>
      </c>
      <c r="L156" s="23" t="str">
        <f t="shared" si="13"/>
        <v>Pagado</v>
      </c>
      <c r="M156" s="36">
        <f>SUMIFS(Tabla_Pagos[IMPORTE ABONADO],Tabla_Pagos[FECHA DE ABONO],"&gt;0",Tabla_Pagos[NRO DOC],B156)</f>
        <v>59500</v>
      </c>
      <c r="N156" s="36">
        <f t="shared" si="14"/>
        <v>0</v>
      </c>
      <c r="O156" s="22" cm="1">
        <f t="array" ref="O156">MAX(IF((Tabla_Pagos[NRO DOC]=B156)*(Tabla_Pagos[IMPORTE ABONADO]&gt;0),Tabla_Pagos[FECHA DE ABONO]))</f>
        <v>45763</v>
      </c>
    </row>
    <row r="157" spans="2:15" ht="21" customHeight="1" x14ac:dyDescent="0.25">
      <c r="B157" s="39">
        <v>1037</v>
      </c>
      <c r="C157" s="20">
        <v>45763</v>
      </c>
      <c r="D157" s="40" t="s">
        <v>51</v>
      </c>
      <c r="E157" s="37" t="str">
        <f>IFERROR(VLOOKUP(D157,CLIENTES!$B$12:$G$2602,2,FALSE),"")</f>
        <v>ANDINOR SPA</v>
      </c>
      <c r="F157" s="31">
        <v>95200</v>
      </c>
      <c r="G157" s="41" t="s">
        <v>101</v>
      </c>
      <c r="H157" s="26">
        <v>0</v>
      </c>
      <c r="I157" s="21" t="str">
        <f t="shared" si="10"/>
        <v>Contado</v>
      </c>
      <c r="J157" s="22">
        <f t="shared" si="11"/>
        <v>45763</v>
      </c>
      <c r="K157" s="27">
        <f t="shared" ca="1" si="12"/>
        <v>0</v>
      </c>
      <c r="L157" s="23" t="str">
        <f t="shared" si="13"/>
        <v>Pagado</v>
      </c>
      <c r="M157" s="36">
        <f>SUMIFS(Tabla_Pagos[IMPORTE ABONADO],Tabla_Pagos[FECHA DE ABONO],"&gt;0",Tabla_Pagos[NRO DOC],B157)</f>
        <v>95200</v>
      </c>
      <c r="N157" s="36">
        <f t="shared" si="14"/>
        <v>0</v>
      </c>
      <c r="O157" s="22" cm="1">
        <f t="array" ref="O157">MAX(IF((Tabla_Pagos[NRO DOC]=B157)*(Tabla_Pagos[IMPORTE ABONADO]&gt;0),Tabla_Pagos[FECHA DE ABONO]))</f>
        <v>45763</v>
      </c>
    </row>
    <row r="158" spans="2:15" ht="21" customHeight="1" x14ac:dyDescent="0.25">
      <c r="B158" s="39">
        <v>1038</v>
      </c>
      <c r="C158" s="20">
        <v>45764</v>
      </c>
      <c r="D158" s="40" t="s">
        <v>44</v>
      </c>
      <c r="E158" s="37" t="str">
        <f>IFERROR(VLOOKUP(D158,CLIENTES!$B$12:$G$2602,2,FALSE),"")</f>
        <v>SKC RED SPA</v>
      </c>
      <c r="F158" s="31">
        <v>380800</v>
      </c>
      <c r="G158" s="41" t="s">
        <v>101</v>
      </c>
      <c r="H158" s="26">
        <v>30</v>
      </c>
      <c r="I158" s="21" t="str">
        <f t="shared" si="10"/>
        <v>Crédito</v>
      </c>
      <c r="J158" s="22">
        <f t="shared" si="11"/>
        <v>45794</v>
      </c>
      <c r="K158" s="27">
        <f t="shared" ca="1" si="12"/>
        <v>0</v>
      </c>
      <c r="L158" s="23" t="str">
        <f t="shared" si="13"/>
        <v>Pagado</v>
      </c>
      <c r="M158" s="36">
        <f>SUMIFS(Tabla_Pagos[IMPORTE ABONADO],Tabla_Pagos[FECHA DE ABONO],"&gt;0",Tabla_Pagos[NRO DOC],B158)</f>
        <v>380800</v>
      </c>
      <c r="N158" s="36">
        <f t="shared" si="14"/>
        <v>0</v>
      </c>
      <c r="O158" s="22" cm="1">
        <f t="array" ref="O158">MAX(IF((Tabla_Pagos[NRO DOC]=B158)*(Tabla_Pagos[IMPORTE ABONADO]&gt;0),Tabla_Pagos[FECHA DE ABONO]))</f>
        <v>45793</v>
      </c>
    </row>
    <row r="159" spans="2:15" ht="21" customHeight="1" x14ac:dyDescent="0.25">
      <c r="B159" s="39">
        <v>1039</v>
      </c>
      <c r="C159" s="20">
        <v>45764</v>
      </c>
      <c r="D159" s="40" t="s">
        <v>44</v>
      </c>
      <c r="E159" s="37" t="str">
        <f>IFERROR(VLOOKUP(D159,CLIENTES!$B$12:$G$2602,2,FALSE),"")</f>
        <v>SKC RED SPA</v>
      </c>
      <c r="F159" s="31">
        <v>499800</v>
      </c>
      <c r="G159" s="41" t="s">
        <v>101</v>
      </c>
      <c r="H159" s="26">
        <v>30</v>
      </c>
      <c r="I159" s="21" t="str">
        <f t="shared" si="10"/>
        <v>Crédito</v>
      </c>
      <c r="J159" s="22">
        <f t="shared" si="11"/>
        <v>45794</v>
      </c>
      <c r="K159" s="27">
        <f t="shared" ca="1" si="12"/>
        <v>0</v>
      </c>
      <c r="L159" s="23" t="str">
        <f t="shared" si="13"/>
        <v>Pagado</v>
      </c>
      <c r="M159" s="36">
        <f>SUMIFS(Tabla_Pagos[IMPORTE ABONADO],Tabla_Pagos[FECHA DE ABONO],"&gt;0",Tabla_Pagos[NRO DOC],B159)</f>
        <v>499800</v>
      </c>
      <c r="N159" s="36">
        <f t="shared" si="14"/>
        <v>0</v>
      </c>
      <c r="O159" s="22" cm="1">
        <f t="array" ref="O159">MAX(IF((Tabla_Pagos[NRO DOC]=B159)*(Tabla_Pagos[IMPORTE ABONADO]&gt;0),Tabla_Pagos[FECHA DE ABONO]))</f>
        <v>45793</v>
      </c>
    </row>
    <row r="160" spans="2:15" ht="21" customHeight="1" x14ac:dyDescent="0.25">
      <c r="B160" s="39">
        <v>1040</v>
      </c>
      <c r="C160" s="20">
        <v>45764</v>
      </c>
      <c r="D160" s="40" t="s">
        <v>52</v>
      </c>
      <c r="E160" s="37" t="str">
        <f>IFERROR(VLOOKUP(D160,CLIENTES!$B$12:$G$2602,2,FALSE),"")</f>
        <v>PAVIMENTOS CHILENOS LIMITADA</v>
      </c>
      <c r="F160" s="31">
        <v>29821</v>
      </c>
      <c r="G160" s="41" t="s">
        <v>101</v>
      </c>
      <c r="H160" s="26">
        <v>30</v>
      </c>
      <c r="I160" s="21" t="str">
        <f t="shared" si="10"/>
        <v>Crédito</v>
      </c>
      <c r="J160" s="22">
        <f t="shared" si="11"/>
        <v>45794</v>
      </c>
      <c r="K160" s="27">
        <f t="shared" ca="1" si="12"/>
        <v>0</v>
      </c>
      <c r="L160" s="23" t="str">
        <f t="shared" si="13"/>
        <v>Pagado</v>
      </c>
      <c r="M160" s="36">
        <f>SUMIFS(Tabla_Pagos[IMPORTE ABONADO],Tabla_Pagos[FECHA DE ABONO],"&gt;0",Tabla_Pagos[NRO DOC],B160)</f>
        <v>29821</v>
      </c>
      <c r="N160" s="36">
        <f t="shared" si="14"/>
        <v>0</v>
      </c>
      <c r="O160" s="22" cm="1">
        <f t="array" ref="O160">MAX(IF((Tabla_Pagos[NRO DOC]=B160)*(Tabla_Pagos[IMPORTE ABONADO]&gt;0),Tabla_Pagos[FECHA DE ABONO]))</f>
        <v>45764</v>
      </c>
    </row>
    <row r="161" spans="2:15" ht="21" customHeight="1" x14ac:dyDescent="0.25">
      <c r="B161" s="39">
        <v>1043</v>
      </c>
      <c r="C161" s="20">
        <v>45764</v>
      </c>
      <c r="D161" s="40" t="s">
        <v>53</v>
      </c>
      <c r="E161" s="37" t="str">
        <f>IFERROR(VLOOKUP(D161,CLIENTES!$B$12:$G$2602,2,FALSE),"")</f>
        <v>SODIMAC S.A.</v>
      </c>
      <c r="F161" s="31">
        <v>297500</v>
      </c>
      <c r="G161" s="41" t="s">
        <v>394</v>
      </c>
      <c r="H161" s="26">
        <v>30</v>
      </c>
      <c r="I161" s="21" t="str">
        <f t="shared" si="10"/>
        <v>Crédito</v>
      </c>
      <c r="J161" s="22">
        <f t="shared" si="11"/>
        <v>45794</v>
      </c>
      <c r="K161" s="27">
        <f t="shared" ca="1" si="12"/>
        <v>0</v>
      </c>
      <c r="L161" s="23" t="str">
        <f t="shared" si="13"/>
        <v>Pagado</v>
      </c>
      <c r="M161" s="36">
        <f>SUMIFS(Tabla_Pagos[IMPORTE ABONADO],Tabla_Pagos[FECHA DE ABONO],"&gt;0",Tabla_Pagos[NRO DOC],B161)</f>
        <v>297500</v>
      </c>
      <c r="N161" s="36">
        <f t="shared" si="14"/>
        <v>0</v>
      </c>
      <c r="O161" s="22" cm="1">
        <f t="array" ref="O161">MAX(IF((Tabla_Pagos[NRO DOC]=B161)*(Tabla_Pagos[IMPORTE ABONADO]&gt;0),Tabla_Pagos[FECHA DE ABONO]))</f>
        <v>45793</v>
      </c>
    </row>
    <row r="162" spans="2:15" ht="21" customHeight="1" x14ac:dyDescent="0.25">
      <c r="B162" s="39">
        <v>1044</v>
      </c>
      <c r="C162" s="20">
        <v>45764</v>
      </c>
      <c r="D162" s="40" t="s">
        <v>54</v>
      </c>
      <c r="E162" s="37" t="str">
        <f>IFERROR(VLOOKUP(D162,CLIENTES!$B$12:$G$2602,2,FALSE),"")</f>
        <v>AUCAN LOGISTIC SPA</v>
      </c>
      <c r="F162" s="31">
        <v>135660</v>
      </c>
      <c r="G162" s="41" t="s">
        <v>101</v>
      </c>
      <c r="H162" s="26">
        <v>0</v>
      </c>
      <c r="I162" s="21" t="str">
        <f t="shared" si="10"/>
        <v>Contado</v>
      </c>
      <c r="J162" s="22">
        <f t="shared" si="11"/>
        <v>45764</v>
      </c>
      <c r="K162" s="27">
        <f t="shared" ca="1" si="12"/>
        <v>0</v>
      </c>
      <c r="L162" s="23" t="str">
        <f t="shared" si="13"/>
        <v>Pagado</v>
      </c>
      <c r="M162" s="36">
        <f>SUMIFS(Tabla_Pagos[IMPORTE ABONADO],Tabla_Pagos[FECHA DE ABONO],"&gt;0",Tabla_Pagos[NRO DOC],B162)</f>
        <v>135660</v>
      </c>
      <c r="N162" s="36">
        <f t="shared" si="14"/>
        <v>0</v>
      </c>
      <c r="O162" s="22" cm="1">
        <f t="array" ref="O162">MAX(IF((Tabla_Pagos[NRO DOC]=B162)*(Tabla_Pagos[IMPORTE ABONADO]&gt;0),Tabla_Pagos[FECHA DE ABONO]))</f>
        <v>45764</v>
      </c>
    </row>
    <row r="163" spans="2:15" ht="21" customHeight="1" x14ac:dyDescent="0.25">
      <c r="B163" s="39">
        <v>1045</v>
      </c>
      <c r="C163" s="20">
        <v>45764</v>
      </c>
      <c r="D163" s="40" t="s">
        <v>29</v>
      </c>
      <c r="E163" s="37" t="str">
        <f>IFERROR(VLOOKUP(D163,CLIENTES!$B$12:$G$2602,2,FALSE),"")</f>
        <v>FERNANDO ESTEBAN DIAZ SANQUINETTI</v>
      </c>
      <c r="F163" s="31">
        <v>97580</v>
      </c>
      <c r="G163" s="41" t="s">
        <v>101</v>
      </c>
      <c r="H163" s="26">
        <v>0</v>
      </c>
      <c r="I163" s="21" t="str">
        <f t="shared" si="10"/>
        <v>Contado</v>
      </c>
      <c r="J163" s="22">
        <f t="shared" si="11"/>
        <v>45764</v>
      </c>
      <c r="K163" s="27">
        <f t="shared" ca="1" si="12"/>
        <v>0</v>
      </c>
      <c r="L163" s="23" t="str">
        <f t="shared" si="13"/>
        <v>Pagado</v>
      </c>
      <c r="M163" s="36">
        <f>SUMIFS(Tabla_Pagos[IMPORTE ABONADO],Tabla_Pagos[FECHA DE ABONO],"&gt;0",Tabla_Pagos[NRO DOC],B163)</f>
        <v>97580</v>
      </c>
      <c r="N163" s="36">
        <f t="shared" si="14"/>
        <v>0</v>
      </c>
      <c r="O163" s="22" cm="1">
        <f t="array" ref="O163">MAX(IF((Tabla_Pagos[NRO DOC]=B163)*(Tabla_Pagos[IMPORTE ABONADO]&gt;0),Tabla_Pagos[FECHA DE ABONO]))</f>
        <v>45764</v>
      </c>
    </row>
    <row r="164" spans="2:15" ht="21" customHeight="1" x14ac:dyDescent="0.25">
      <c r="B164" s="39">
        <v>1046</v>
      </c>
      <c r="C164" s="20">
        <v>45768</v>
      </c>
      <c r="D164" s="40" t="s">
        <v>55</v>
      </c>
      <c r="E164" s="37" t="str">
        <f>IFERROR(VLOOKUP(D164,CLIENTES!$B$12:$G$2602,2,FALSE),"")</f>
        <v>MINERA NITTETSU CHILE LTDA</v>
      </c>
      <c r="F164" s="31">
        <v>60001</v>
      </c>
      <c r="G164" s="41" t="s">
        <v>101</v>
      </c>
      <c r="H164" s="26">
        <v>0</v>
      </c>
      <c r="I164" s="21" t="str">
        <f t="shared" si="10"/>
        <v>Contado</v>
      </c>
      <c r="J164" s="22">
        <f t="shared" si="11"/>
        <v>45768</v>
      </c>
      <c r="K164" s="27">
        <f t="shared" ca="1" si="12"/>
        <v>0</v>
      </c>
      <c r="L164" s="23" t="str">
        <f t="shared" si="13"/>
        <v>Pagado</v>
      </c>
      <c r="M164" s="36">
        <f>SUMIFS(Tabla_Pagos[IMPORTE ABONADO],Tabla_Pagos[FECHA DE ABONO],"&gt;0",Tabla_Pagos[NRO DOC],B164)</f>
        <v>60001</v>
      </c>
      <c r="N164" s="36">
        <f t="shared" si="14"/>
        <v>0</v>
      </c>
      <c r="O164" s="22" cm="1">
        <f t="array" ref="O164">MAX(IF((Tabla_Pagos[NRO DOC]=B164)*(Tabla_Pagos[IMPORTE ABONADO]&gt;0),Tabla_Pagos[FECHA DE ABONO]))</f>
        <v>45768</v>
      </c>
    </row>
    <row r="165" spans="2:15" ht="21" customHeight="1" x14ac:dyDescent="0.25">
      <c r="B165" s="39">
        <v>1047</v>
      </c>
      <c r="C165" s="20">
        <v>45768</v>
      </c>
      <c r="D165" s="40" t="s">
        <v>56</v>
      </c>
      <c r="E165" s="37" t="str">
        <f>IFERROR(VLOOKUP(D165,CLIENTES!$B$12:$G$2602,2,FALSE),"")</f>
        <v>JACINTO PRUDENCIO QUISPE GERONIMO</v>
      </c>
      <c r="F165" s="31">
        <v>190000</v>
      </c>
      <c r="G165" s="41" t="s">
        <v>101</v>
      </c>
      <c r="H165" s="26">
        <v>0</v>
      </c>
      <c r="I165" s="21" t="str">
        <f t="shared" si="10"/>
        <v>Contado</v>
      </c>
      <c r="J165" s="22">
        <f t="shared" si="11"/>
        <v>45768</v>
      </c>
      <c r="K165" s="27">
        <f t="shared" ca="1" si="12"/>
        <v>0</v>
      </c>
      <c r="L165" s="23" t="str">
        <f t="shared" si="13"/>
        <v>Pagado</v>
      </c>
      <c r="M165" s="36">
        <f>SUMIFS(Tabla_Pagos[IMPORTE ABONADO],Tabla_Pagos[FECHA DE ABONO],"&gt;0",Tabla_Pagos[NRO DOC],B165)</f>
        <v>190000</v>
      </c>
      <c r="N165" s="36">
        <f t="shared" si="14"/>
        <v>0</v>
      </c>
      <c r="O165" s="22" cm="1">
        <f t="array" ref="O165">MAX(IF((Tabla_Pagos[NRO DOC]=B165)*(Tabla_Pagos[IMPORTE ABONADO]&gt;0),Tabla_Pagos[FECHA DE ABONO]))</f>
        <v>45768</v>
      </c>
    </row>
    <row r="166" spans="2:15" ht="21" customHeight="1" x14ac:dyDescent="0.25">
      <c r="B166" s="39">
        <v>1048</v>
      </c>
      <c r="C166" s="20">
        <v>45768</v>
      </c>
      <c r="D166" s="40" t="s">
        <v>57</v>
      </c>
      <c r="E166" s="37" t="str">
        <f>IFERROR(VLOOKUP(D166,CLIENTES!$B$12:$G$2602,2,FALSE),"")</f>
        <v>ERNESTO OMAR MOLINA MOLINA</v>
      </c>
      <c r="F166" s="31">
        <v>20000</v>
      </c>
      <c r="G166" s="41" t="s">
        <v>101</v>
      </c>
      <c r="H166" s="26">
        <v>0</v>
      </c>
      <c r="I166" s="21" t="str">
        <f t="shared" si="10"/>
        <v>Contado</v>
      </c>
      <c r="J166" s="22">
        <f t="shared" si="11"/>
        <v>45768</v>
      </c>
      <c r="K166" s="27">
        <f t="shared" ca="1" si="12"/>
        <v>0</v>
      </c>
      <c r="L166" s="23" t="str">
        <f t="shared" si="13"/>
        <v>Pagado</v>
      </c>
      <c r="M166" s="36">
        <f>SUMIFS(Tabla_Pagos[IMPORTE ABONADO],Tabla_Pagos[FECHA DE ABONO],"&gt;0",Tabla_Pagos[NRO DOC],B166)</f>
        <v>20000</v>
      </c>
      <c r="N166" s="36">
        <f t="shared" si="14"/>
        <v>0</v>
      </c>
      <c r="O166" s="22" cm="1">
        <f t="array" ref="O166">MAX(IF((Tabla_Pagos[NRO DOC]=B166)*(Tabla_Pagos[IMPORTE ABONADO]&gt;0),Tabla_Pagos[FECHA DE ABONO]))</f>
        <v>45768</v>
      </c>
    </row>
    <row r="167" spans="2:15" ht="21" customHeight="1" x14ac:dyDescent="0.25">
      <c r="B167" s="39">
        <v>1049</v>
      </c>
      <c r="C167" s="20">
        <v>45769</v>
      </c>
      <c r="D167" s="40" t="s">
        <v>58</v>
      </c>
      <c r="E167" s="37" t="str">
        <f>IFERROR(VLOOKUP(D167,CLIENTES!$B$12:$G$2602,2,FALSE),"")</f>
        <v>ZACH PROYECTOS SA</v>
      </c>
      <c r="F167" s="31">
        <v>451010</v>
      </c>
      <c r="G167" s="41" t="s">
        <v>101</v>
      </c>
      <c r="H167" s="26">
        <v>30</v>
      </c>
      <c r="I167" s="21" t="str">
        <f t="shared" si="10"/>
        <v>Crédito</v>
      </c>
      <c r="J167" s="22">
        <f t="shared" si="11"/>
        <v>45799</v>
      </c>
      <c r="K167" s="27">
        <f t="shared" ca="1" si="12"/>
        <v>0</v>
      </c>
      <c r="L167" s="23" t="str">
        <f t="shared" si="13"/>
        <v>Pagado</v>
      </c>
      <c r="M167" s="36">
        <f>SUMIFS(Tabla_Pagos[IMPORTE ABONADO],Tabla_Pagos[FECHA DE ABONO],"&gt;0",Tabla_Pagos[NRO DOC],B167)</f>
        <v>451010</v>
      </c>
      <c r="N167" s="36">
        <f t="shared" si="14"/>
        <v>0</v>
      </c>
      <c r="O167" s="22" cm="1">
        <f t="array" ref="O167">MAX(IF((Tabla_Pagos[NRO DOC]=B167)*(Tabla_Pagos[IMPORTE ABONADO]&gt;0),Tabla_Pagos[FECHA DE ABONO]))</f>
        <v>45833</v>
      </c>
    </row>
    <row r="168" spans="2:15" ht="21" customHeight="1" x14ac:dyDescent="0.25">
      <c r="B168" s="39">
        <v>1050</v>
      </c>
      <c r="C168" s="20">
        <v>45771</v>
      </c>
      <c r="D168" s="40" t="s">
        <v>59</v>
      </c>
      <c r="E168" s="37" t="str">
        <f>IFERROR(VLOOKUP(D168,CLIENTES!$B$12:$G$2602,2,FALSE),"")</f>
        <v>DWORK SPA</v>
      </c>
      <c r="F168" s="31">
        <v>642600</v>
      </c>
      <c r="G168" s="41" t="s">
        <v>101</v>
      </c>
      <c r="H168" s="26">
        <v>30</v>
      </c>
      <c r="I168" s="21" t="str">
        <f t="shared" si="10"/>
        <v>Crédito</v>
      </c>
      <c r="J168" s="22">
        <f t="shared" si="11"/>
        <v>45801</v>
      </c>
      <c r="K168" s="27">
        <f t="shared" ca="1" si="12"/>
        <v>0</v>
      </c>
      <c r="L168" s="23" t="str">
        <f t="shared" si="13"/>
        <v>Pagado</v>
      </c>
      <c r="M168" s="36">
        <f>SUMIFS(Tabla_Pagos[IMPORTE ABONADO],Tabla_Pagos[FECHA DE ABONO],"&gt;0",Tabla_Pagos[NRO DOC],B168)</f>
        <v>642600</v>
      </c>
      <c r="N168" s="36">
        <f t="shared" si="14"/>
        <v>0</v>
      </c>
      <c r="O168" s="22" cm="1">
        <f t="array" ref="O168">MAX(IF((Tabla_Pagos[NRO DOC]=B168)*(Tabla_Pagos[IMPORTE ABONADO]&gt;0),Tabla_Pagos[FECHA DE ABONO]))</f>
        <v>45771</v>
      </c>
    </row>
    <row r="169" spans="2:15" ht="21" customHeight="1" x14ac:dyDescent="0.25">
      <c r="B169" s="39">
        <v>1055</v>
      </c>
      <c r="C169" s="20">
        <v>45772</v>
      </c>
      <c r="D169" s="40" t="s">
        <v>60</v>
      </c>
      <c r="E169" s="37" t="str">
        <f>IFERROR(VLOOKUP(D169,CLIENTES!$B$12:$G$2602,2,FALSE),"")</f>
        <v>CENTRO DE MANTENIMIENTO AUTOMOTRIZ Y MAQUINARIA SPA</v>
      </c>
      <c r="F169" s="31">
        <v>226100</v>
      </c>
      <c r="G169" s="41" t="s">
        <v>101</v>
      </c>
      <c r="H169" s="26">
        <v>30</v>
      </c>
      <c r="I169" s="21" t="str">
        <f t="shared" si="10"/>
        <v>Crédito</v>
      </c>
      <c r="J169" s="22">
        <f t="shared" si="11"/>
        <v>45802</v>
      </c>
      <c r="K169" s="27">
        <f t="shared" ca="1" si="12"/>
        <v>0</v>
      </c>
      <c r="L169" s="23" t="str">
        <f t="shared" si="13"/>
        <v>Pagado</v>
      </c>
      <c r="M169" s="36">
        <f>SUMIFS(Tabla_Pagos[IMPORTE ABONADO],Tabla_Pagos[FECHA DE ABONO],"&gt;0",Tabla_Pagos[NRO DOC],B169)</f>
        <v>226100</v>
      </c>
      <c r="N169" s="36">
        <f t="shared" si="14"/>
        <v>0</v>
      </c>
      <c r="O169" s="22" cm="1">
        <f t="array" ref="O169">MAX(IF((Tabla_Pagos[NRO DOC]=B169)*(Tabla_Pagos[IMPORTE ABONADO]&gt;0),Tabla_Pagos[FECHA DE ABONO]))</f>
        <v>45782</v>
      </c>
    </row>
    <row r="170" spans="2:15" ht="21" customHeight="1" x14ac:dyDescent="0.25">
      <c r="B170" s="39">
        <v>1056</v>
      </c>
      <c r="C170" s="20">
        <v>45772</v>
      </c>
      <c r="D170" s="40" t="s">
        <v>61</v>
      </c>
      <c r="E170" s="37" t="str">
        <f>IFERROR(VLOOKUP(D170,CLIENTES!$B$12:$G$2602,2,FALSE),"")</f>
        <v>INGENIERIA Y PROYECTOS ELECTRICOS LIMITADA</v>
      </c>
      <c r="F170" s="31">
        <v>45000</v>
      </c>
      <c r="G170" s="41" t="s">
        <v>101</v>
      </c>
      <c r="H170" s="26">
        <v>0</v>
      </c>
      <c r="I170" s="21" t="str">
        <f t="shared" si="10"/>
        <v>Contado</v>
      </c>
      <c r="J170" s="22">
        <f t="shared" si="11"/>
        <v>45772</v>
      </c>
      <c r="K170" s="27">
        <f t="shared" ca="1" si="12"/>
        <v>0</v>
      </c>
      <c r="L170" s="23" t="str">
        <f t="shared" si="13"/>
        <v>Pagado</v>
      </c>
      <c r="M170" s="36">
        <f>SUMIFS(Tabla_Pagos[IMPORTE ABONADO],Tabla_Pagos[FECHA DE ABONO],"&gt;0",Tabla_Pagos[NRO DOC],B170)</f>
        <v>45000</v>
      </c>
      <c r="N170" s="36">
        <f t="shared" si="14"/>
        <v>0</v>
      </c>
      <c r="O170" s="22" cm="1">
        <f t="array" ref="O170">MAX(IF((Tabla_Pagos[NRO DOC]=B170)*(Tabla_Pagos[IMPORTE ABONADO]&gt;0),Tabla_Pagos[FECHA DE ABONO]))</f>
        <v>45772</v>
      </c>
    </row>
    <row r="171" spans="2:15" ht="21" customHeight="1" x14ac:dyDescent="0.25">
      <c r="B171" s="39">
        <v>1057</v>
      </c>
      <c r="C171" s="20">
        <v>45775</v>
      </c>
      <c r="D171" s="40" t="s">
        <v>62</v>
      </c>
      <c r="E171" s="37" t="str">
        <f>IFERROR(VLOOKUP(D171,CLIENTES!$B$12:$G$2602,2,FALSE),"")</f>
        <v>SEMINET SPA</v>
      </c>
      <c r="F171" s="31">
        <v>194208</v>
      </c>
      <c r="G171" s="41" t="s">
        <v>394</v>
      </c>
      <c r="H171" s="26">
        <v>30</v>
      </c>
      <c r="I171" s="21" t="str">
        <f t="shared" si="10"/>
        <v>Crédito</v>
      </c>
      <c r="J171" s="22">
        <f t="shared" si="11"/>
        <v>45805</v>
      </c>
      <c r="K171" s="27">
        <f t="shared" ca="1" si="12"/>
        <v>0</v>
      </c>
      <c r="L171" s="23" t="str">
        <f t="shared" si="13"/>
        <v>Pagado</v>
      </c>
      <c r="M171" s="36">
        <f>SUMIFS(Tabla_Pagos[IMPORTE ABONADO],Tabla_Pagos[FECHA DE ABONO],"&gt;0",Tabla_Pagos[NRO DOC],B171)</f>
        <v>194208</v>
      </c>
      <c r="N171" s="36">
        <f t="shared" si="14"/>
        <v>0</v>
      </c>
      <c r="O171" s="22" cm="1">
        <f t="array" ref="O171">MAX(IF((Tabla_Pagos[NRO DOC]=B171)*(Tabla_Pagos[IMPORTE ABONADO]&gt;0),Tabla_Pagos[FECHA DE ABONO]))</f>
        <v>45807</v>
      </c>
    </row>
    <row r="172" spans="2:15" ht="21" customHeight="1" x14ac:dyDescent="0.25">
      <c r="B172" s="39">
        <v>1059</v>
      </c>
      <c r="C172" s="20">
        <v>45775</v>
      </c>
      <c r="D172" s="40" t="s">
        <v>63</v>
      </c>
      <c r="E172" s="37" t="str">
        <f>IFERROR(VLOOKUP(D172,CLIENTES!$B$12:$G$2602,2,FALSE),"")</f>
        <v>MULTISERVICIOS SANABRIA SPA</v>
      </c>
      <c r="F172" s="31">
        <v>126140</v>
      </c>
      <c r="G172" s="41" t="s">
        <v>101</v>
      </c>
      <c r="H172" s="26">
        <v>0</v>
      </c>
      <c r="I172" s="21" t="str">
        <f t="shared" si="10"/>
        <v>Contado</v>
      </c>
      <c r="J172" s="22">
        <f t="shared" si="11"/>
        <v>45775</v>
      </c>
      <c r="K172" s="27">
        <f t="shared" ca="1" si="12"/>
        <v>0</v>
      </c>
      <c r="L172" s="23" t="str">
        <f t="shared" si="13"/>
        <v>Pagado</v>
      </c>
      <c r="M172" s="36">
        <f>SUMIFS(Tabla_Pagos[IMPORTE ABONADO],Tabla_Pagos[FECHA DE ABONO],"&gt;0",Tabla_Pagos[NRO DOC],B172)</f>
        <v>126140</v>
      </c>
      <c r="N172" s="36">
        <f t="shared" si="14"/>
        <v>0</v>
      </c>
      <c r="O172" s="22" cm="1">
        <f t="array" ref="O172">MAX(IF((Tabla_Pagos[NRO DOC]=B172)*(Tabla_Pagos[IMPORTE ABONADO]&gt;0),Tabla_Pagos[FECHA DE ABONO]))</f>
        <v>45775</v>
      </c>
    </row>
    <row r="173" spans="2:15" ht="21" customHeight="1" x14ac:dyDescent="0.25">
      <c r="B173" s="39">
        <v>1060</v>
      </c>
      <c r="C173" s="20">
        <v>45776</v>
      </c>
      <c r="D173" s="40" t="s">
        <v>62</v>
      </c>
      <c r="E173" s="37" t="str">
        <f>IFERROR(VLOOKUP(D173,CLIENTES!$B$12:$G$2602,2,FALSE),"")</f>
        <v>SEMINET SPA</v>
      </c>
      <c r="F173" s="31">
        <v>100674</v>
      </c>
      <c r="G173" s="41" t="s">
        <v>394</v>
      </c>
      <c r="H173" s="26">
        <v>30</v>
      </c>
      <c r="I173" s="21" t="str">
        <f t="shared" si="10"/>
        <v>Crédito</v>
      </c>
      <c r="J173" s="22">
        <f t="shared" si="11"/>
        <v>45806</v>
      </c>
      <c r="K173" s="27">
        <f t="shared" ca="1" si="12"/>
        <v>0</v>
      </c>
      <c r="L173" s="23" t="str">
        <f t="shared" si="13"/>
        <v>Pagado</v>
      </c>
      <c r="M173" s="36">
        <f>SUMIFS(Tabla_Pagos[IMPORTE ABONADO],Tabla_Pagos[FECHA DE ABONO],"&gt;0",Tabla_Pagos[NRO DOC],B173)</f>
        <v>100674</v>
      </c>
      <c r="N173" s="36">
        <f t="shared" si="14"/>
        <v>0</v>
      </c>
      <c r="O173" s="22" cm="1">
        <f t="array" ref="O173">MAX(IF((Tabla_Pagos[NRO DOC]=B173)*(Tabla_Pagos[IMPORTE ABONADO]&gt;0),Tabla_Pagos[FECHA DE ABONO]))</f>
        <v>45807</v>
      </c>
    </row>
    <row r="174" spans="2:15" ht="21" customHeight="1" x14ac:dyDescent="0.25">
      <c r="B174" s="39">
        <v>1061</v>
      </c>
      <c r="C174" s="20">
        <v>45776</v>
      </c>
      <c r="D174" s="40" t="s">
        <v>53</v>
      </c>
      <c r="E174" s="37" t="str">
        <f>IFERROR(VLOOKUP(D174,CLIENTES!$B$12:$G$2602,2,FALSE),"")</f>
        <v>SODIMAC S.A.</v>
      </c>
      <c r="F174" s="31">
        <v>142324</v>
      </c>
      <c r="G174" s="41" t="s">
        <v>394</v>
      </c>
      <c r="H174" s="26">
        <v>30</v>
      </c>
      <c r="I174" s="21" t="str">
        <f t="shared" si="10"/>
        <v>Crédito</v>
      </c>
      <c r="J174" s="22">
        <f t="shared" si="11"/>
        <v>45806</v>
      </c>
      <c r="K174" s="27">
        <f t="shared" ca="1" si="12"/>
        <v>0</v>
      </c>
      <c r="L174" s="23" t="str">
        <f t="shared" si="13"/>
        <v>Pagado</v>
      </c>
      <c r="M174" s="36">
        <f>SUMIFS(Tabla_Pagos[IMPORTE ABONADO],Tabla_Pagos[FECHA DE ABONO],"&gt;0",Tabla_Pagos[NRO DOC],B174)</f>
        <v>142324</v>
      </c>
      <c r="N174" s="36">
        <f t="shared" si="14"/>
        <v>0</v>
      </c>
      <c r="O174" s="22" cm="1">
        <f t="array" ref="O174">MAX(IF((Tabla_Pagos[NRO DOC]=B174)*(Tabla_Pagos[IMPORTE ABONADO]&gt;0),Tabla_Pagos[FECHA DE ABONO]))</f>
        <v>45806</v>
      </c>
    </row>
    <row r="175" spans="2:15" ht="21" customHeight="1" x14ac:dyDescent="0.25">
      <c r="B175" s="39">
        <v>1062</v>
      </c>
      <c r="C175" s="20">
        <v>45776</v>
      </c>
      <c r="D175" s="40" t="s">
        <v>53</v>
      </c>
      <c r="E175" s="37" t="str">
        <f>IFERROR(VLOOKUP(D175,CLIENTES!$B$12:$G$2602,2,FALSE),"")</f>
        <v>SODIMAC S.A.</v>
      </c>
      <c r="F175" s="31">
        <v>696150</v>
      </c>
      <c r="G175" s="41" t="s">
        <v>394</v>
      </c>
      <c r="H175" s="26">
        <v>30</v>
      </c>
      <c r="I175" s="21" t="str">
        <f t="shared" si="10"/>
        <v>Crédito</v>
      </c>
      <c r="J175" s="22">
        <f t="shared" si="11"/>
        <v>45806</v>
      </c>
      <c r="K175" s="27">
        <f t="shared" ca="1" si="12"/>
        <v>0</v>
      </c>
      <c r="L175" s="23" t="str">
        <f t="shared" si="13"/>
        <v>Pagado</v>
      </c>
      <c r="M175" s="36">
        <f>SUMIFS(Tabla_Pagos[IMPORTE ABONADO],Tabla_Pagos[FECHA DE ABONO],"&gt;0",Tabla_Pagos[NRO DOC],B175)</f>
        <v>696150</v>
      </c>
      <c r="N175" s="36">
        <f t="shared" si="14"/>
        <v>0</v>
      </c>
      <c r="O175" s="22" cm="1">
        <f t="array" ref="O175">MAX(IF((Tabla_Pagos[NRO DOC]=B175)*(Tabla_Pagos[IMPORTE ABONADO]&gt;0),Tabla_Pagos[FECHA DE ABONO]))</f>
        <v>45806</v>
      </c>
    </row>
    <row r="176" spans="2:15" ht="21" customHeight="1" x14ac:dyDescent="0.25">
      <c r="B176" s="39">
        <v>1063</v>
      </c>
      <c r="C176" s="20">
        <v>45777</v>
      </c>
      <c r="D176" s="40" t="s">
        <v>64</v>
      </c>
      <c r="E176" s="37" t="str">
        <f>IFERROR(VLOOKUP(D176,CLIENTES!$B$12:$G$2602,2,FALSE),"")</f>
        <v>SOLEDAD DE LOS ANGELES LEIVA UGARTE  TRASLADO Y TRANSPORTES  E.I.R.L.</v>
      </c>
      <c r="F176" s="31">
        <v>250000</v>
      </c>
      <c r="G176" s="41" t="s">
        <v>101</v>
      </c>
      <c r="H176" s="26">
        <v>0</v>
      </c>
      <c r="I176" s="21" t="str">
        <f t="shared" si="10"/>
        <v>Contado</v>
      </c>
      <c r="J176" s="22">
        <f t="shared" si="11"/>
        <v>45777</v>
      </c>
      <c r="K176" s="27">
        <f t="shared" ca="1" si="12"/>
        <v>0</v>
      </c>
      <c r="L176" s="23" t="str">
        <f t="shared" si="13"/>
        <v>Pagado</v>
      </c>
      <c r="M176" s="36">
        <f>SUMIFS(Tabla_Pagos[IMPORTE ABONADO],Tabla_Pagos[FECHA DE ABONO],"&gt;0",Tabla_Pagos[NRO DOC],B176)</f>
        <v>250000</v>
      </c>
      <c r="N176" s="36">
        <f t="shared" si="14"/>
        <v>0</v>
      </c>
      <c r="O176" s="22" cm="1">
        <f t="array" ref="O176">MAX(IF((Tabla_Pagos[NRO DOC]=B176)*(Tabla_Pagos[IMPORTE ABONADO]&gt;0),Tabla_Pagos[FECHA DE ABONO]))</f>
        <v>45777</v>
      </c>
    </row>
    <row r="177" spans="2:15" ht="21" customHeight="1" x14ac:dyDescent="0.25">
      <c r="B177" s="39">
        <v>1064</v>
      </c>
      <c r="C177" s="20">
        <v>45777</v>
      </c>
      <c r="D177" s="40" t="s">
        <v>65</v>
      </c>
      <c r="E177" s="37" t="str">
        <f>IFERROR(VLOOKUP(D177,CLIENTES!$B$12:$G$2602,2,FALSE),"")</f>
        <v>CECILIA MARCELA MATULIC CARMONA</v>
      </c>
      <c r="F177" s="31">
        <v>90000</v>
      </c>
      <c r="G177" s="41" t="s">
        <v>101</v>
      </c>
      <c r="H177" s="26">
        <v>0</v>
      </c>
      <c r="I177" s="21" t="str">
        <f t="shared" si="10"/>
        <v>Contado</v>
      </c>
      <c r="J177" s="22">
        <f t="shared" si="11"/>
        <v>45777</v>
      </c>
      <c r="K177" s="27">
        <f t="shared" ca="1" si="12"/>
        <v>0</v>
      </c>
      <c r="L177" s="23" t="str">
        <f t="shared" si="13"/>
        <v>Pagado</v>
      </c>
      <c r="M177" s="36">
        <f>SUMIFS(Tabla_Pagos[IMPORTE ABONADO],Tabla_Pagos[FECHA DE ABONO],"&gt;0",Tabla_Pagos[NRO DOC],B177)</f>
        <v>90000</v>
      </c>
      <c r="N177" s="36">
        <f t="shared" si="14"/>
        <v>0</v>
      </c>
      <c r="O177" s="22" cm="1">
        <f t="array" ref="O177">MAX(IF((Tabla_Pagos[NRO DOC]=B177)*(Tabla_Pagos[IMPORTE ABONADO]&gt;0),Tabla_Pagos[FECHA DE ABONO]))</f>
        <v>45777</v>
      </c>
    </row>
    <row r="178" spans="2:15" ht="21" customHeight="1" x14ac:dyDescent="0.25">
      <c r="B178" s="39">
        <v>1065</v>
      </c>
      <c r="C178" s="20">
        <v>45779</v>
      </c>
      <c r="D178" s="40" t="s">
        <v>39</v>
      </c>
      <c r="E178" s="37" t="str">
        <f>IFERROR(VLOOKUP(D178,CLIENTES!$B$12:$G$2602,2,FALSE),"")</f>
        <v>PALMON SPA</v>
      </c>
      <c r="F178" s="31">
        <v>117810</v>
      </c>
      <c r="G178" s="41" t="s">
        <v>101</v>
      </c>
      <c r="H178" s="26">
        <v>0</v>
      </c>
      <c r="I178" s="21" t="str">
        <f t="shared" si="10"/>
        <v>Contado</v>
      </c>
      <c r="J178" s="22">
        <f t="shared" si="11"/>
        <v>45779</v>
      </c>
      <c r="K178" s="27">
        <f t="shared" ca="1" si="12"/>
        <v>0</v>
      </c>
      <c r="L178" s="23" t="str">
        <f t="shared" si="13"/>
        <v>Pagado</v>
      </c>
      <c r="M178" s="36">
        <f>SUMIFS(Tabla_Pagos[IMPORTE ABONADO],Tabla_Pagos[FECHA DE ABONO],"&gt;0",Tabla_Pagos[NRO DOC],B178)</f>
        <v>117810</v>
      </c>
      <c r="N178" s="36">
        <f t="shared" si="14"/>
        <v>0</v>
      </c>
      <c r="O178" s="22" cm="1">
        <f t="array" ref="O178">MAX(IF((Tabla_Pagos[NRO DOC]=B178)*(Tabla_Pagos[IMPORTE ABONADO]&gt;0),Tabla_Pagos[FECHA DE ABONO]))</f>
        <v>45779</v>
      </c>
    </row>
    <row r="179" spans="2:15" ht="21" customHeight="1" x14ac:dyDescent="0.25">
      <c r="B179" s="39">
        <v>1066</v>
      </c>
      <c r="C179" s="20">
        <v>45779</v>
      </c>
      <c r="D179" s="40" t="s">
        <v>47</v>
      </c>
      <c r="E179" s="37" t="str">
        <f>IFERROR(VLOOKUP(D179,CLIENTES!$B$12:$G$2602,2,FALSE),"")</f>
        <v>PATAGONIA SERVICIOS SPA</v>
      </c>
      <c r="F179" s="31">
        <v>2856000</v>
      </c>
      <c r="G179" s="41" t="s">
        <v>134</v>
      </c>
      <c r="H179" s="26">
        <v>30</v>
      </c>
      <c r="I179" s="21" t="str">
        <f t="shared" si="10"/>
        <v>Crédito</v>
      </c>
      <c r="J179" s="22">
        <f t="shared" si="11"/>
        <v>45809</v>
      </c>
      <c r="K179" s="27">
        <f t="shared" ca="1" si="12"/>
        <v>0</v>
      </c>
      <c r="L179" s="23" t="str">
        <f t="shared" si="13"/>
        <v>Pagado</v>
      </c>
      <c r="M179" s="36">
        <f>SUMIFS(Tabla_Pagos[IMPORTE ABONADO],Tabla_Pagos[FECHA DE ABONO],"&gt;0",Tabla_Pagos[NRO DOC],B179)</f>
        <v>2856000</v>
      </c>
      <c r="N179" s="36">
        <f t="shared" si="14"/>
        <v>0</v>
      </c>
      <c r="O179" s="22" cm="1">
        <f t="array" ref="O179">MAX(IF((Tabla_Pagos[NRO DOC]=B179)*(Tabla_Pagos[IMPORTE ABONADO]&gt;0),Tabla_Pagos[FECHA DE ABONO]))</f>
        <v>45817</v>
      </c>
    </row>
    <row r="180" spans="2:15" ht="21" customHeight="1" x14ac:dyDescent="0.25">
      <c r="B180" s="39">
        <v>1068</v>
      </c>
      <c r="C180" s="20">
        <v>45779</v>
      </c>
      <c r="D180" s="40" t="s">
        <v>44</v>
      </c>
      <c r="E180" s="37" t="str">
        <f>IFERROR(VLOOKUP(D180,CLIENTES!$B$12:$G$2602,2,FALSE),"")</f>
        <v>SKC RED SPA</v>
      </c>
      <c r="F180" s="31">
        <v>416500</v>
      </c>
      <c r="G180" s="41" t="s">
        <v>101</v>
      </c>
      <c r="H180" s="26">
        <v>30</v>
      </c>
      <c r="I180" s="21" t="str">
        <f t="shared" si="10"/>
        <v>Crédito</v>
      </c>
      <c r="J180" s="22">
        <f t="shared" si="11"/>
        <v>45809</v>
      </c>
      <c r="K180" s="27">
        <f t="shared" ca="1" si="12"/>
        <v>0</v>
      </c>
      <c r="L180" s="23" t="str">
        <f t="shared" si="13"/>
        <v>Pagado</v>
      </c>
      <c r="M180" s="36">
        <f>SUMIFS(Tabla_Pagos[IMPORTE ABONADO],Tabla_Pagos[FECHA DE ABONO],"&gt;0",Tabla_Pagos[NRO DOC],B180)</f>
        <v>416500</v>
      </c>
      <c r="N180" s="36">
        <f t="shared" si="14"/>
        <v>0</v>
      </c>
      <c r="O180" s="22" cm="1">
        <f t="array" ref="O180">MAX(IF((Tabla_Pagos[NRO DOC]=B180)*(Tabla_Pagos[IMPORTE ABONADO]&gt;0),Tabla_Pagos[FECHA DE ABONO]))</f>
        <v>45806</v>
      </c>
    </row>
    <row r="181" spans="2:15" ht="21" customHeight="1" x14ac:dyDescent="0.25">
      <c r="B181" s="39">
        <v>1069</v>
      </c>
      <c r="C181" s="20">
        <v>45779</v>
      </c>
      <c r="D181" s="40" t="s">
        <v>44</v>
      </c>
      <c r="E181" s="37" t="str">
        <f>IFERROR(VLOOKUP(D181,CLIENTES!$B$12:$G$2602,2,FALSE),"")</f>
        <v>SKC RED SPA</v>
      </c>
      <c r="F181" s="31">
        <v>95200</v>
      </c>
      <c r="G181" s="41" t="s">
        <v>101</v>
      </c>
      <c r="H181" s="26">
        <v>30</v>
      </c>
      <c r="I181" s="21" t="str">
        <f t="shared" si="10"/>
        <v>Crédito</v>
      </c>
      <c r="J181" s="22">
        <f t="shared" si="11"/>
        <v>45809</v>
      </c>
      <c r="K181" s="27">
        <f t="shared" ca="1" si="12"/>
        <v>0</v>
      </c>
      <c r="L181" s="23" t="str">
        <f t="shared" si="13"/>
        <v>Pagado</v>
      </c>
      <c r="M181" s="36">
        <f>SUMIFS(Tabla_Pagos[IMPORTE ABONADO],Tabla_Pagos[FECHA DE ABONO],"&gt;0",Tabla_Pagos[NRO DOC],B181)</f>
        <v>95200</v>
      </c>
      <c r="N181" s="36">
        <f t="shared" si="14"/>
        <v>0</v>
      </c>
      <c r="O181" s="22" cm="1">
        <f t="array" ref="O181">MAX(IF((Tabla_Pagos[NRO DOC]=B181)*(Tabla_Pagos[IMPORTE ABONADO]&gt;0),Tabla_Pagos[FECHA DE ABONO]))</f>
        <v>45806</v>
      </c>
    </row>
    <row r="182" spans="2:15" ht="21" customHeight="1" x14ac:dyDescent="0.25">
      <c r="B182" s="39">
        <v>1070</v>
      </c>
      <c r="C182" s="20">
        <v>45779</v>
      </c>
      <c r="D182" s="40" t="s">
        <v>44</v>
      </c>
      <c r="E182" s="37" t="str">
        <f>IFERROR(VLOOKUP(D182,CLIENTES!$B$12:$G$2602,2,FALSE),"")</f>
        <v>SKC RED SPA</v>
      </c>
      <c r="F182" s="31">
        <v>297500</v>
      </c>
      <c r="G182" s="41" t="s">
        <v>101</v>
      </c>
      <c r="H182" s="26">
        <v>30</v>
      </c>
      <c r="I182" s="21" t="str">
        <f t="shared" si="10"/>
        <v>Crédito</v>
      </c>
      <c r="J182" s="22">
        <f t="shared" si="11"/>
        <v>45809</v>
      </c>
      <c r="K182" s="27">
        <f t="shared" ca="1" si="12"/>
        <v>0</v>
      </c>
      <c r="L182" s="23" t="str">
        <f t="shared" si="13"/>
        <v>Pagado</v>
      </c>
      <c r="M182" s="36">
        <f>SUMIFS(Tabla_Pagos[IMPORTE ABONADO],Tabla_Pagos[FECHA DE ABONO],"&gt;0",Tabla_Pagos[NRO DOC],B182)</f>
        <v>297500</v>
      </c>
      <c r="N182" s="36">
        <f t="shared" si="14"/>
        <v>0</v>
      </c>
      <c r="O182" s="22" cm="1">
        <f t="array" ref="O182">MAX(IF((Tabla_Pagos[NRO DOC]=B182)*(Tabla_Pagos[IMPORTE ABONADO]&gt;0),Tabla_Pagos[FECHA DE ABONO]))</f>
        <v>45806</v>
      </c>
    </row>
    <row r="183" spans="2:15" ht="21" customHeight="1" x14ac:dyDescent="0.25">
      <c r="B183" s="39">
        <v>1071</v>
      </c>
      <c r="C183" s="20">
        <v>45779</v>
      </c>
      <c r="D183" s="40" t="s">
        <v>44</v>
      </c>
      <c r="E183" s="37" t="str">
        <f>IFERROR(VLOOKUP(D183,CLIENTES!$B$12:$G$2602,2,FALSE),"")</f>
        <v>SKC RED SPA</v>
      </c>
      <c r="F183" s="31">
        <v>178500</v>
      </c>
      <c r="G183" s="41" t="s">
        <v>101</v>
      </c>
      <c r="H183" s="26">
        <v>30</v>
      </c>
      <c r="I183" s="21" t="str">
        <f t="shared" si="10"/>
        <v>Crédito</v>
      </c>
      <c r="J183" s="22">
        <f t="shared" si="11"/>
        <v>45809</v>
      </c>
      <c r="K183" s="27">
        <f t="shared" ca="1" si="12"/>
        <v>0</v>
      </c>
      <c r="L183" s="23" t="str">
        <f t="shared" si="13"/>
        <v>Pagado</v>
      </c>
      <c r="M183" s="36">
        <f>SUMIFS(Tabla_Pagos[IMPORTE ABONADO],Tabla_Pagos[FECHA DE ABONO],"&gt;0",Tabla_Pagos[NRO DOC],B183)</f>
        <v>178500</v>
      </c>
      <c r="N183" s="36">
        <f t="shared" si="14"/>
        <v>0</v>
      </c>
      <c r="O183" s="22" cm="1">
        <f t="array" ref="O183">MAX(IF((Tabla_Pagos[NRO DOC]=B183)*(Tabla_Pagos[IMPORTE ABONADO]&gt;0),Tabla_Pagos[FECHA DE ABONO]))</f>
        <v>45806</v>
      </c>
    </row>
    <row r="184" spans="2:15" ht="21" customHeight="1" x14ac:dyDescent="0.25">
      <c r="B184" s="39">
        <v>1072</v>
      </c>
      <c r="C184" s="20">
        <v>45779</v>
      </c>
      <c r="D184" s="40" t="s">
        <v>102</v>
      </c>
      <c r="E184" s="37" t="str">
        <f>IFERROR(VLOOKUP(D184,CLIENTES!$B$12:$G$2602,2,FALSE),"")</f>
        <v>CONSTRUCTORA CARLOS ALBERTO ANDRES ALBISTUR REYES E.I.R.L.</v>
      </c>
      <c r="F184" s="31">
        <v>358904</v>
      </c>
      <c r="G184" s="41" t="s">
        <v>101</v>
      </c>
      <c r="H184" s="26">
        <v>30</v>
      </c>
      <c r="I184" s="21" t="str">
        <f t="shared" si="10"/>
        <v>Crédito</v>
      </c>
      <c r="J184" s="22">
        <f t="shared" si="11"/>
        <v>45809</v>
      </c>
      <c r="K184" s="27">
        <f t="shared" ca="1" si="12"/>
        <v>0</v>
      </c>
      <c r="L184" s="23" t="str">
        <f t="shared" si="13"/>
        <v>Pagado</v>
      </c>
      <c r="M184" s="36">
        <f>SUMIFS(Tabla_Pagos[IMPORTE ABONADO],Tabla_Pagos[FECHA DE ABONO],"&gt;0",Tabla_Pagos[NRO DOC],B184)</f>
        <v>358904</v>
      </c>
      <c r="N184" s="36">
        <f t="shared" si="14"/>
        <v>0</v>
      </c>
      <c r="O184" s="22" cm="1">
        <f t="array" ref="O184">MAX(IF((Tabla_Pagos[NRO DOC]=B184)*(Tabla_Pagos[IMPORTE ABONADO]&gt;0),Tabla_Pagos[FECHA DE ABONO]))</f>
        <v>45796</v>
      </c>
    </row>
    <row r="185" spans="2:15" ht="21" customHeight="1" x14ac:dyDescent="0.25">
      <c r="B185" s="39">
        <v>1073</v>
      </c>
      <c r="C185" s="20">
        <v>45779</v>
      </c>
      <c r="D185" s="40" t="s">
        <v>102</v>
      </c>
      <c r="E185" s="37" t="str">
        <f>IFERROR(VLOOKUP(D185,CLIENTES!$B$12:$G$2602,2,FALSE),"")</f>
        <v>CONSTRUCTORA CARLOS ALBERTO ANDRES ALBISTUR REYES E.I.R.L.</v>
      </c>
      <c r="F185" s="31">
        <v>35700</v>
      </c>
      <c r="G185" s="41" t="s">
        <v>101</v>
      </c>
      <c r="H185" s="26">
        <v>30</v>
      </c>
      <c r="I185" s="21" t="str">
        <f t="shared" si="10"/>
        <v>Crédito</v>
      </c>
      <c r="J185" s="22">
        <f t="shared" si="11"/>
        <v>45809</v>
      </c>
      <c r="K185" s="27">
        <f t="shared" ca="1" si="12"/>
        <v>0</v>
      </c>
      <c r="L185" s="23" t="str">
        <f t="shared" si="13"/>
        <v>Pagado</v>
      </c>
      <c r="M185" s="36">
        <f>SUMIFS(Tabla_Pagos[IMPORTE ABONADO],Tabla_Pagos[FECHA DE ABONO],"&gt;0",Tabla_Pagos[NRO DOC],B185)</f>
        <v>35700</v>
      </c>
      <c r="N185" s="36">
        <f t="shared" si="14"/>
        <v>0</v>
      </c>
      <c r="O185" s="22" cm="1">
        <f t="array" ref="O185">MAX(IF((Tabla_Pagos[NRO DOC]=B185)*(Tabla_Pagos[IMPORTE ABONADO]&gt;0),Tabla_Pagos[FECHA DE ABONO]))</f>
        <v>45796</v>
      </c>
    </row>
    <row r="186" spans="2:15" ht="21" customHeight="1" x14ac:dyDescent="0.25">
      <c r="B186" s="39">
        <v>1074</v>
      </c>
      <c r="C186" s="20">
        <v>45779</v>
      </c>
      <c r="D186" s="40" t="s">
        <v>44</v>
      </c>
      <c r="E186" s="37" t="str">
        <f>IFERROR(VLOOKUP(D186,CLIENTES!$B$12:$G$2602,2,FALSE),"")</f>
        <v>SKC RED SPA</v>
      </c>
      <c r="F186" s="31">
        <v>345100</v>
      </c>
      <c r="G186" s="41" t="s">
        <v>101</v>
      </c>
      <c r="H186" s="26">
        <v>30</v>
      </c>
      <c r="I186" s="21" t="str">
        <f t="shared" si="10"/>
        <v>Crédito</v>
      </c>
      <c r="J186" s="22">
        <f t="shared" si="11"/>
        <v>45809</v>
      </c>
      <c r="K186" s="27">
        <f t="shared" ca="1" si="12"/>
        <v>0</v>
      </c>
      <c r="L186" s="23" t="str">
        <f t="shared" si="13"/>
        <v>Pagado</v>
      </c>
      <c r="M186" s="36">
        <f>SUMIFS(Tabla_Pagos[IMPORTE ABONADO],Tabla_Pagos[FECHA DE ABONO],"&gt;0",Tabla_Pagos[NRO DOC],B186)</f>
        <v>345100</v>
      </c>
      <c r="N186" s="36">
        <f t="shared" si="14"/>
        <v>0</v>
      </c>
      <c r="O186" s="22" cm="1">
        <f t="array" ref="O186">MAX(IF((Tabla_Pagos[NRO DOC]=B186)*(Tabla_Pagos[IMPORTE ABONADO]&gt;0),Tabla_Pagos[FECHA DE ABONO]))</f>
        <v>45779</v>
      </c>
    </row>
    <row r="187" spans="2:15" ht="21" customHeight="1" x14ac:dyDescent="0.25">
      <c r="B187" s="39">
        <v>1075</v>
      </c>
      <c r="C187" s="20">
        <v>45779</v>
      </c>
      <c r="D187" s="40" t="s">
        <v>102</v>
      </c>
      <c r="E187" s="37" t="str">
        <f>IFERROR(VLOOKUP(D187,CLIENTES!$B$12:$G$2602,2,FALSE),"")</f>
        <v>CONSTRUCTORA CARLOS ALBERTO ANDRES ALBISTUR REYES E.I.R.L.</v>
      </c>
      <c r="F187" s="31">
        <v>71400</v>
      </c>
      <c r="G187" s="41" t="s">
        <v>101</v>
      </c>
      <c r="H187" s="26">
        <v>30</v>
      </c>
      <c r="I187" s="21" t="str">
        <f t="shared" si="10"/>
        <v>Crédito</v>
      </c>
      <c r="J187" s="22">
        <f t="shared" si="11"/>
        <v>45809</v>
      </c>
      <c r="K187" s="27">
        <f t="shared" ca="1" si="12"/>
        <v>0</v>
      </c>
      <c r="L187" s="23" t="str">
        <f t="shared" si="13"/>
        <v>Pagado</v>
      </c>
      <c r="M187" s="36">
        <f>SUMIFS(Tabla_Pagos[IMPORTE ABONADO],Tabla_Pagos[FECHA DE ABONO],"&gt;0",Tabla_Pagos[NRO DOC],B187)</f>
        <v>71400</v>
      </c>
      <c r="N187" s="36">
        <f t="shared" si="14"/>
        <v>0</v>
      </c>
      <c r="O187" s="22" cm="1">
        <f t="array" ref="O187">MAX(IF((Tabla_Pagos[NRO DOC]=B187)*(Tabla_Pagos[IMPORTE ABONADO]&gt;0),Tabla_Pagos[FECHA DE ABONO]))</f>
        <v>45789</v>
      </c>
    </row>
    <row r="188" spans="2:15" ht="21" customHeight="1" x14ac:dyDescent="0.25">
      <c r="B188" s="39">
        <v>1076</v>
      </c>
      <c r="C188" s="20">
        <v>45779</v>
      </c>
      <c r="D188" s="40" t="s">
        <v>102</v>
      </c>
      <c r="E188" s="37" t="str">
        <f>IFERROR(VLOOKUP(D188,CLIENTES!$B$12:$G$2602,2,FALSE),"")</f>
        <v>CONSTRUCTORA CARLOS ALBERTO ANDRES ALBISTUR REYES E.I.R.L.</v>
      </c>
      <c r="F188" s="31">
        <v>35700</v>
      </c>
      <c r="G188" s="41" t="s">
        <v>101</v>
      </c>
      <c r="H188" s="26">
        <v>30</v>
      </c>
      <c r="I188" s="21" t="str">
        <f t="shared" si="10"/>
        <v>Crédito</v>
      </c>
      <c r="J188" s="22">
        <f t="shared" si="11"/>
        <v>45809</v>
      </c>
      <c r="K188" s="27">
        <f t="shared" ca="1" si="12"/>
        <v>0</v>
      </c>
      <c r="L188" s="23" t="str">
        <f t="shared" si="13"/>
        <v>Pagado</v>
      </c>
      <c r="M188" s="36">
        <f>SUMIFS(Tabla_Pagos[IMPORTE ABONADO],Tabla_Pagos[FECHA DE ABONO],"&gt;0",Tabla_Pagos[NRO DOC],B188)</f>
        <v>35700</v>
      </c>
      <c r="N188" s="36">
        <f t="shared" si="14"/>
        <v>0</v>
      </c>
      <c r="O188" s="22" cm="1">
        <f t="array" ref="O188">MAX(IF((Tabla_Pagos[NRO DOC]=B188)*(Tabla_Pagos[IMPORTE ABONADO]&gt;0),Tabla_Pagos[FECHA DE ABONO]))</f>
        <v>45789</v>
      </c>
    </row>
    <row r="189" spans="2:15" ht="21" customHeight="1" x14ac:dyDescent="0.25">
      <c r="B189" s="39">
        <v>1077</v>
      </c>
      <c r="C189" s="20">
        <v>45779</v>
      </c>
      <c r="D189" s="40" t="s">
        <v>103</v>
      </c>
      <c r="E189" s="37" t="str">
        <f>IFERROR(VLOOKUP(D189,CLIENTES!$B$12:$G$2602,2,FALSE),"")</f>
        <v>SERVICIOS,TRANSPORTE Y ARRIENDO DE MAQUINARIAS LIMITADA</v>
      </c>
      <c r="F189" s="31">
        <v>529550</v>
      </c>
      <c r="G189" s="41" t="s">
        <v>101</v>
      </c>
      <c r="H189" s="26">
        <v>0</v>
      </c>
      <c r="I189" s="21" t="str">
        <f t="shared" si="10"/>
        <v>Contado</v>
      </c>
      <c r="J189" s="22">
        <f t="shared" si="11"/>
        <v>45779</v>
      </c>
      <c r="K189" s="27">
        <f t="shared" ca="1" si="12"/>
        <v>0</v>
      </c>
      <c r="L189" s="23" t="str">
        <f t="shared" si="13"/>
        <v>Pagado</v>
      </c>
      <c r="M189" s="36">
        <f>SUMIFS(Tabla_Pagos[IMPORTE ABONADO],Tabla_Pagos[FECHA DE ABONO],"&gt;0",Tabla_Pagos[NRO DOC],B189)</f>
        <v>529550</v>
      </c>
      <c r="N189" s="36">
        <f t="shared" si="14"/>
        <v>0</v>
      </c>
      <c r="O189" s="22" cm="1">
        <f t="array" ref="O189">MAX(IF((Tabla_Pagos[NRO DOC]=B189)*(Tabla_Pagos[IMPORTE ABONADO]&gt;0),Tabla_Pagos[FECHA DE ABONO]))</f>
        <v>45779</v>
      </c>
    </row>
    <row r="190" spans="2:15" ht="21" customHeight="1" x14ac:dyDescent="0.25">
      <c r="B190" s="39">
        <v>1078</v>
      </c>
      <c r="C190" s="20">
        <v>45779</v>
      </c>
      <c r="D190" s="40" t="s">
        <v>52</v>
      </c>
      <c r="E190" s="37" t="str">
        <f>IFERROR(VLOOKUP(D190,CLIENTES!$B$12:$G$2602,2,FALSE),"")</f>
        <v>PAVIMENTOS CHILENOS LIMITADA</v>
      </c>
      <c r="F190" s="31">
        <v>155295</v>
      </c>
      <c r="G190" s="41" t="s">
        <v>101</v>
      </c>
      <c r="H190" s="26">
        <v>30</v>
      </c>
      <c r="I190" s="21" t="str">
        <f t="shared" si="10"/>
        <v>Crédito</v>
      </c>
      <c r="J190" s="22">
        <f t="shared" si="11"/>
        <v>45809</v>
      </c>
      <c r="K190" s="27">
        <f t="shared" ca="1" si="12"/>
        <v>0</v>
      </c>
      <c r="L190" s="23" t="str">
        <f t="shared" si="13"/>
        <v>Pagado</v>
      </c>
      <c r="M190" s="36">
        <f>SUMIFS(Tabla_Pagos[IMPORTE ABONADO],Tabla_Pagos[FECHA DE ABONO],"&gt;0",Tabla_Pagos[NRO DOC],B190)</f>
        <v>155295</v>
      </c>
      <c r="N190" s="36">
        <f t="shared" si="14"/>
        <v>0</v>
      </c>
      <c r="O190" s="22" cm="1">
        <f t="array" ref="O190">MAX(IF((Tabla_Pagos[NRO DOC]=B190)*(Tabla_Pagos[IMPORTE ABONADO]&gt;0),Tabla_Pagos[FECHA DE ABONO]))</f>
        <v>45793</v>
      </c>
    </row>
    <row r="191" spans="2:15" ht="21" customHeight="1" x14ac:dyDescent="0.25">
      <c r="B191" s="39">
        <v>1079</v>
      </c>
      <c r="C191" s="20">
        <v>45779</v>
      </c>
      <c r="D191" s="40" t="s">
        <v>104</v>
      </c>
      <c r="E191" s="37" t="str">
        <f>IFERROR(VLOOKUP(D191,CLIENTES!$B$12:$G$2602,2,FALSE),"")</f>
        <v>SA INVERSIONES SPA</v>
      </c>
      <c r="F191" s="31">
        <v>928200</v>
      </c>
      <c r="G191" s="41" t="s">
        <v>101</v>
      </c>
      <c r="H191" s="26">
        <v>30</v>
      </c>
      <c r="I191" s="21" t="str">
        <f t="shared" si="10"/>
        <v>Crédito</v>
      </c>
      <c r="J191" s="22">
        <f t="shared" si="11"/>
        <v>45809</v>
      </c>
      <c r="K191" s="27">
        <f t="shared" ca="1" si="12"/>
        <v>0</v>
      </c>
      <c r="L191" s="23" t="str">
        <f t="shared" si="13"/>
        <v>Pagado</v>
      </c>
      <c r="M191" s="36">
        <f>SUMIFS(Tabla_Pagos[IMPORTE ABONADO],Tabla_Pagos[FECHA DE ABONO],"&gt;0",Tabla_Pagos[NRO DOC],B191)</f>
        <v>928200</v>
      </c>
      <c r="N191" s="36">
        <f t="shared" si="14"/>
        <v>0</v>
      </c>
      <c r="O191" s="22" cm="1">
        <f t="array" ref="O191">MAX(IF((Tabla_Pagos[NRO DOC]=B191)*(Tabla_Pagos[IMPORTE ABONADO]&gt;0),Tabla_Pagos[FECHA DE ABONO]))</f>
        <v>45779</v>
      </c>
    </row>
    <row r="192" spans="2:15" ht="21" customHeight="1" x14ac:dyDescent="0.25">
      <c r="B192" s="39">
        <v>1080</v>
      </c>
      <c r="C192" s="20">
        <v>45779</v>
      </c>
      <c r="D192" s="40" t="s">
        <v>105</v>
      </c>
      <c r="E192" s="37" t="str">
        <f>IFERROR(VLOOKUP(D192,CLIENTES!$B$12:$G$2602,2,FALSE),"")</f>
        <v>INGENIERIA C Y G LIMITADA</v>
      </c>
      <c r="F192" s="31">
        <v>791350</v>
      </c>
      <c r="G192" s="41" t="s">
        <v>101</v>
      </c>
      <c r="H192" s="26">
        <v>30</v>
      </c>
      <c r="I192" s="21" t="str">
        <f t="shared" si="10"/>
        <v>Crédito</v>
      </c>
      <c r="J192" s="22">
        <f t="shared" si="11"/>
        <v>45809</v>
      </c>
      <c r="K192" s="27">
        <f t="shared" ca="1" si="12"/>
        <v>0</v>
      </c>
      <c r="L192" s="23" t="str">
        <f t="shared" si="13"/>
        <v>Pagado</v>
      </c>
      <c r="M192" s="36">
        <f>SUMIFS(Tabla_Pagos[IMPORTE ABONADO],Tabla_Pagos[FECHA DE ABONO],"&gt;0",Tabla_Pagos[NRO DOC],B192)</f>
        <v>791350</v>
      </c>
      <c r="N192" s="36">
        <f t="shared" si="14"/>
        <v>0</v>
      </c>
      <c r="O192" s="22" cm="1">
        <f t="array" ref="O192">MAX(IF((Tabla_Pagos[NRO DOC]=B192)*(Tabla_Pagos[IMPORTE ABONADO]&gt;0),Tabla_Pagos[FECHA DE ABONO]))</f>
        <v>45813</v>
      </c>
    </row>
    <row r="193" spans="2:15" ht="21" customHeight="1" x14ac:dyDescent="0.25">
      <c r="B193" s="39">
        <v>1081</v>
      </c>
      <c r="C193" s="20">
        <v>45779</v>
      </c>
      <c r="D193" s="40" t="s">
        <v>105</v>
      </c>
      <c r="E193" s="37" t="str">
        <f>IFERROR(VLOOKUP(D193,CLIENTES!$B$12:$G$2602,2,FALSE),"")</f>
        <v>INGENIERIA C Y G LIMITADA</v>
      </c>
      <c r="F193" s="31">
        <v>128520</v>
      </c>
      <c r="G193" s="41" t="s">
        <v>101</v>
      </c>
      <c r="H193" s="26">
        <v>30</v>
      </c>
      <c r="I193" s="21" t="str">
        <f t="shared" si="10"/>
        <v>Crédito</v>
      </c>
      <c r="J193" s="22">
        <f t="shared" si="11"/>
        <v>45809</v>
      </c>
      <c r="K193" s="27">
        <f t="shared" ca="1" si="12"/>
        <v>0</v>
      </c>
      <c r="L193" s="23" t="str">
        <f t="shared" si="13"/>
        <v>Pagado</v>
      </c>
      <c r="M193" s="36">
        <f>SUMIFS(Tabla_Pagos[IMPORTE ABONADO],Tabla_Pagos[FECHA DE ABONO],"&gt;0",Tabla_Pagos[NRO DOC],B193)</f>
        <v>128520</v>
      </c>
      <c r="N193" s="36">
        <f t="shared" si="14"/>
        <v>0</v>
      </c>
      <c r="O193" s="22" cm="1">
        <f t="array" ref="O193">MAX(IF((Tabla_Pagos[NRO DOC]=B193)*(Tabla_Pagos[IMPORTE ABONADO]&gt;0),Tabla_Pagos[FECHA DE ABONO]))</f>
        <v>45813</v>
      </c>
    </row>
    <row r="194" spans="2:15" ht="21" customHeight="1" x14ac:dyDescent="0.25">
      <c r="B194" s="39">
        <v>1082</v>
      </c>
      <c r="C194" s="20">
        <v>45779</v>
      </c>
      <c r="D194" s="40" t="s">
        <v>106</v>
      </c>
      <c r="E194" s="37" t="str">
        <f>IFERROR(VLOOKUP(D194,CLIENTES!$B$12:$G$2602,2,FALSE),"")</f>
        <v>COMERCIAL SERPAN SPA</v>
      </c>
      <c r="F194" s="31">
        <v>11900</v>
      </c>
      <c r="G194" s="41" t="s">
        <v>101</v>
      </c>
      <c r="H194" s="26">
        <v>30</v>
      </c>
      <c r="I194" s="21" t="str">
        <f t="shared" si="10"/>
        <v>Crédito</v>
      </c>
      <c r="J194" s="22">
        <f t="shared" si="11"/>
        <v>45809</v>
      </c>
      <c r="K194" s="27">
        <f t="shared" ca="1" si="12"/>
        <v>0</v>
      </c>
      <c r="L194" s="23" t="str">
        <f t="shared" si="13"/>
        <v>Pagado</v>
      </c>
      <c r="M194" s="36">
        <f>SUMIFS(Tabla_Pagos[IMPORTE ABONADO],Tabla_Pagos[FECHA DE ABONO],"&gt;0",Tabla_Pagos[NRO DOC],B194)</f>
        <v>11900</v>
      </c>
      <c r="N194" s="36">
        <f t="shared" si="14"/>
        <v>0</v>
      </c>
      <c r="O194" s="22" cm="1">
        <f t="array" ref="O194">MAX(IF((Tabla_Pagos[NRO DOC]=B194)*(Tabla_Pagos[IMPORTE ABONADO]&gt;0),Tabla_Pagos[FECHA DE ABONO]))</f>
        <v>45814</v>
      </c>
    </row>
    <row r="195" spans="2:15" ht="21" customHeight="1" x14ac:dyDescent="0.25">
      <c r="B195" s="39">
        <v>1083</v>
      </c>
      <c r="C195" s="20">
        <v>45779</v>
      </c>
      <c r="D195" s="40" t="s">
        <v>106</v>
      </c>
      <c r="E195" s="37" t="str">
        <f>IFERROR(VLOOKUP(D195,CLIENTES!$B$12:$G$2602,2,FALSE),"")</f>
        <v>COMERCIAL SERPAN SPA</v>
      </c>
      <c r="F195" s="31">
        <v>11900</v>
      </c>
      <c r="G195" s="41" t="s">
        <v>101</v>
      </c>
      <c r="H195" s="26">
        <v>30</v>
      </c>
      <c r="I195" s="21" t="str">
        <f t="shared" si="10"/>
        <v>Crédito</v>
      </c>
      <c r="J195" s="22">
        <f t="shared" si="11"/>
        <v>45809</v>
      </c>
      <c r="K195" s="27">
        <f t="shared" ca="1" si="12"/>
        <v>0</v>
      </c>
      <c r="L195" s="23" t="str">
        <f t="shared" si="13"/>
        <v>Pagado</v>
      </c>
      <c r="M195" s="36">
        <f>SUMIFS(Tabla_Pagos[IMPORTE ABONADO],Tabla_Pagos[FECHA DE ABONO],"&gt;0",Tabla_Pagos[NRO DOC],B195)</f>
        <v>11900</v>
      </c>
      <c r="N195" s="36">
        <f t="shared" si="14"/>
        <v>0</v>
      </c>
      <c r="O195" s="22" cm="1">
        <f t="array" ref="O195">MAX(IF((Tabla_Pagos[NRO DOC]=B195)*(Tabla_Pagos[IMPORTE ABONADO]&gt;0),Tabla_Pagos[FECHA DE ABONO]))</f>
        <v>45814</v>
      </c>
    </row>
    <row r="196" spans="2:15" ht="21" customHeight="1" x14ac:dyDescent="0.25">
      <c r="B196" s="39">
        <v>1084</v>
      </c>
      <c r="C196" s="20">
        <v>45779</v>
      </c>
      <c r="D196" s="40" t="s">
        <v>106</v>
      </c>
      <c r="E196" s="37" t="str">
        <f>IFERROR(VLOOKUP(D196,CLIENTES!$B$12:$G$2602,2,FALSE),"")</f>
        <v>COMERCIAL SERPAN SPA</v>
      </c>
      <c r="F196" s="31">
        <v>11900</v>
      </c>
      <c r="G196" s="41" t="s">
        <v>101</v>
      </c>
      <c r="H196" s="26">
        <v>30</v>
      </c>
      <c r="I196" s="21" t="str">
        <f t="shared" si="10"/>
        <v>Crédito</v>
      </c>
      <c r="J196" s="22">
        <f t="shared" si="11"/>
        <v>45809</v>
      </c>
      <c r="K196" s="27">
        <f t="shared" ca="1" si="12"/>
        <v>0</v>
      </c>
      <c r="L196" s="23" t="str">
        <f t="shared" si="13"/>
        <v>Pagado</v>
      </c>
      <c r="M196" s="36">
        <f>SUMIFS(Tabla_Pagos[IMPORTE ABONADO],Tabla_Pagos[FECHA DE ABONO],"&gt;0",Tabla_Pagos[NRO DOC],B196)</f>
        <v>11900</v>
      </c>
      <c r="N196" s="36">
        <f t="shared" si="14"/>
        <v>0</v>
      </c>
      <c r="O196" s="22" cm="1">
        <f t="array" ref="O196">MAX(IF((Tabla_Pagos[NRO DOC]=B196)*(Tabla_Pagos[IMPORTE ABONADO]&gt;0),Tabla_Pagos[FECHA DE ABONO]))</f>
        <v>45814</v>
      </c>
    </row>
    <row r="197" spans="2:15" ht="21" customHeight="1" x14ac:dyDescent="0.25">
      <c r="B197" s="39">
        <v>1085</v>
      </c>
      <c r="C197" s="20">
        <v>45779</v>
      </c>
      <c r="D197" s="40" t="s">
        <v>102</v>
      </c>
      <c r="E197" s="37" t="str">
        <f>IFERROR(VLOOKUP(D197,CLIENTES!$B$12:$G$2602,2,FALSE),"")</f>
        <v>CONSTRUCTORA CARLOS ALBERTO ANDRES ALBISTUR REYES E.I.R.L.</v>
      </c>
      <c r="F197" s="31">
        <v>151368</v>
      </c>
      <c r="G197" s="41" t="s">
        <v>101</v>
      </c>
      <c r="H197" s="26">
        <v>30</v>
      </c>
      <c r="I197" s="21" t="str">
        <f t="shared" si="10"/>
        <v>Crédito</v>
      </c>
      <c r="J197" s="22">
        <f t="shared" si="11"/>
        <v>45809</v>
      </c>
      <c r="K197" s="27">
        <f t="shared" ca="1" si="12"/>
        <v>0</v>
      </c>
      <c r="L197" s="23" t="str">
        <f t="shared" si="13"/>
        <v>Pagado</v>
      </c>
      <c r="M197" s="36">
        <f>SUMIFS(Tabla_Pagos[IMPORTE ABONADO],Tabla_Pagos[FECHA DE ABONO],"&gt;0",Tabla_Pagos[NRO DOC],B197)</f>
        <v>151368</v>
      </c>
      <c r="N197" s="36">
        <f t="shared" si="14"/>
        <v>0</v>
      </c>
      <c r="O197" s="22" cm="1">
        <f t="array" ref="O197">MAX(IF((Tabla_Pagos[NRO DOC]=B197)*(Tabla_Pagos[IMPORTE ABONADO]&gt;0),Tabla_Pagos[FECHA DE ABONO]))</f>
        <v>45796</v>
      </c>
    </row>
    <row r="198" spans="2:15" ht="21" customHeight="1" x14ac:dyDescent="0.25">
      <c r="B198" s="39">
        <v>1086</v>
      </c>
      <c r="C198" s="20">
        <v>45780</v>
      </c>
      <c r="D198" s="40" t="s">
        <v>107</v>
      </c>
      <c r="E198" s="37" t="str">
        <f>IFERROR(VLOOKUP(D198,CLIENTES!$B$12:$G$2602,2,FALSE),"")</f>
        <v>CAROLINA ANDREA BARRERA QUINELEN</v>
      </c>
      <c r="F198" s="31">
        <v>250000</v>
      </c>
      <c r="G198" s="41" t="s">
        <v>101</v>
      </c>
      <c r="H198" s="26">
        <v>0</v>
      </c>
      <c r="I198" s="21" t="str">
        <f t="shared" si="10"/>
        <v>Contado</v>
      </c>
      <c r="J198" s="22">
        <f t="shared" si="11"/>
        <v>45780</v>
      </c>
      <c r="K198" s="27">
        <f t="shared" ca="1" si="12"/>
        <v>0</v>
      </c>
      <c r="L198" s="23" t="str">
        <f t="shared" si="13"/>
        <v>Pagado</v>
      </c>
      <c r="M198" s="36">
        <f>SUMIFS(Tabla_Pagos[IMPORTE ABONADO],Tabla_Pagos[FECHA DE ABONO],"&gt;0",Tabla_Pagos[NRO DOC],B198)</f>
        <v>250000</v>
      </c>
      <c r="N198" s="36">
        <f t="shared" si="14"/>
        <v>0</v>
      </c>
      <c r="O198" s="22" cm="1">
        <f t="array" ref="O198">MAX(IF((Tabla_Pagos[NRO DOC]=B198)*(Tabla_Pagos[IMPORTE ABONADO]&gt;0),Tabla_Pagos[FECHA DE ABONO]))</f>
        <v>45780</v>
      </c>
    </row>
    <row r="199" spans="2:15" ht="21" customHeight="1" x14ac:dyDescent="0.25">
      <c r="B199" s="39">
        <v>1087</v>
      </c>
      <c r="C199" s="20">
        <v>45782</v>
      </c>
      <c r="D199" s="40" t="s">
        <v>108</v>
      </c>
      <c r="E199" s="37" t="str">
        <f>IFERROR(VLOOKUP(D199,CLIENTES!$B$12:$G$2602,2,FALSE),"")</f>
        <v>IMPORTADORA Y COMERCIAL JOMIAL LIMITADA</v>
      </c>
      <c r="F199" s="31">
        <v>35700</v>
      </c>
      <c r="G199" s="41" t="s">
        <v>101</v>
      </c>
      <c r="H199" s="26">
        <v>0</v>
      </c>
      <c r="I199" s="21" t="str">
        <f t="shared" si="10"/>
        <v>Contado</v>
      </c>
      <c r="J199" s="22">
        <f t="shared" si="11"/>
        <v>45782</v>
      </c>
      <c r="K199" s="27">
        <f t="shared" ca="1" si="12"/>
        <v>0</v>
      </c>
      <c r="L199" s="23" t="str">
        <f t="shared" si="13"/>
        <v>Pagado</v>
      </c>
      <c r="M199" s="36">
        <f>SUMIFS(Tabla_Pagos[IMPORTE ABONADO],Tabla_Pagos[FECHA DE ABONO],"&gt;0",Tabla_Pagos[NRO DOC],B199)</f>
        <v>35700</v>
      </c>
      <c r="N199" s="36">
        <f t="shared" si="14"/>
        <v>0</v>
      </c>
      <c r="O199" s="22" cm="1">
        <f t="array" ref="O199">MAX(IF((Tabla_Pagos[NRO DOC]=B199)*(Tabla_Pagos[IMPORTE ABONADO]&gt;0),Tabla_Pagos[FECHA DE ABONO]))</f>
        <v>45782</v>
      </c>
    </row>
    <row r="200" spans="2:15" ht="21" customHeight="1" x14ac:dyDescent="0.25">
      <c r="B200" s="39">
        <v>1088</v>
      </c>
      <c r="C200" s="20">
        <v>45782</v>
      </c>
      <c r="D200" s="40" t="s">
        <v>109</v>
      </c>
      <c r="E200" s="37" t="str">
        <f>IFERROR(VLOOKUP(D200,CLIENTES!$B$12:$G$2602,2,FALSE),"")</f>
        <v>AMAZONAS SPA</v>
      </c>
      <c r="F200" s="31">
        <v>20000</v>
      </c>
      <c r="G200" s="41" t="s">
        <v>101</v>
      </c>
      <c r="H200" s="26">
        <v>0</v>
      </c>
      <c r="I200" s="21" t="str">
        <f t="shared" si="10"/>
        <v>Contado</v>
      </c>
      <c r="J200" s="22">
        <f t="shared" si="11"/>
        <v>45782</v>
      </c>
      <c r="K200" s="27">
        <f t="shared" ca="1" si="12"/>
        <v>0</v>
      </c>
      <c r="L200" s="23" t="str">
        <f t="shared" si="13"/>
        <v>Pagado</v>
      </c>
      <c r="M200" s="36">
        <f>SUMIFS(Tabla_Pagos[IMPORTE ABONADO],Tabla_Pagos[FECHA DE ABONO],"&gt;0",Tabla_Pagos[NRO DOC],B200)</f>
        <v>20000</v>
      </c>
      <c r="N200" s="36">
        <f t="shared" si="14"/>
        <v>0</v>
      </c>
      <c r="O200" s="22" cm="1">
        <f t="array" ref="O200">MAX(IF((Tabla_Pagos[NRO DOC]=B200)*(Tabla_Pagos[IMPORTE ABONADO]&gt;0),Tabla_Pagos[FECHA DE ABONO]))</f>
        <v>45782</v>
      </c>
    </row>
    <row r="201" spans="2:15" ht="21" customHeight="1" x14ac:dyDescent="0.25">
      <c r="B201" s="39">
        <v>1089</v>
      </c>
      <c r="C201" s="20">
        <v>45782</v>
      </c>
      <c r="D201" s="40" t="s">
        <v>110</v>
      </c>
      <c r="E201" s="37" t="str">
        <f>IFERROR(VLOOKUP(D201,CLIENTES!$B$12:$G$2602,2,FALSE),"")</f>
        <v>SERVICIOS DE INGENIERIA MIRAITEK TI SPA</v>
      </c>
      <c r="F201" s="31">
        <v>100000</v>
      </c>
      <c r="G201" s="41" t="s">
        <v>101</v>
      </c>
      <c r="H201" s="26">
        <v>0</v>
      </c>
      <c r="I201" s="21" t="str">
        <f t="shared" si="10"/>
        <v>Contado</v>
      </c>
      <c r="J201" s="22">
        <f t="shared" si="11"/>
        <v>45782</v>
      </c>
      <c r="K201" s="27">
        <f t="shared" ca="1" si="12"/>
        <v>0</v>
      </c>
      <c r="L201" s="23" t="str">
        <f t="shared" si="13"/>
        <v>Pagado</v>
      </c>
      <c r="M201" s="36">
        <f>SUMIFS(Tabla_Pagos[IMPORTE ABONADO],Tabla_Pagos[FECHA DE ABONO],"&gt;0",Tabla_Pagos[NRO DOC],B201)</f>
        <v>100000</v>
      </c>
      <c r="N201" s="36">
        <f t="shared" si="14"/>
        <v>0</v>
      </c>
      <c r="O201" s="22" cm="1">
        <f t="array" ref="O201">MAX(IF((Tabla_Pagos[NRO DOC]=B201)*(Tabla_Pagos[IMPORTE ABONADO]&gt;0),Tabla_Pagos[FECHA DE ABONO]))</f>
        <v>45782</v>
      </c>
    </row>
    <row r="202" spans="2:15" ht="21" customHeight="1" x14ac:dyDescent="0.25">
      <c r="B202" s="39">
        <v>1090</v>
      </c>
      <c r="C202" s="20">
        <v>45783</v>
      </c>
      <c r="D202" s="40" t="s">
        <v>47</v>
      </c>
      <c r="E202" s="37" t="str">
        <f>IFERROR(VLOOKUP(D202,CLIENTES!$B$12:$G$2602,2,FALSE),"")</f>
        <v>PATAGONIA SERVICIOS SPA</v>
      </c>
      <c r="F202" s="31">
        <v>1190000</v>
      </c>
      <c r="G202" s="41" t="s">
        <v>134</v>
      </c>
      <c r="H202" s="26">
        <v>30</v>
      </c>
      <c r="I202" s="21" t="str">
        <f t="shared" si="10"/>
        <v>Crédito</v>
      </c>
      <c r="J202" s="22">
        <f t="shared" si="11"/>
        <v>45813</v>
      </c>
      <c r="K202" s="27">
        <f t="shared" ca="1" si="12"/>
        <v>0</v>
      </c>
      <c r="L202" s="23" t="str">
        <f t="shared" si="13"/>
        <v>Pagado</v>
      </c>
      <c r="M202" s="36">
        <f>SUMIFS(Tabla_Pagos[IMPORTE ABONADO],Tabla_Pagos[FECHA DE ABONO],"&gt;0",Tabla_Pagos[NRO DOC],B202)</f>
        <v>1190000</v>
      </c>
      <c r="N202" s="36">
        <f t="shared" si="14"/>
        <v>0</v>
      </c>
      <c r="O202" s="22" cm="1">
        <f t="array" ref="O202">MAX(IF((Tabla_Pagos[NRO DOC]=B202)*(Tabla_Pagos[IMPORTE ABONADO]&gt;0),Tabla_Pagos[FECHA DE ABONO]))</f>
        <v>45868</v>
      </c>
    </row>
    <row r="203" spans="2:15" ht="21" customHeight="1" x14ac:dyDescent="0.25">
      <c r="B203" s="39">
        <v>1091</v>
      </c>
      <c r="C203" s="20">
        <v>45783</v>
      </c>
      <c r="D203" s="40" t="s">
        <v>47</v>
      </c>
      <c r="E203" s="37" t="str">
        <f>IFERROR(VLOOKUP(D203,CLIENTES!$B$12:$G$2602,2,FALSE),"")</f>
        <v>PATAGONIA SERVICIOS SPA</v>
      </c>
      <c r="F203" s="31">
        <v>3796100</v>
      </c>
      <c r="G203" s="41" t="s">
        <v>134</v>
      </c>
      <c r="H203" s="26">
        <v>30</v>
      </c>
      <c r="I203" s="21" t="str">
        <f t="shared" si="10"/>
        <v>Crédito</v>
      </c>
      <c r="J203" s="22">
        <f t="shared" si="11"/>
        <v>45813</v>
      </c>
      <c r="K203" s="27">
        <f t="shared" ca="1" si="12"/>
        <v>0</v>
      </c>
      <c r="L203" s="23" t="str">
        <f t="shared" si="13"/>
        <v>Pagado</v>
      </c>
      <c r="M203" s="36">
        <f>SUMIFS(Tabla_Pagos[IMPORTE ABONADO],Tabla_Pagos[FECHA DE ABONO],"&gt;0",Tabla_Pagos[NRO DOC],B203)</f>
        <v>3796100</v>
      </c>
      <c r="N203" s="36">
        <f t="shared" si="14"/>
        <v>0</v>
      </c>
      <c r="O203" s="22" cm="1">
        <f t="array" ref="O203">MAX(IF((Tabla_Pagos[NRO DOC]=B203)*(Tabla_Pagos[IMPORTE ABONADO]&gt;0),Tabla_Pagos[FECHA DE ABONO]))</f>
        <v>45853</v>
      </c>
    </row>
    <row r="204" spans="2:15" ht="21" customHeight="1" x14ac:dyDescent="0.25">
      <c r="B204" s="39">
        <v>1092</v>
      </c>
      <c r="C204" s="20">
        <v>45783</v>
      </c>
      <c r="D204" s="40" t="s">
        <v>47</v>
      </c>
      <c r="E204" s="37" t="str">
        <f>IFERROR(VLOOKUP(D204,CLIENTES!$B$12:$G$2602,2,FALSE),"")</f>
        <v>PATAGONIA SERVICIOS SPA</v>
      </c>
      <c r="F204" s="31">
        <v>2975000</v>
      </c>
      <c r="G204" s="41" t="s">
        <v>134</v>
      </c>
      <c r="H204" s="26">
        <v>30</v>
      </c>
      <c r="I204" s="21" t="str">
        <f t="shared" ref="I204:I267" si="15">IF(H204="","",IF(H204=0,"Contado","Crédito"))</f>
        <v>Crédito</v>
      </c>
      <c r="J204" s="22">
        <f t="shared" ref="J204:J267" si="16">IF(I204="","",C204+H204)</f>
        <v>45813</v>
      </c>
      <c r="K204" s="27">
        <f t="shared" ref="K204:K267" ca="1" si="17">IFERROR(IF(B204="","",IF(N204=0,0,J204-TODAY())),"")</f>
        <v>0</v>
      </c>
      <c r="L204" s="23" t="str">
        <f t="shared" ref="L204:L267" si="18">IF(I204="","",IF(N204=0,"Pagado",IF(K204&lt;0,"Vencido","No vencido")))</f>
        <v>Pagado</v>
      </c>
      <c r="M204" s="36">
        <f>SUMIFS(Tabla_Pagos[IMPORTE ABONADO],Tabla_Pagos[FECHA DE ABONO],"&gt;0",Tabla_Pagos[NRO DOC],B204)</f>
        <v>2975000</v>
      </c>
      <c r="N204" s="36">
        <f t="shared" ref="N204:N267" si="19">F204-M204</f>
        <v>0</v>
      </c>
      <c r="O204" s="22" cm="1">
        <f t="array" ref="O204">MAX(IF((Tabla_Pagos[NRO DOC]=B204)*(Tabla_Pagos[IMPORTE ABONADO]&gt;0),Tabla_Pagos[FECHA DE ABONO]))</f>
        <v>45859</v>
      </c>
    </row>
    <row r="205" spans="2:15" ht="21" customHeight="1" x14ac:dyDescent="0.25">
      <c r="B205" s="39">
        <v>1093</v>
      </c>
      <c r="C205" s="20">
        <v>45783</v>
      </c>
      <c r="D205" s="40" t="s">
        <v>34</v>
      </c>
      <c r="E205" s="37" t="str">
        <f>IFERROR(VLOOKUP(D205,CLIENTES!$B$12:$G$2602,2,FALSE),"")</f>
        <v>SERVICIOS INDUSTRIALES WARNER SPA</v>
      </c>
      <c r="F205" s="31">
        <v>142800</v>
      </c>
      <c r="G205" s="41" t="s">
        <v>134</v>
      </c>
      <c r="H205" s="26">
        <v>30</v>
      </c>
      <c r="I205" s="21" t="str">
        <f t="shared" si="15"/>
        <v>Crédito</v>
      </c>
      <c r="J205" s="22">
        <f t="shared" si="16"/>
        <v>45813</v>
      </c>
      <c r="K205" s="27">
        <f t="shared" ca="1" si="17"/>
        <v>0</v>
      </c>
      <c r="L205" s="23" t="str">
        <f t="shared" si="18"/>
        <v>Pagado</v>
      </c>
      <c r="M205" s="36">
        <f>SUMIFS(Tabla_Pagos[IMPORTE ABONADO],Tabla_Pagos[FECHA DE ABONO],"&gt;0",Tabla_Pagos[NRO DOC],B205)</f>
        <v>142800</v>
      </c>
      <c r="N205" s="36">
        <f t="shared" si="19"/>
        <v>0</v>
      </c>
      <c r="O205" s="22" cm="1">
        <f t="array" ref="O205">MAX(IF((Tabla_Pagos[NRO DOC]=B205)*(Tabla_Pagos[IMPORTE ABONADO]&gt;0),Tabla_Pagos[FECHA DE ABONO]))</f>
        <v>45790</v>
      </c>
    </row>
    <row r="206" spans="2:15" ht="21" customHeight="1" x14ac:dyDescent="0.25">
      <c r="B206" s="39">
        <v>1094</v>
      </c>
      <c r="C206" s="20">
        <v>45783</v>
      </c>
      <c r="D206" s="40" t="s">
        <v>111</v>
      </c>
      <c r="E206" s="37" t="str">
        <f>IFERROR(VLOOKUP(D206,CLIENTES!$B$12:$G$2602,2,FALSE),"")</f>
        <v>GRAN CASINO DE COPIAPO S.A.</v>
      </c>
      <c r="F206" s="31">
        <v>5890500</v>
      </c>
      <c r="G206" s="41" t="s">
        <v>134</v>
      </c>
      <c r="H206" s="26">
        <v>30</v>
      </c>
      <c r="I206" s="21" t="str">
        <f t="shared" si="15"/>
        <v>Crédito</v>
      </c>
      <c r="J206" s="22">
        <f t="shared" si="16"/>
        <v>45813</v>
      </c>
      <c r="K206" s="27">
        <f t="shared" ca="1" si="17"/>
        <v>0</v>
      </c>
      <c r="L206" s="23" t="str">
        <f t="shared" si="18"/>
        <v>Pagado</v>
      </c>
      <c r="M206" s="36">
        <f>SUMIFS(Tabla_Pagos[IMPORTE ABONADO],Tabla_Pagos[FECHA DE ABONO],"&gt;0",Tabla_Pagos[NRO DOC],B206)</f>
        <v>5890500</v>
      </c>
      <c r="N206" s="36">
        <f t="shared" si="19"/>
        <v>0</v>
      </c>
      <c r="O206" s="22" cm="1">
        <f t="array" ref="O206">MAX(IF((Tabla_Pagos[NRO DOC]=B206)*(Tabla_Pagos[IMPORTE ABONADO]&gt;0),Tabla_Pagos[FECHA DE ABONO]))</f>
        <v>45827</v>
      </c>
    </row>
    <row r="207" spans="2:15" ht="21" customHeight="1" x14ac:dyDescent="0.25">
      <c r="B207" s="39">
        <v>1095</v>
      </c>
      <c r="C207" s="20">
        <v>45784</v>
      </c>
      <c r="D207" s="40" t="s">
        <v>112</v>
      </c>
      <c r="E207" s="37" t="str">
        <f>IFERROR(VLOOKUP(D207,CLIENTES!$B$12:$G$2602,2,FALSE),"")</f>
        <v>SOCIEDAD COMERCIAL MASKOLANDIA Y COMPAÑIA LIMITADA</v>
      </c>
      <c r="F207" s="31">
        <v>15000</v>
      </c>
      <c r="G207" s="41" t="s">
        <v>101</v>
      </c>
      <c r="H207" s="26">
        <v>0</v>
      </c>
      <c r="I207" s="21" t="str">
        <f t="shared" si="15"/>
        <v>Contado</v>
      </c>
      <c r="J207" s="22">
        <f t="shared" si="16"/>
        <v>45784</v>
      </c>
      <c r="K207" s="27">
        <f t="shared" ca="1" si="17"/>
        <v>0</v>
      </c>
      <c r="L207" s="23" t="str">
        <f t="shared" si="18"/>
        <v>Pagado</v>
      </c>
      <c r="M207" s="36">
        <f>SUMIFS(Tabla_Pagos[IMPORTE ABONADO],Tabla_Pagos[FECHA DE ABONO],"&gt;0",Tabla_Pagos[NRO DOC],B207)</f>
        <v>15000</v>
      </c>
      <c r="N207" s="36">
        <f t="shared" si="19"/>
        <v>0</v>
      </c>
      <c r="O207" s="22" cm="1">
        <f t="array" ref="O207">MAX(IF((Tabla_Pagos[NRO DOC]=B207)*(Tabla_Pagos[IMPORTE ABONADO]&gt;0),Tabla_Pagos[FECHA DE ABONO]))</f>
        <v>45784</v>
      </c>
    </row>
    <row r="208" spans="2:15" ht="21" customHeight="1" x14ac:dyDescent="0.25">
      <c r="B208" s="39">
        <v>1096</v>
      </c>
      <c r="C208" s="20">
        <v>45784</v>
      </c>
      <c r="D208" s="40" t="s">
        <v>113</v>
      </c>
      <c r="E208" s="37" t="str">
        <f>IFERROR(VLOOKUP(D208,CLIENTES!$B$12:$G$2602,2,FALSE),"")</f>
        <v>TRANSPORTE Y SERVICIO ALEXIS ALEJANDRO SARRIA ALDEA EMPRESA INDIVIDUAL</v>
      </c>
      <c r="F208" s="31">
        <v>20000</v>
      </c>
      <c r="G208" s="41" t="s">
        <v>101</v>
      </c>
      <c r="H208" s="26">
        <v>0</v>
      </c>
      <c r="I208" s="21" t="str">
        <f t="shared" si="15"/>
        <v>Contado</v>
      </c>
      <c r="J208" s="22">
        <f t="shared" si="16"/>
        <v>45784</v>
      </c>
      <c r="K208" s="27">
        <f t="shared" ca="1" si="17"/>
        <v>0</v>
      </c>
      <c r="L208" s="23" t="str">
        <f t="shared" si="18"/>
        <v>Pagado</v>
      </c>
      <c r="M208" s="36">
        <f>SUMIFS(Tabla_Pagos[IMPORTE ABONADO],Tabla_Pagos[FECHA DE ABONO],"&gt;0",Tabla_Pagos[NRO DOC],B208)</f>
        <v>20000</v>
      </c>
      <c r="N208" s="36">
        <f t="shared" si="19"/>
        <v>0</v>
      </c>
      <c r="O208" s="22" cm="1">
        <f t="array" ref="O208">MAX(IF((Tabla_Pagos[NRO DOC]=B208)*(Tabla_Pagos[IMPORTE ABONADO]&gt;0),Tabla_Pagos[FECHA DE ABONO]))</f>
        <v>45784</v>
      </c>
    </row>
    <row r="209" spans="2:15" ht="21" customHeight="1" x14ac:dyDescent="0.25">
      <c r="B209" s="39">
        <v>1097</v>
      </c>
      <c r="C209" s="20">
        <v>45784</v>
      </c>
      <c r="D209" s="40" t="s">
        <v>114</v>
      </c>
      <c r="E209" s="37" t="str">
        <f>IFERROR(VLOOKUP(D209,CLIENTES!$B$12:$G$2602,2,FALSE),"")</f>
        <v>ON STREET S.A.</v>
      </c>
      <c r="F209" s="31">
        <v>20000</v>
      </c>
      <c r="G209" s="41" t="s">
        <v>101</v>
      </c>
      <c r="H209" s="26">
        <v>0</v>
      </c>
      <c r="I209" s="21" t="str">
        <f t="shared" si="15"/>
        <v>Contado</v>
      </c>
      <c r="J209" s="22">
        <f t="shared" si="16"/>
        <v>45784</v>
      </c>
      <c r="K209" s="27">
        <f t="shared" ca="1" si="17"/>
        <v>0</v>
      </c>
      <c r="L209" s="23" t="str">
        <f t="shared" si="18"/>
        <v>Pagado</v>
      </c>
      <c r="M209" s="36">
        <f>SUMIFS(Tabla_Pagos[IMPORTE ABONADO],Tabla_Pagos[FECHA DE ABONO],"&gt;0",Tabla_Pagos[NRO DOC],B209)</f>
        <v>20000</v>
      </c>
      <c r="N209" s="36">
        <f t="shared" si="19"/>
        <v>0</v>
      </c>
      <c r="O209" s="22" cm="1">
        <f t="array" ref="O209">MAX(IF((Tabla_Pagos[NRO DOC]=B209)*(Tabla_Pagos[IMPORTE ABONADO]&gt;0),Tabla_Pagos[FECHA DE ABONO]))</f>
        <v>45784</v>
      </c>
    </row>
    <row r="210" spans="2:15" ht="21" customHeight="1" x14ac:dyDescent="0.25">
      <c r="B210" s="39">
        <v>1098</v>
      </c>
      <c r="C210" s="20">
        <v>45784</v>
      </c>
      <c r="D210" s="40" t="s">
        <v>115</v>
      </c>
      <c r="E210" s="37" t="str">
        <f>IFERROR(VLOOKUP(D210,CLIENTES!$B$12:$G$2602,2,FALSE),"")</f>
        <v>SOCIEDAD DE SERVICIOS FUNERARIOS S.A.</v>
      </c>
      <c r="F210" s="31">
        <v>285000</v>
      </c>
      <c r="G210" s="41" t="s">
        <v>101</v>
      </c>
      <c r="H210" s="26">
        <v>30</v>
      </c>
      <c r="I210" s="21" t="str">
        <f t="shared" si="15"/>
        <v>Crédito</v>
      </c>
      <c r="J210" s="22">
        <f t="shared" si="16"/>
        <v>45814</v>
      </c>
      <c r="K210" s="27">
        <f t="shared" ca="1" si="17"/>
        <v>0</v>
      </c>
      <c r="L210" s="23" t="str">
        <f t="shared" si="18"/>
        <v>Pagado</v>
      </c>
      <c r="M210" s="36">
        <f>SUMIFS(Tabla_Pagos[IMPORTE ABONADO],Tabla_Pagos[FECHA DE ABONO],"&gt;0",Tabla_Pagos[NRO DOC],B210)</f>
        <v>285000</v>
      </c>
      <c r="N210" s="36">
        <f t="shared" si="19"/>
        <v>0</v>
      </c>
      <c r="O210" s="22" cm="1">
        <f t="array" ref="O210">MAX(IF((Tabla_Pagos[NRO DOC]=B210)*(Tabla_Pagos[IMPORTE ABONADO]&gt;0),Tabla_Pagos[FECHA DE ABONO]))</f>
        <v>45800</v>
      </c>
    </row>
    <row r="211" spans="2:15" ht="21" customHeight="1" x14ac:dyDescent="0.25">
      <c r="B211" s="39">
        <v>1099</v>
      </c>
      <c r="C211" s="20">
        <v>45785</v>
      </c>
      <c r="D211" s="40" t="s">
        <v>130</v>
      </c>
      <c r="E211" s="37" t="str">
        <f>IFERROR(VLOOKUP(D211,CLIENTES!$B$12:$G$2602,2,FALSE),"")</f>
        <v>SERVICIOS INDS JOSE SANTOS OSSA MANICKE EIRL</v>
      </c>
      <c r="F211" s="31">
        <v>20000</v>
      </c>
      <c r="G211" s="41" t="s">
        <v>101</v>
      </c>
      <c r="H211" s="26">
        <v>0</v>
      </c>
      <c r="I211" s="21" t="str">
        <f t="shared" si="15"/>
        <v>Contado</v>
      </c>
      <c r="J211" s="22">
        <f t="shared" si="16"/>
        <v>45785</v>
      </c>
      <c r="K211" s="27">
        <f t="shared" ca="1" si="17"/>
        <v>0</v>
      </c>
      <c r="L211" s="23" t="str">
        <f t="shared" si="18"/>
        <v>Pagado</v>
      </c>
      <c r="M211" s="36">
        <f>SUMIFS(Tabla_Pagos[IMPORTE ABONADO],Tabla_Pagos[FECHA DE ABONO],"&gt;0",Tabla_Pagos[NRO DOC],B211)</f>
        <v>20000</v>
      </c>
      <c r="N211" s="36">
        <f t="shared" si="19"/>
        <v>0</v>
      </c>
      <c r="O211" s="22" cm="1">
        <f t="array" ref="O211">MAX(IF((Tabla_Pagos[NRO DOC]=B211)*(Tabla_Pagos[IMPORTE ABONADO]&gt;0),Tabla_Pagos[FECHA DE ABONO]))</f>
        <v>45785</v>
      </c>
    </row>
    <row r="212" spans="2:15" ht="21" customHeight="1" x14ac:dyDescent="0.25">
      <c r="B212" s="39">
        <v>1100</v>
      </c>
      <c r="C212" s="20">
        <v>45785</v>
      </c>
      <c r="D212" s="40" t="s">
        <v>132</v>
      </c>
      <c r="E212" s="37" t="str">
        <f>IFERROR(VLOOKUP(D212,CLIENTES!$B$12:$G$2602,2,FALSE),"")</f>
        <v>ESPACIO LUAN SPA</v>
      </c>
      <c r="F212" s="31">
        <v>20000</v>
      </c>
      <c r="G212" s="41" t="s">
        <v>101</v>
      </c>
      <c r="H212" s="26">
        <v>0</v>
      </c>
      <c r="I212" s="21" t="str">
        <f t="shared" si="15"/>
        <v>Contado</v>
      </c>
      <c r="J212" s="22">
        <f t="shared" si="16"/>
        <v>45785</v>
      </c>
      <c r="K212" s="27">
        <f t="shared" ca="1" si="17"/>
        <v>0</v>
      </c>
      <c r="L212" s="23" t="str">
        <f t="shared" si="18"/>
        <v>Pagado</v>
      </c>
      <c r="M212" s="36">
        <f>SUMIFS(Tabla_Pagos[IMPORTE ABONADO],Tabla_Pagos[FECHA DE ABONO],"&gt;0",Tabla_Pagos[NRO DOC],B212)</f>
        <v>20000</v>
      </c>
      <c r="N212" s="36">
        <f t="shared" si="19"/>
        <v>0</v>
      </c>
      <c r="O212" s="22" cm="1">
        <f t="array" ref="O212">MAX(IF((Tabla_Pagos[NRO DOC]=B212)*(Tabla_Pagos[IMPORTE ABONADO]&gt;0),Tabla_Pagos[FECHA DE ABONO]))</f>
        <v>45785</v>
      </c>
    </row>
    <row r="213" spans="2:15" ht="21" customHeight="1" x14ac:dyDescent="0.25">
      <c r="B213" s="39">
        <v>1101</v>
      </c>
      <c r="C213" s="20">
        <v>45785</v>
      </c>
      <c r="D213" s="40" t="s">
        <v>111</v>
      </c>
      <c r="E213" s="37" t="str">
        <f>IFERROR(VLOOKUP(D213,CLIENTES!$B$12:$G$2602,2,FALSE),"")</f>
        <v>GRAN CASINO DE COPIAPO S.A.</v>
      </c>
      <c r="F213" s="31">
        <v>2669170</v>
      </c>
      <c r="G213" s="41" t="s">
        <v>134</v>
      </c>
      <c r="H213" s="26">
        <v>30</v>
      </c>
      <c r="I213" s="21" t="str">
        <f t="shared" si="15"/>
        <v>Crédito</v>
      </c>
      <c r="J213" s="22">
        <f t="shared" si="16"/>
        <v>45815</v>
      </c>
      <c r="K213" s="27">
        <f t="shared" ca="1" si="17"/>
        <v>0</v>
      </c>
      <c r="L213" s="23" t="str">
        <f t="shared" si="18"/>
        <v>Pagado</v>
      </c>
      <c r="M213" s="36">
        <f>SUMIFS(Tabla_Pagos[IMPORTE ABONADO],Tabla_Pagos[FECHA DE ABONO],"&gt;0",Tabla_Pagos[NRO DOC],B213)</f>
        <v>2669170</v>
      </c>
      <c r="N213" s="36">
        <f t="shared" si="19"/>
        <v>0</v>
      </c>
      <c r="O213" s="22" cm="1">
        <f t="array" ref="O213">MAX(IF((Tabla_Pagos[NRO DOC]=B213)*(Tabla_Pagos[IMPORTE ABONADO]&gt;0),Tabla_Pagos[FECHA DE ABONO]))</f>
        <v>45800</v>
      </c>
    </row>
    <row r="214" spans="2:15" ht="21" customHeight="1" x14ac:dyDescent="0.25">
      <c r="B214" s="39">
        <v>1102</v>
      </c>
      <c r="C214" s="20">
        <v>45786</v>
      </c>
      <c r="D214" s="40" t="s">
        <v>34</v>
      </c>
      <c r="E214" s="37" t="str">
        <f>IFERROR(VLOOKUP(D214,CLIENTES!$B$12:$G$2602,2,FALSE),"")</f>
        <v>SERVICIOS INDUSTRIALES WARNER SPA</v>
      </c>
      <c r="F214" s="31">
        <v>1190000</v>
      </c>
      <c r="G214" s="41" t="s">
        <v>134</v>
      </c>
      <c r="H214" s="26">
        <v>30</v>
      </c>
      <c r="I214" s="21" t="str">
        <f t="shared" si="15"/>
        <v>Crédito</v>
      </c>
      <c r="J214" s="22">
        <f t="shared" si="16"/>
        <v>45816</v>
      </c>
      <c r="K214" s="27">
        <f t="shared" ca="1" si="17"/>
        <v>0</v>
      </c>
      <c r="L214" s="23" t="str">
        <f t="shared" si="18"/>
        <v>Pagado</v>
      </c>
      <c r="M214" s="36">
        <f>SUMIFS(Tabla_Pagos[IMPORTE ABONADO],Tabla_Pagos[FECHA DE ABONO],"&gt;0",Tabla_Pagos[NRO DOC],B214)</f>
        <v>1190000</v>
      </c>
      <c r="N214" s="36">
        <f t="shared" si="19"/>
        <v>0</v>
      </c>
      <c r="O214" s="22" cm="1">
        <f t="array" ref="O214">MAX(IF((Tabla_Pagos[NRO DOC]=B214)*(Tabla_Pagos[IMPORTE ABONADO]&gt;0),Tabla_Pagos[FECHA DE ABONO]))</f>
        <v>45770</v>
      </c>
    </row>
    <row r="215" spans="2:15" ht="21" customHeight="1" x14ac:dyDescent="0.25">
      <c r="B215" s="39">
        <v>1103</v>
      </c>
      <c r="C215" s="20">
        <v>45786</v>
      </c>
      <c r="D215" s="40" t="s">
        <v>135</v>
      </c>
      <c r="E215" s="37" t="str">
        <f>IFERROR(VLOOKUP(D215,CLIENTES!$B$12:$G$2602,2,FALSE),"")</f>
        <v>SERVICIOS INFORMATICOS APROSYSTEMS SPA</v>
      </c>
      <c r="F215" s="31">
        <v>120000</v>
      </c>
      <c r="G215" s="41" t="s">
        <v>101</v>
      </c>
      <c r="H215" s="26">
        <v>0</v>
      </c>
      <c r="I215" s="21" t="str">
        <f t="shared" si="15"/>
        <v>Contado</v>
      </c>
      <c r="J215" s="22">
        <f t="shared" si="16"/>
        <v>45786</v>
      </c>
      <c r="K215" s="27">
        <f t="shared" ca="1" si="17"/>
        <v>0</v>
      </c>
      <c r="L215" s="23" t="str">
        <f t="shared" si="18"/>
        <v>Pagado</v>
      </c>
      <c r="M215" s="36">
        <f>SUMIFS(Tabla_Pagos[IMPORTE ABONADO],Tabla_Pagos[FECHA DE ABONO],"&gt;0",Tabla_Pagos[NRO DOC],B215)</f>
        <v>120000</v>
      </c>
      <c r="N215" s="36">
        <f t="shared" si="19"/>
        <v>0</v>
      </c>
      <c r="O215" s="22" cm="1">
        <f t="array" ref="O215">MAX(IF((Tabla_Pagos[NRO DOC]=B215)*(Tabla_Pagos[IMPORTE ABONADO]&gt;0),Tabla_Pagos[FECHA DE ABONO]))</f>
        <v>45786</v>
      </c>
    </row>
    <row r="216" spans="2:15" ht="21" customHeight="1" x14ac:dyDescent="0.25">
      <c r="B216" s="39">
        <v>1104</v>
      </c>
      <c r="C216" s="20">
        <v>45787</v>
      </c>
      <c r="D216" s="40" t="s">
        <v>136</v>
      </c>
      <c r="E216" s="37" t="str">
        <f>IFERROR(VLOOKUP(D216,CLIENTES!$B$12:$G$2602,2,FALSE),"")</f>
        <v>MENA E HIJOS SPA</v>
      </c>
      <c r="F216" s="31">
        <v>71400</v>
      </c>
      <c r="G216" s="41" t="s">
        <v>101</v>
      </c>
      <c r="H216" s="26">
        <v>0</v>
      </c>
      <c r="I216" s="21" t="str">
        <f t="shared" si="15"/>
        <v>Contado</v>
      </c>
      <c r="J216" s="22">
        <f t="shared" si="16"/>
        <v>45787</v>
      </c>
      <c r="K216" s="27">
        <f t="shared" ca="1" si="17"/>
        <v>0</v>
      </c>
      <c r="L216" s="23" t="str">
        <f t="shared" si="18"/>
        <v>Pagado</v>
      </c>
      <c r="M216" s="36">
        <f>SUMIFS(Tabla_Pagos[IMPORTE ABONADO],Tabla_Pagos[FECHA DE ABONO],"&gt;0",Tabla_Pagos[NRO DOC],B216)</f>
        <v>71400</v>
      </c>
      <c r="N216" s="36">
        <f t="shared" si="19"/>
        <v>0</v>
      </c>
      <c r="O216" s="22" cm="1">
        <f t="array" ref="O216">MAX(IF((Tabla_Pagos[NRO DOC]=B216)*(Tabla_Pagos[IMPORTE ABONADO]&gt;0),Tabla_Pagos[FECHA DE ABONO]))</f>
        <v>45787</v>
      </c>
    </row>
    <row r="217" spans="2:15" ht="21" customHeight="1" x14ac:dyDescent="0.25">
      <c r="B217" s="39">
        <v>1105</v>
      </c>
      <c r="C217" s="20">
        <v>45787</v>
      </c>
      <c r="D217" s="40" t="s">
        <v>136</v>
      </c>
      <c r="E217" s="37" t="str">
        <f>IFERROR(VLOOKUP(D217,CLIENTES!$B$12:$G$2602,2,FALSE),"")</f>
        <v>MENA E HIJOS SPA</v>
      </c>
      <c r="F217" s="31">
        <v>5950</v>
      </c>
      <c r="G217" s="41" t="s">
        <v>101</v>
      </c>
      <c r="H217" s="26">
        <v>0</v>
      </c>
      <c r="I217" s="21" t="str">
        <f t="shared" si="15"/>
        <v>Contado</v>
      </c>
      <c r="J217" s="22">
        <f t="shared" si="16"/>
        <v>45787</v>
      </c>
      <c r="K217" s="27">
        <f t="shared" ca="1" si="17"/>
        <v>0</v>
      </c>
      <c r="L217" s="23" t="str">
        <f t="shared" si="18"/>
        <v>Pagado</v>
      </c>
      <c r="M217" s="36">
        <f>SUMIFS(Tabla_Pagos[IMPORTE ABONADO],Tabla_Pagos[FECHA DE ABONO],"&gt;0",Tabla_Pagos[NRO DOC],B217)</f>
        <v>5950</v>
      </c>
      <c r="N217" s="36">
        <f t="shared" si="19"/>
        <v>0</v>
      </c>
      <c r="O217" s="22" cm="1">
        <f t="array" ref="O217">MAX(IF((Tabla_Pagos[NRO DOC]=B217)*(Tabla_Pagos[IMPORTE ABONADO]&gt;0),Tabla_Pagos[FECHA DE ABONO]))</f>
        <v>45787</v>
      </c>
    </row>
    <row r="218" spans="2:15" ht="21" customHeight="1" x14ac:dyDescent="0.25">
      <c r="B218" s="39">
        <v>1107</v>
      </c>
      <c r="C218" s="20">
        <v>45787</v>
      </c>
      <c r="D218" s="40" t="s">
        <v>37</v>
      </c>
      <c r="E218" s="37" t="str">
        <f>IFERROR(VLOOKUP(D218,CLIENTES!$B$12:$G$2602,2,FALSE),"")</f>
        <v>AILUV SPA</v>
      </c>
      <c r="F218" s="31">
        <v>23800</v>
      </c>
      <c r="G218" s="41" t="s">
        <v>101</v>
      </c>
      <c r="H218" s="26">
        <v>0</v>
      </c>
      <c r="I218" s="21" t="str">
        <f t="shared" si="15"/>
        <v>Contado</v>
      </c>
      <c r="J218" s="22">
        <f t="shared" si="16"/>
        <v>45787</v>
      </c>
      <c r="K218" s="27">
        <f t="shared" ca="1" si="17"/>
        <v>0</v>
      </c>
      <c r="L218" s="23" t="str">
        <f t="shared" si="18"/>
        <v>Pagado</v>
      </c>
      <c r="M218" s="36">
        <f>SUMIFS(Tabla_Pagos[IMPORTE ABONADO],Tabla_Pagos[FECHA DE ABONO],"&gt;0",Tabla_Pagos[NRO DOC],B218)</f>
        <v>23800</v>
      </c>
      <c r="N218" s="36">
        <f t="shared" si="19"/>
        <v>0</v>
      </c>
      <c r="O218" s="22" cm="1">
        <f t="array" ref="O218">MAX(IF((Tabla_Pagos[NRO DOC]=B218)*(Tabla_Pagos[IMPORTE ABONADO]&gt;0),Tabla_Pagos[FECHA DE ABONO]))</f>
        <v>45787</v>
      </c>
    </row>
    <row r="219" spans="2:15" ht="21" customHeight="1" x14ac:dyDescent="0.25">
      <c r="B219" s="39">
        <v>1108</v>
      </c>
      <c r="C219" s="20">
        <v>45787</v>
      </c>
      <c r="D219" s="40" t="s">
        <v>137</v>
      </c>
      <c r="E219" s="37" t="str">
        <f>IFERROR(VLOOKUP(D219,CLIENTES!$B$12:$G$2602,2,FALSE),"")</f>
        <v>COMERCIALIZADORA Y SERVICIOS VILNA GALIANO E.I.R.L.</v>
      </c>
      <c r="F219" s="31">
        <v>35000</v>
      </c>
      <c r="G219" s="41" t="s">
        <v>101</v>
      </c>
      <c r="H219" s="26">
        <v>0</v>
      </c>
      <c r="I219" s="21" t="str">
        <f t="shared" si="15"/>
        <v>Contado</v>
      </c>
      <c r="J219" s="22">
        <f t="shared" si="16"/>
        <v>45787</v>
      </c>
      <c r="K219" s="27">
        <f t="shared" ca="1" si="17"/>
        <v>0</v>
      </c>
      <c r="L219" s="23" t="str">
        <f t="shared" si="18"/>
        <v>Pagado</v>
      </c>
      <c r="M219" s="36">
        <f>SUMIFS(Tabla_Pagos[IMPORTE ABONADO],Tabla_Pagos[FECHA DE ABONO],"&gt;0",Tabla_Pagos[NRO DOC],B219)</f>
        <v>35000</v>
      </c>
      <c r="N219" s="36">
        <f t="shared" si="19"/>
        <v>0</v>
      </c>
      <c r="O219" s="22" cm="1">
        <f t="array" ref="O219">MAX(IF((Tabla_Pagos[NRO DOC]=B219)*(Tabla_Pagos[IMPORTE ABONADO]&gt;0),Tabla_Pagos[FECHA DE ABONO]))</f>
        <v>45787</v>
      </c>
    </row>
    <row r="220" spans="2:15" ht="21" customHeight="1" x14ac:dyDescent="0.25">
      <c r="B220" s="39">
        <v>1109</v>
      </c>
      <c r="C220" s="20">
        <v>45789</v>
      </c>
      <c r="D220" s="40" t="s">
        <v>142</v>
      </c>
      <c r="E220" s="37" t="str">
        <f>IFERROR(VLOOKUP(D220,CLIENTES!$B$12:$G$2602,2,FALSE),"")</f>
        <v>INGENIERIA PD GROUP LIMITADA</v>
      </c>
      <c r="F220" s="31">
        <v>30000</v>
      </c>
      <c r="G220" s="41" t="s">
        <v>101</v>
      </c>
      <c r="H220" s="26">
        <v>0</v>
      </c>
      <c r="I220" s="21" t="str">
        <f t="shared" si="15"/>
        <v>Contado</v>
      </c>
      <c r="J220" s="22">
        <f t="shared" si="16"/>
        <v>45789</v>
      </c>
      <c r="K220" s="27">
        <f t="shared" ca="1" si="17"/>
        <v>0</v>
      </c>
      <c r="L220" s="23" t="str">
        <f t="shared" si="18"/>
        <v>Pagado</v>
      </c>
      <c r="M220" s="36">
        <f>SUMIFS(Tabla_Pagos[IMPORTE ABONADO],Tabla_Pagos[FECHA DE ABONO],"&gt;0",Tabla_Pagos[NRO DOC],B220)</f>
        <v>30000</v>
      </c>
      <c r="N220" s="36">
        <f t="shared" si="19"/>
        <v>0</v>
      </c>
      <c r="O220" s="22" cm="1">
        <f t="array" ref="O220">MAX(IF((Tabla_Pagos[NRO DOC]=B220)*(Tabla_Pagos[IMPORTE ABONADO]&gt;0),Tabla_Pagos[FECHA DE ABONO]))</f>
        <v>45789</v>
      </c>
    </row>
    <row r="221" spans="2:15" ht="21" customHeight="1" x14ac:dyDescent="0.25">
      <c r="B221" s="39">
        <v>1110</v>
      </c>
      <c r="C221" s="20">
        <v>45789</v>
      </c>
      <c r="D221" s="40" t="s">
        <v>143</v>
      </c>
      <c r="E221" s="37" t="str">
        <f>IFERROR(VLOOKUP(D221,CLIENTES!$B$12:$G$2602,2,FALSE),"")</f>
        <v>MICROTEC SPA</v>
      </c>
      <c r="F221" s="31">
        <v>23800</v>
      </c>
      <c r="G221" s="41" t="s">
        <v>101</v>
      </c>
      <c r="H221" s="26">
        <v>30</v>
      </c>
      <c r="I221" s="21" t="str">
        <f t="shared" si="15"/>
        <v>Crédito</v>
      </c>
      <c r="J221" s="22">
        <f t="shared" si="16"/>
        <v>45819</v>
      </c>
      <c r="K221" s="27">
        <f t="shared" ca="1" si="17"/>
        <v>0</v>
      </c>
      <c r="L221" s="23" t="str">
        <f t="shared" si="18"/>
        <v>Pagado</v>
      </c>
      <c r="M221" s="36">
        <f>SUMIFS(Tabla_Pagos[IMPORTE ABONADO],Tabla_Pagos[FECHA DE ABONO],"&gt;0",Tabla_Pagos[NRO DOC],B221)</f>
        <v>23800</v>
      </c>
      <c r="N221" s="36">
        <f t="shared" si="19"/>
        <v>0</v>
      </c>
      <c r="O221" s="22" cm="1">
        <f t="array" ref="O221">MAX(IF((Tabla_Pagos[NRO DOC]=B221)*(Tabla_Pagos[IMPORTE ABONADO]&gt;0),Tabla_Pagos[FECHA DE ABONO]))</f>
        <v>45789</v>
      </c>
    </row>
    <row r="222" spans="2:15" ht="21" customHeight="1" x14ac:dyDescent="0.25">
      <c r="B222" s="39">
        <v>1111</v>
      </c>
      <c r="C222" s="20">
        <v>45789</v>
      </c>
      <c r="D222" s="40" t="s">
        <v>37</v>
      </c>
      <c r="E222" s="37" t="str">
        <f>IFERROR(VLOOKUP(D222,CLIENTES!$B$12:$G$2602,2,FALSE),"")</f>
        <v>AILUV SPA</v>
      </c>
      <c r="F222" s="31">
        <v>20000</v>
      </c>
      <c r="G222" s="41" t="s">
        <v>101</v>
      </c>
      <c r="H222" s="26">
        <v>30</v>
      </c>
      <c r="I222" s="21" t="str">
        <f t="shared" si="15"/>
        <v>Crédito</v>
      </c>
      <c r="J222" s="22">
        <f t="shared" si="16"/>
        <v>45819</v>
      </c>
      <c r="K222" s="27">
        <f t="shared" ca="1" si="17"/>
        <v>0</v>
      </c>
      <c r="L222" s="23" t="str">
        <f t="shared" si="18"/>
        <v>Pagado</v>
      </c>
      <c r="M222" s="36">
        <f>SUMIFS(Tabla_Pagos[IMPORTE ABONADO],Tabla_Pagos[FECHA DE ABONO],"&gt;0",Tabla_Pagos[NRO DOC],B222)</f>
        <v>20000</v>
      </c>
      <c r="N222" s="36">
        <f t="shared" si="19"/>
        <v>0</v>
      </c>
      <c r="O222" s="22" cm="1">
        <f t="array" ref="O222">MAX(IF((Tabla_Pagos[NRO DOC]=B222)*(Tabla_Pagos[IMPORTE ABONADO]&gt;0),Tabla_Pagos[FECHA DE ABONO]))</f>
        <v>45789</v>
      </c>
    </row>
    <row r="223" spans="2:15" ht="21" customHeight="1" x14ac:dyDescent="0.25">
      <c r="B223" s="39">
        <v>1112</v>
      </c>
      <c r="C223" s="20">
        <v>45789</v>
      </c>
      <c r="D223" s="40" t="s">
        <v>145</v>
      </c>
      <c r="E223" s="37" t="str">
        <f>IFERROR(VLOOKUP(D223,CLIENTES!$B$12:$G$2602,2,FALSE),"")</f>
        <v>KUPFER HERMANOS SA</v>
      </c>
      <c r="F223" s="31">
        <v>107100</v>
      </c>
      <c r="G223" s="41" t="s">
        <v>101</v>
      </c>
      <c r="H223" s="26">
        <v>0</v>
      </c>
      <c r="I223" s="21" t="str">
        <f t="shared" si="15"/>
        <v>Contado</v>
      </c>
      <c r="J223" s="22">
        <f t="shared" si="16"/>
        <v>45789</v>
      </c>
      <c r="K223" s="27">
        <f t="shared" ca="1" si="17"/>
        <v>0</v>
      </c>
      <c r="L223" s="23" t="str">
        <f t="shared" si="18"/>
        <v>Pagado</v>
      </c>
      <c r="M223" s="36">
        <f>SUMIFS(Tabla_Pagos[IMPORTE ABONADO],Tabla_Pagos[FECHA DE ABONO],"&gt;0",Tabla_Pagos[NRO DOC],B223)</f>
        <v>107100</v>
      </c>
      <c r="N223" s="36">
        <f t="shared" si="19"/>
        <v>0</v>
      </c>
      <c r="O223" s="22" cm="1">
        <f t="array" ref="O223">MAX(IF((Tabla_Pagos[NRO DOC]=B223)*(Tabla_Pagos[IMPORTE ABONADO]&gt;0),Tabla_Pagos[FECHA DE ABONO]))</f>
        <v>45789</v>
      </c>
    </row>
    <row r="224" spans="2:15" ht="21" customHeight="1" x14ac:dyDescent="0.25">
      <c r="B224" s="39">
        <v>1113</v>
      </c>
      <c r="C224" s="20">
        <v>45789</v>
      </c>
      <c r="D224" s="40" t="s">
        <v>44</v>
      </c>
      <c r="E224" s="37" t="str">
        <f>IFERROR(VLOOKUP(D224,CLIENTES!$B$12:$G$2602,2,FALSE),"")</f>
        <v>SKC RED SPA</v>
      </c>
      <c r="F224" s="31">
        <v>17850</v>
      </c>
      <c r="G224" s="41" t="s">
        <v>101</v>
      </c>
      <c r="H224" s="26">
        <v>30</v>
      </c>
      <c r="I224" s="21" t="str">
        <f t="shared" si="15"/>
        <v>Crédito</v>
      </c>
      <c r="J224" s="22">
        <f t="shared" si="16"/>
        <v>45819</v>
      </c>
      <c r="K224" s="27">
        <f t="shared" ca="1" si="17"/>
        <v>0</v>
      </c>
      <c r="L224" s="23" t="str">
        <f t="shared" si="18"/>
        <v>Pagado</v>
      </c>
      <c r="M224" s="36">
        <f>SUMIFS(Tabla_Pagos[IMPORTE ABONADO],Tabla_Pagos[FECHA DE ABONO],"&gt;0",Tabla_Pagos[NRO DOC],B224)</f>
        <v>17850</v>
      </c>
      <c r="N224" s="36">
        <f t="shared" si="19"/>
        <v>0</v>
      </c>
      <c r="O224" s="22" cm="1">
        <f t="array" ref="O224">MAX(IF((Tabla_Pagos[NRO DOC]=B224)*(Tabla_Pagos[IMPORTE ABONADO]&gt;0),Tabla_Pagos[FECHA DE ABONO]))</f>
        <v>45820</v>
      </c>
    </row>
    <row r="225" spans="2:15" ht="21" customHeight="1" x14ac:dyDescent="0.25">
      <c r="B225" s="39">
        <v>1114</v>
      </c>
      <c r="C225" s="20">
        <v>45789</v>
      </c>
      <c r="D225" s="40" t="s">
        <v>44</v>
      </c>
      <c r="E225" s="37" t="str">
        <f>IFERROR(VLOOKUP(D225,CLIENTES!$B$12:$G$2602,2,FALSE),"")</f>
        <v>SKC RED SPA</v>
      </c>
      <c r="F225" s="31">
        <v>17850</v>
      </c>
      <c r="G225" s="41" t="s">
        <v>101</v>
      </c>
      <c r="H225" s="26">
        <v>30</v>
      </c>
      <c r="I225" s="21" t="str">
        <f t="shared" si="15"/>
        <v>Crédito</v>
      </c>
      <c r="J225" s="22">
        <f t="shared" si="16"/>
        <v>45819</v>
      </c>
      <c r="K225" s="27">
        <f t="shared" ca="1" si="17"/>
        <v>0</v>
      </c>
      <c r="L225" s="23" t="str">
        <f t="shared" si="18"/>
        <v>Pagado</v>
      </c>
      <c r="M225" s="36">
        <f>SUMIFS(Tabla_Pagos[IMPORTE ABONADO],Tabla_Pagos[FECHA DE ABONO],"&gt;0",Tabla_Pagos[NRO DOC],B225)</f>
        <v>17850</v>
      </c>
      <c r="N225" s="36">
        <f t="shared" si="19"/>
        <v>0</v>
      </c>
      <c r="O225" s="22" cm="1">
        <f t="array" ref="O225">MAX(IF((Tabla_Pagos[NRO DOC]=B225)*(Tabla_Pagos[IMPORTE ABONADO]&gt;0),Tabla_Pagos[FECHA DE ABONO]))</f>
        <v>45820</v>
      </c>
    </row>
    <row r="226" spans="2:15" ht="21" customHeight="1" x14ac:dyDescent="0.25">
      <c r="B226" s="39">
        <v>1115</v>
      </c>
      <c r="C226" s="20">
        <v>45789</v>
      </c>
      <c r="D226" s="40" t="s">
        <v>44</v>
      </c>
      <c r="E226" s="37" t="str">
        <f>IFERROR(VLOOKUP(D226,CLIENTES!$B$12:$G$2602,2,FALSE),"")</f>
        <v>SKC RED SPA</v>
      </c>
      <c r="F226" s="31">
        <v>17850</v>
      </c>
      <c r="G226" s="41" t="s">
        <v>101</v>
      </c>
      <c r="H226" s="26">
        <v>30</v>
      </c>
      <c r="I226" s="21" t="str">
        <f t="shared" si="15"/>
        <v>Crédito</v>
      </c>
      <c r="J226" s="22">
        <f t="shared" si="16"/>
        <v>45819</v>
      </c>
      <c r="K226" s="27">
        <f t="shared" ca="1" si="17"/>
        <v>0</v>
      </c>
      <c r="L226" s="23" t="str">
        <f t="shared" si="18"/>
        <v>Pagado</v>
      </c>
      <c r="M226" s="36">
        <f>SUMIFS(Tabla_Pagos[IMPORTE ABONADO],Tabla_Pagos[FECHA DE ABONO],"&gt;0",Tabla_Pagos[NRO DOC],B226)</f>
        <v>17850</v>
      </c>
      <c r="N226" s="36">
        <f t="shared" si="19"/>
        <v>0</v>
      </c>
      <c r="O226" s="22" cm="1">
        <f t="array" ref="O226">MAX(IF((Tabla_Pagos[NRO DOC]=B226)*(Tabla_Pagos[IMPORTE ABONADO]&gt;0),Tabla_Pagos[FECHA DE ABONO]))</f>
        <v>45820</v>
      </c>
    </row>
    <row r="227" spans="2:15" ht="21" customHeight="1" x14ac:dyDescent="0.25">
      <c r="B227" s="39">
        <v>1116</v>
      </c>
      <c r="C227" s="20">
        <v>45789</v>
      </c>
      <c r="D227" s="40" t="s">
        <v>44</v>
      </c>
      <c r="E227" s="37" t="str">
        <f>IFERROR(VLOOKUP(D227,CLIENTES!$B$12:$G$2602,2,FALSE),"")</f>
        <v>SKC RED SPA</v>
      </c>
      <c r="F227" s="31">
        <v>17850</v>
      </c>
      <c r="G227" s="41" t="s">
        <v>101</v>
      </c>
      <c r="H227" s="26">
        <v>30</v>
      </c>
      <c r="I227" s="21" t="str">
        <f t="shared" si="15"/>
        <v>Crédito</v>
      </c>
      <c r="J227" s="22">
        <f t="shared" si="16"/>
        <v>45819</v>
      </c>
      <c r="K227" s="27">
        <f t="shared" ca="1" si="17"/>
        <v>0</v>
      </c>
      <c r="L227" s="23" t="str">
        <f t="shared" si="18"/>
        <v>Pagado</v>
      </c>
      <c r="M227" s="36">
        <f>SUMIFS(Tabla_Pagos[IMPORTE ABONADO],Tabla_Pagos[FECHA DE ABONO],"&gt;0",Tabla_Pagos[NRO DOC],B227)</f>
        <v>17850</v>
      </c>
      <c r="N227" s="36">
        <f t="shared" si="19"/>
        <v>0</v>
      </c>
      <c r="O227" s="22" cm="1">
        <f t="array" ref="O227">MAX(IF((Tabla_Pagos[NRO DOC]=B227)*(Tabla_Pagos[IMPORTE ABONADO]&gt;0),Tabla_Pagos[FECHA DE ABONO]))</f>
        <v>45820</v>
      </c>
    </row>
    <row r="228" spans="2:15" ht="21" customHeight="1" x14ac:dyDescent="0.25">
      <c r="B228" s="39">
        <v>1117</v>
      </c>
      <c r="C228" s="20">
        <v>45789</v>
      </c>
      <c r="D228" s="40" t="s">
        <v>44</v>
      </c>
      <c r="E228" s="37" t="str">
        <f>IFERROR(VLOOKUP(D228,CLIENTES!$B$12:$G$2602,2,FALSE),"")</f>
        <v>SKC RED SPA</v>
      </c>
      <c r="F228" s="31">
        <v>101150</v>
      </c>
      <c r="G228" s="41" t="s">
        <v>101</v>
      </c>
      <c r="H228" s="26">
        <v>30</v>
      </c>
      <c r="I228" s="21" t="str">
        <f t="shared" si="15"/>
        <v>Crédito</v>
      </c>
      <c r="J228" s="22">
        <f t="shared" si="16"/>
        <v>45819</v>
      </c>
      <c r="K228" s="27">
        <f t="shared" ca="1" si="17"/>
        <v>0</v>
      </c>
      <c r="L228" s="23" t="str">
        <f t="shared" si="18"/>
        <v>Pagado</v>
      </c>
      <c r="M228" s="36">
        <f>SUMIFS(Tabla_Pagos[IMPORTE ABONADO],Tabla_Pagos[FECHA DE ABONO],"&gt;0",Tabla_Pagos[NRO DOC],B228)</f>
        <v>101150</v>
      </c>
      <c r="N228" s="36">
        <f t="shared" si="19"/>
        <v>0</v>
      </c>
      <c r="O228" s="22" cm="1">
        <f t="array" ref="O228">MAX(IF((Tabla_Pagos[NRO DOC]=B228)*(Tabla_Pagos[IMPORTE ABONADO]&gt;0),Tabla_Pagos[FECHA DE ABONO]))</f>
        <v>45820</v>
      </c>
    </row>
    <row r="229" spans="2:15" ht="21" customHeight="1" x14ac:dyDescent="0.25">
      <c r="B229" s="39">
        <v>1118</v>
      </c>
      <c r="C229" s="20">
        <v>45789</v>
      </c>
      <c r="D229" s="40" t="s">
        <v>102</v>
      </c>
      <c r="E229" s="37" t="str">
        <f>IFERROR(VLOOKUP(D229,CLIENTES!$B$12:$G$2602,2,FALSE),"")</f>
        <v>CONSTRUCTORA CARLOS ALBERTO ANDRES ALBISTUR REYES E.I.R.L.</v>
      </c>
      <c r="F229" s="31">
        <v>416500</v>
      </c>
      <c r="G229" s="41" t="s">
        <v>101</v>
      </c>
      <c r="H229" s="26">
        <v>30</v>
      </c>
      <c r="I229" s="21" t="str">
        <f t="shared" si="15"/>
        <v>Crédito</v>
      </c>
      <c r="J229" s="22">
        <f t="shared" si="16"/>
        <v>45819</v>
      </c>
      <c r="K229" s="27">
        <f t="shared" ca="1" si="17"/>
        <v>0</v>
      </c>
      <c r="L229" s="23" t="str">
        <f t="shared" si="18"/>
        <v>Pagado</v>
      </c>
      <c r="M229" s="36">
        <f>SUMIFS(Tabla_Pagos[IMPORTE ABONADO],Tabla_Pagos[FECHA DE ABONO],"&gt;0",Tabla_Pagos[NRO DOC],B229)</f>
        <v>416500</v>
      </c>
      <c r="N229" s="36">
        <f t="shared" si="19"/>
        <v>0</v>
      </c>
      <c r="O229" s="22" cm="1">
        <f t="array" ref="O229">MAX(IF((Tabla_Pagos[NRO DOC]=B229)*(Tabla_Pagos[IMPORTE ABONADO]&gt;0),Tabla_Pagos[FECHA DE ABONO]))</f>
        <v>45849</v>
      </c>
    </row>
    <row r="230" spans="2:15" ht="21" customHeight="1" x14ac:dyDescent="0.25">
      <c r="B230" s="39">
        <v>1119</v>
      </c>
      <c r="C230" s="20">
        <v>45789</v>
      </c>
      <c r="D230" s="40" t="s">
        <v>102</v>
      </c>
      <c r="E230" s="37" t="str">
        <f>IFERROR(VLOOKUP(D230,CLIENTES!$B$12:$G$2602,2,FALSE),"")</f>
        <v>CONSTRUCTORA CARLOS ALBERTO ANDRES ALBISTUR REYES E.I.R.L.</v>
      </c>
      <c r="F230" s="31">
        <v>235620</v>
      </c>
      <c r="G230" s="41" t="s">
        <v>101</v>
      </c>
      <c r="H230" s="26">
        <v>30</v>
      </c>
      <c r="I230" s="21" t="str">
        <f t="shared" si="15"/>
        <v>Crédito</v>
      </c>
      <c r="J230" s="22">
        <f t="shared" si="16"/>
        <v>45819</v>
      </c>
      <c r="K230" s="27">
        <f t="shared" ca="1" si="17"/>
        <v>0</v>
      </c>
      <c r="L230" s="23" t="str">
        <f t="shared" si="18"/>
        <v>Pagado</v>
      </c>
      <c r="M230" s="36">
        <f>SUMIFS(Tabla_Pagos[IMPORTE ABONADO],Tabla_Pagos[FECHA DE ABONO],"&gt;0",Tabla_Pagos[NRO DOC],B230)</f>
        <v>235620</v>
      </c>
      <c r="N230" s="36">
        <f t="shared" si="19"/>
        <v>0</v>
      </c>
      <c r="O230" s="22" cm="1">
        <f t="array" ref="O230">MAX(IF((Tabla_Pagos[NRO DOC]=B230)*(Tabla_Pagos[IMPORTE ABONADO]&gt;0),Tabla_Pagos[FECHA DE ABONO]))</f>
        <v>45796</v>
      </c>
    </row>
    <row r="231" spans="2:15" ht="21" customHeight="1" x14ac:dyDescent="0.25">
      <c r="B231" s="39">
        <v>1120</v>
      </c>
      <c r="C231" s="20">
        <v>45789</v>
      </c>
      <c r="D231" s="40" t="s">
        <v>146</v>
      </c>
      <c r="E231" s="37" t="str">
        <f>IFERROR(VLOOKUP(D231,CLIENTES!$B$12:$G$2602,2,FALSE),"")</f>
        <v>ELECTRICIDAD CRISTIAN ANDRÉS CASTRO VILLANUEVA EMPRESA INDIVIDUAL</v>
      </c>
      <c r="F231" s="31">
        <v>23800</v>
      </c>
      <c r="G231" s="41" t="s">
        <v>101</v>
      </c>
      <c r="H231" s="26">
        <v>0</v>
      </c>
      <c r="I231" s="21" t="str">
        <f t="shared" si="15"/>
        <v>Contado</v>
      </c>
      <c r="J231" s="22">
        <f t="shared" si="16"/>
        <v>45789</v>
      </c>
      <c r="K231" s="27">
        <f t="shared" ca="1" si="17"/>
        <v>0</v>
      </c>
      <c r="L231" s="23" t="str">
        <f t="shared" si="18"/>
        <v>Pagado</v>
      </c>
      <c r="M231" s="36">
        <f>SUMIFS(Tabla_Pagos[IMPORTE ABONADO],Tabla_Pagos[FECHA DE ABONO],"&gt;0",Tabla_Pagos[NRO DOC],B231)</f>
        <v>23800</v>
      </c>
      <c r="N231" s="36">
        <f t="shared" si="19"/>
        <v>0</v>
      </c>
      <c r="O231" s="22" cm="1">
        <f t="array" ref="O231">MAX(IF((Tabla_Pagos[NRO DOC]=B231)*(Tabla_Pagos[IMPORTE ABONADO]&gt;0),Tabla_Pagos[FECHA DE ABONO]))</f>
        <v>45789</v>
      </c>
    </row>
    <row r="232" spans="2:15" ht="21" customHeight="1" x14ac:dyDescent="0.25">
      <c r="B232" s="39">
        <v>1122</v>
      </c>
      <c r="C232" s="20">
        <v>45790</v>
      </c>
      <c r="D232" s="40" t="s">
        <v>147</v>
      </c>
      <c r="E232" s="37" t="str">
        <f>IFERROR(VLOOKUP(D232,CLIENTES!$B$12:$G$2602,2,FALSE),"")</f>
        <v>PARQUES HERNAN JOHNSON LTDA</v>
      </c>
      <c r="F232" s="31">
        <v>47600</v>
      </c>
      <c r="G232" s="41" t="s">
        <v>101</v>
      </c>
      <c r="H232" s="26">
        <v>0</v>
      </c>
      <c r="I232" s="21" t="str">
        <f t="shared" si="15"/>
        <v>Contado</v>
      </c>
      <c r="J232" s="22">
        <f t="shared" si="16"/>
        <v>45790</v>
      </c>
      <c r="K232" s="27">
        <f t="shared" ca="1" si="17"/>
        <v>0</v>
      </c>
      <c r="L232" s="23" t="str">
        <f t="shared" si="18"/>
        <v>Pagado</v>
      </c>
      <c r="M232" s="36">
        <f>SUMIFS(Tabla_Pagos[IMPORTE ABONADO],Tabla_Pagos[FECHA DE ABONO],"&gt;0",Tabla_Pagos[NRO DOC],B232)</f>
        <v>47600</v>
      </c>
      <c r="N232" s="36">
        <f t="shared" si="19"/>
        <v>0</v>
      </c>
      <c r="O232" s="22" cm="1">
        <f t="array" ref="O232">MAX(IF((Tabla_Pagos[NRO DOC]=B232)*(Tabla_Pagos[IMPORTE ABONADO]&gt;0),Tabla_Pagos[FECHA DE ABONO]))</f>
        <v>45790</v>
      </c>
    </row>
    <row r="233" spans="2:15" ht="21" customHeight="1" x14ac:dyDescent="0.25">
      <c r="B233" s="39">
        <v>1123</v>
      </c>
      <c r="C233" s="20">
        <v>45790</v>
      </c>
      <c r="D233" s="40" t="s">
        <v>145</v>
      </c>
      <c r="E233" s="37" t="str">
        <f>IFERROR(VLOOKUP(D233,CLIENTES!$B$12:$G$2602,2,FALSE),"")</f>
        <v>KUPFER HERMANOS SA</v>
      </c>
      <c r="F233" s="31">
        <v>29750</v>
      </c>
      <c r="G233" s="41" t="s">
        <v>101</v>
      </c>
      <c r="H233" s="26">
        <v>0</v>
      </c>
      <c r="I233" s="21" t="str">
        <f t="shared" si="15"/>
        <v>Contado</v>
      </c>
      <c r="J233" s="22">
        <f t="shared" si="16"/>
        <v>45790</v>
      </c>
      <c r="K233" s="27">
        <f t="shared" ca="1" si="17"/>
        <v>0</v>
      </c>
      <c r="L233" s="23" t="str">
        <f t="shared" si="18"/>
        <v>Pagado</v>
      </c>
      <c r="M233" s="36">
        <f>SUMIFS(Tabla_Pagos[IMPORTE ABONADO],Tabla_Pagos[FECHA DE ABONO],"&gt;0",Tabla_Pagos[NRO DOC],B233)</f>
        <v>29750</v>
      </c>
      <c r="N233" s="36">
        <f t="shared" si="19"/>
        <v>0</v>
      </c>
      <c r="O233" s="22" cm="1">
        <f t="array" ref="O233">MAX(IF((Tabla_Pagos[NRO DOC]=B233)*(Tabla_Pagos[IMPORTE ABONADO]&gt;0),Tabla_Pagos[FECHA DE ABONO]))</f>
        <v>45790</v>
      </c>
    </row>
    <row r="234" spans="2:15" ht="21" customHeight="1" x14ac:dyDescent="0.25">
      <c r="B234" s="39">
        <v>1124</v>
      </c>
      <c r="C234" s="20">
        <v>45791</v>
      </c>
      <c r="D234" s="40" t="s">
        <v>41</v>
      </c>
      <c r="E234" s="37" t="str">
        <f>IFERROR(VLOOKUP(D234,CLIENTES!$B$12:$G$2602,2,FALSE),"")</f>
        <v>TRANSPORTE DOBLE C SPA</v>
      </c>
      <c r="F234" s="31">
        <v>749700</v>
      </c>
      <c r="G234" s="41" t="s">
        <v>101</v>
      </c>
      <c r="H234" s="26">
        <v>0</v>
      </c>
      <c r="I234" s="21" t="str">
        <f t="shared" si="15"/>
        <v>Contado</v>
      </c>
      <c r="J234" s="22">
        <f t="shared" si="16"/>
        <v>45791</v>
      </c>
      <c r="K234" s="27">
        <f t="shared" ca="1" si="17"/>
        <v>0</v>
      </c>
      <c r="L234" s="23" t="str">
        <f t="shared" si="18"/>
        <v>Pagado</v>
      </c>
      <c r="M234" s="36">
        <f>SUMIFS(Tabla_Pagos[IMPORTE ABONADO],Tabla_Pagos[FECHA DE ABONO],"&gt;0",Tabla_Pagos[NRO DOC],B234)</f>
        <v>749700</v>
      </c>
      <c r="N234" s="36">
        <f t="shared" si="19"/>
        <v>0</v>
      </c>
      <c r="O234" s="22" cm="1">
        <f t="array" ref="O234">MAX(IF((Tabla_Pagos[NRO DOC]=B234)*(Tabla_Pagos[IMPORTE ABONADO]&gt;0),Tabla_Pagos[FECHA DE ABONO]))</f>
        <v>45791</v>
      </c>
    </row>
    <row r="235" spans="2:15" ht="21" customHeight="1" x14ac:dyDescent="0.25">
      <c r="B235" s="39">
        <v>1125</v>
      </c>
      <c r="C235" s="20">
        <v>45791</v>
      </c>
      <c r="D235" s="40" t="s">
        <v>148</v>
      </c>
      <c r="E235" s="37" t="str">
        <f>IFERROR(VLOOKUP(D235,CLIENTES!$B$12:$G$2602,2,FALSE),"")</f>
        <v>CONSTRUCCIÓN, SERVICIOS INTEGRALES, INGENIERÍA Y CONSULTORIA OPPORTUNITY</v>
      </c>
      <c r="F235" s="31">
        <v>35700</v>
      </c>
      <c r="G235" s="41" t="s">
        <v>101</v>
      </c>
      <c r="H235" s="26">
        <v>0</v>
      </c>
      <c r="I235" s="21" t="str">
        <f t="shared" si="15"/>
        <v>Contado</v>
      </c>
      <c r="J235" s="22">
        <f t="shared" si="16"/>
        <v>45791</v>
      </c>
      <c r="K235" s="27">
        <f t="shared" ca="1" si="17"/>
        <v>0</v>
      </c>
      <c r="L235" s="23" t="str">
        <f t="shared" si="18"/>
        <v>Pagado</v>
      </c>
      <c r="M235" s="36">
        <f>SUMIFS(Tabla_Pagos[IMPORTE ABONADO],Tabla_Pagos[FECHA DE ABONO],"&gt;0",Tabla_Pagos[NRO DOC],B235)</f>
        <v>35700</v>
      </c>
      <c r="N235" s="36">
        <f t="shared" si="19"/>
        <v>0</v>
      </c>
      <c r="O235" s="22" cm="1">
        <f t="array" ref="O235">MAX(IF((Tabla_Pagos[NRO DOC]=B235)*(Tabla_Pagos[IMPORTE ABONADO]&gt;0),Tabla_Pagos[FECHA DE ABONO]))</f>
        <v>45791</v>
      </c>
    </row>
    <row r="236" spans="2:15" ht="21" customHeight="1" x14ac:dyDescent="0.25">
      <c r="B236" s="39">
        <v>1126</v>
      </c>
      <c r="C236" s="20">
        <v>45791</v>
      </c>
      <c r="D236" s="40" t="s">
        <v>149</v>
      </c>
      <c r="E236" s="37" t="str">
        <f>IFERROR(VLOOKUP(D236,CLIENTES!$B$12:$G$2602,2,FALSE),"")</f>
        <v>FOUCHER Y NOGUEIRA LIMITADA</v>
      </c>
      <c r="F236" s="31">
        <v>39999</v>
      </c>
      <c r="G236" s="41" t="s">
        <v>101</v>
      </c>
      <c r="H236" s="26">
        <v>0</v>
      </c>
      <c r="I236" s="21" t="str">
        <f t="shared" si="15"/>
        <v>Contado</v>
      </c>
      <c r="J236" s="22">
        <f t="shared" si="16"/>
        <v>45791</v>
      </c>
      <c r="K236" s="27">
        <f t="shared" ca="1" si="17"/>
        <v>0</v>
      </c>
      <c r="L236" s="23" t="str">
        <f t="shared" si="18"/>
        <v>Pagado</v>
      </c>
      <c r="M236" s="36">
        <f>SUMIFS(Tabla_Pagos[IMPORTE ABONADO],Tabla_Pagos[FECHA DE ABONO],"&gt;0",Tabla_Pagos[NRO DOC],B236)</f>
        <v>39999</v>
      </c>
      <c r="N236" s="36">
        <f t="shared" si="19"/>
        <v>0</v>
      </c>
      <c r="O236" s="22" cm="1">
        <f t="array" ref="O236">MAX(IF((Tabla_Pagos[NRO DOC]=B236)*(Tabla_Pagos[IMPORTE ABONADO]&gt;0),Tabla_Pagos[FECHA DE ABONO]))</f>
        <v>45791</v>
      </c>
    </row>
    <row r="237" spans="2:15" ht="21" customHeight="1" x14ac:dyDescent="0.25">
      <c r="B237" s="39">
        <v>1127</v>
      </c>
      <c r="C237" s="20">
        <v>45792</v>
      </c>
      <c r="D237" s="40" t="s">
        <v>150</v>
      </c>
      <c r="E237" s="37" t="str">
        <f>IFERROR(VLOOKUP(D237,CLIENTES!$B$12:$G$2602,2,FALSE),"")</f>
        <v>SOC INMOBILIARIA DE INVERSIONES DEL REY LIMITADA</v>
      </c>
      <c r="F237" s="31">
        <v>23800</v>
      </c>
      <c r="G237" s="41" t="s">
        <v>101</v>
      </c>
      <c r="H237" s="26">
        <v>0</v>
      </c>
      <c r="I237" s="21" t="str">
        <f t="shared" si="15"/>
        <v>Contado</v>
      </c>
      <c r="J237" s="22">
        <f t="shared" si="16"/>
        <v>45792</v>
      </c>
      <c r="K237" s="27">
        <f t="shared" ca="1" si="17"/>
        <v>0</v>
      </c>
      <c r="L237" s="23" t="str">
        <f t="shared" si="18"/>
        <v>Pagado</v>
      </c>
      <c r="M237" s="36">
        <f>SUMIFS(Tabla_Pagos[IMPORTE ABONADO],Tabla_Pagos[FECHA DE ABONO],"&gt;0",Tabla_Pagos[NRO DOC],B237)</f>
        <v>23800</v>
      </c>
      <c r="N237" s="36">
        <f t="shared" si="19"/>
        <v>0</v>
      </c>
      <c r="O237" s="22" cm="1">
        <f t="array" ref="O237">MAX(IF((Tabla_Pagos[NRO DOC]=B237)*(Tabla_Pagos[IMPORTE ABONADO]&gt;0),Tabla_Pagos[FECHA DE ABONO]))</f>
        <v>45792</v>
      </c>
    </row>
    <row r="238" spans="2:15" ht="21" customHeight="1" x14ac:dyDescent="0.25">
      <c r="B238" s="39">
        <v>1128</v>
      </c>
      <c r="C238" s="20">
        <v>45793</v>
      </c>
      <c r="D238" s="40" t="s">
        <v>151</v>
      </c>
      <c r="E238" s="37" t="str">
        <f>IFERROR(VLOOKUP(D238,CLIENTES!$B$12:$G$2602,2,FALSE),"")</f>
        <v>COMERCIAL PRODECO LIMITADA</v>
      </c>
      <c r="F238" s="31">
        <v>17850</v>
      </c>
      <c r="G238" s="41" t="s">
        <v>101</v>
      </c>
      <c r="H238" s="26">
        <v>0</v>
      </c>
      <c r="I238" s="21" t="str">
        <f t="shared" si="15"/>
        <v>Contado</v>
      </c>
      <c r="J238" s="22">
        <f t="shared" si="16"/>
        <v>45793</v>
      </c>
      <c r="K238" s="27">
        <f t="shared" ca="1" si="17"/>
        <v>0</v>
      </c>
      <c r="L238" s="23" t="str">
        <f t="shared" si="18"/>
        <v>Pagado</v>
      </c>
      <c r="M238" s="36">
        <f>SUMIFS(Tabla_Pagos[IMPORTE ABONADO],Tabla_Pagos[FECHA DE ABONO],"&gt;0",Tabla_Pagos[NRO DOC],B238)</f>
        <v>17850</v>
      </c>
      <c r="N238" s="36">
        <f t="shared" si="19"/>
        <v>0</v>
      </c>
      <c r="O238" s="22" cm="1">
        <f t="array" ref="O238">MAX(IF((Tabla_Pagos[NRO DOC]=B238)*(Tabla_Pagos[IMPORTE ABONADO]&gt;0),Tabla_Pagos[FECHA DE ABONO]))</f>
        <v>45793</v>
      </c>
    </row>
    <row r="239" spans="2:15" ht="21" customHeight="1" x14ac:dyDescent="0.25">
      <c r="B239" s="39">
        <v>1129</v>
      </c>
      <c r="C239" s="20">
        <v>45796</v>
      </c>
      <c r="D239" s="40" t="s">
        <v>160</v>
      </c>
      <c r="E239" s="37" t="str">
        <f>IFERROR(VLOOKUP(D239,CLIENTES!$B$12:$G$2602,2,FALSE),"")</f>
        <v>AGRICOLA MILLAHUE LTDA</v>
      </c>
      <c r="F239" s="31">
        <v>15000</v>
      </c>
      <c r="G239" s="41" t="s">
        <v>101</v>
      </c>
      <c r="H239" s="26">
        <v>0</v>
      </c>
      <c r="I239" s="21" t="str">
        <f t="shared" si="15"/>
        <v>Contado</v>
      </c>
      <c r="J239" s="22">
        <f t="shared" si="16"/>
        <v>45796</v>
      </c>
      <c r="K239" s="27">
        <f t="shared" ca="1" si="17"/>
        <v>0</v>
      </c>
      <c r="L239" s="23" t="str">
        <f t="shared" si="18"/>
        <v>Pagado</v>
      </c>
      <c r="M239" s="36">
        <f>SUMIFS(Tabla_Pagos[IMPORTE ABONADO],Tabla_Pagos[FECHA DE ABONO],"&gt;0",Tabla_Pagos[NRO DOC],B239)</f>
        <v>15000</v>
      </c>
      <c r="N239" s="36">
        <f t="shared" si="19"/>
        <v>0</v>
      </c>
      <c r="O239" s="22" cm="1">
        <f t="array" ref="O239">MAX(IF((Tabla_Pagos[NRO DOC]=B239)*(Tabla_Pagos[IMPORTE ABONADO]&gt;0),Tabla_Pagos[FECHA DE ABONO]))</f>
        <v>45796</v>
      </c>
    </row>
    <row r="240" spans="2:15" ht="21" customHeight="1" x14ac:dyDescent="0.25">
      <c r="B240" s="39">
        <v>1130</v>
      </c>
      <c r="C240" s="20">
        <v>45796</v>
      </c>
      <c r="D240" s="40" t="s">
        <v>44</v>
      </c>
      <c r="E240" s="37" t="str">
        <f>IFERROR(VLOOKUP(D240,CLIENTES!$B$12:$G$2602,2,FALSE),"")</f>
        <v>SKC RED SPA</v>
      </c>
      <c r="F240" s="31">
        <v>17850</v>
      </c>
      <c r="G240" s="41" t="s">
        <v>101</v>
      </c>
      <c r="H240" s="26">
        <v>30</v>
      </c>
      <c r="I240" s="21" t="str">
        <f t="shared" si="15"/>
        <v>Crédito</v>
      </c>
      <c r="J240" s="22">
        <f t="shared" si="16"/>
        <v>45826</v>
      </c>
      <c r="K240" s="27">
        <f t="shared" ca="1" si="17"/>
        <v>0</v>
      </c>
      <c r="L240" s="23" t="str">
        <f t="shared" si="18"/>
        <v>Pagado</v>
      </c>
      <c r="M240" s="36">
        <f>SUMIFS(Tabla_Pagos[IMPORTE ABONADO],Tabla_Pagos[FECHA DE ABONO],"&gt;0",Tabla_Pagos[NRO DOC],B240)</f>
        <v>17850</v>
      </c>
      <c r="N240" s="36">
        <f t="shared" si="19"/>
        <v>0</v>
      </c>
      <c r="O240" s="22" cm="1">
        <f t="array" ref="O240">MAX(IF((Tabla_Pagos[NRO DOC]=B240)*(Tabla_Pagos[IMPORTE ABONADO]&gt;0),Tabla_Pagos[FECHA DE ABONO]))</f>
        <v>45833</v>
      </c>
    </row>
    <row r="241" spans="2:15" ht="21" customHeight="1" x14ac:dyDescent="0.25">
      <c r="B241" s="39">
        <v>1134</v>
      </c>
      <c r="C241" s="20">
        <v>45796</v>
      </c>
      <c r="D241" s="40" t="s">
        <v>161</v>
      </c>
      <c r="E241" s="37" t="str">
        <f>IFERROR(VLOOKUP(D241,CLIENTES!$B$12:$G$2602,2,FALSE),"")</f>
        <v>AT-RENTAL SPA</v>
      </c>
      <c r="F241" s="31">
        <v>20000</v>
      </c>
      <c r="G241" s="41" t="s">
        <v>101</v>
      </c>
      <c r="H241" s="26">
        <v>0</v>
      </c>
      <c r="I241" s="21" t="str">
        <f t="shared" si="15"/>
        <v>Contado</v>
      </c>
      <c r="J241" s="22">
        <f t="shared" si="16"/>
        <v>45796</v>
      </c>
      <c r="K241" s="27">
        <f t="shared" ca="1" si="17"/>
        <v>0</v>
      </c>
      <c r="L241" s="23" t="str">
        <f t="shared" si="18"/>
        <v>Pagado</v>
      </c>
      <c r="M241" s="36">
        <f>SUMIFS(Tabla_Pagos[IMPORTE ABONADO],Tabla_Pagos[FECHA DE ABONO],"&gt;0",Tabla_Pagos[NRO DOC],B241)</f>
        <v>20000</v>
      </c>
      <c r="N241" s="36">
        <f t="shared" si="19"/>
        <v>0</v>
      </c>
      <c r="O241" s="22" cm="1">
        <f t="array" ref="O241">MAX(IF((Tabla_Pagos[NRO DOC]=B241)*(Tabla_Pagos[IMPORTE ABONADO]&gt;0),Tabla_Pagos[FECHA DE ABONO]))</f>
        <v>45796</v>
      </c>
    </row>
    <row r="242" spans="2:15" ht="21" customHeight="1" x14ac:dyDescent="0.25">
      <c r="B242" s="39">
        <v>1135</v>
      </c>
      <c r="C242" s="20">
        <v>45796</v>
      </c>
      <c r="D242" s="40" t="s">
        <v>162</v>
      </c>
      <c r="E242" s="37" t="str">
        <f>IFERROR(VLOOKUP(D242,CLIENTES!$B$12:$G$2602,2,FALSE),"")</f>
        <v>SEGURIDAD PRIVADA CENTURIONS LIMITADA</v>
      </c>
      <c r="F242" s="31">
        <v>333200</v>
      </c>
      <c r="G242" s="41" t="s">
        <v>101</v>
      </c>
      <c r="H242" s="26">
        <v>0</v>
      </c>
      <c r="I242" s="21" t="str">
        <f t="shared" si="15"/>
        <v>Contado</v>
      </c>
      <c r="J242" s="22">
        <f t="shared" si="16"/>
        <v>45796</v>
      </c>
      <c r="K242" s="27">
        <f t="shared" ca="1" si="17"/>
        <v>0</v>
      </c>
      <c r="L242" s="23" t="str">
        <f t="shared" si="18"/>
        <v>Pagado</v>
      </c>
      <c r="M242" s="36">
        <f>SUMIFS(Tabla_Pagos[IMPORTE ABONADO],Tabla_Pagos[FECHA DE ABONO],"&gt;0",Tabla_Pagos[NRO DOC],B242)</f>
        <v>333200</v>
      </c>
      <c r="N242" s="36">
        <f t="shared" si="19"/>
        <v>0</v>
      </c>
      <c r="O242" s="22" cm="1">
        <f t="array" ref="O242">MAX(IF((Tabla_Pagos[NRO DOC]=B242)*(Tabla_Pagos[IMPORTE ABONADO]&gt;0),Tabla_Pagos[FECHA DE ABONO]))</f>
        <v>45796</v>
      </c>
    </row>
    <row r="243" spans="2:15" ht="21" customHeight="1" x14ac:dyDescent="0.25">
      <c r="B243" s="39">
        <v>1136</v>
      </c>
      <c r="C243" s="20">
        <v>45796</v>
      </c>
      <c r="D243" s="40" t="s">
        <v>54</v>
      </c>
      <c r="E243" s="37" t="str">
        <f>IFERROR(VLOOKUP(D243,CLIENTES!$B$12:$G$2602,2,FALSE),"")</f>
        <v>AUCAN LOGISTIC SPA</v>
      </c>
      <c r="F243" s="31">
        <v>101150</v>
      </c>
      <c r="G243" s="41" t="s">
        <v>101</v>
      </c>
      <c r="H243" s="26">
        <v>0</v>
      </c>
      <c r="I243" s="21" t="str">
        <f t="shared" si="15"/>
        <v>Contado</v>
      </c>
      <c r="J243" s="22">
        <f t="shared" si="16"/>
        <v>45796</v>
      </c>
      <c r="K243" s="27">
        <f t="shared" ca="1" si="17"/>
        <v>0</v>
      </c>
      <c r="L243" s="23" t="str">
        <f t="shared" si="18"/>
        <v>Pagado</v>
      </c>
      <c r="M243" s="36">
        <f>SUMIFS(Tabla_Pagos[IMPORTE ABONADO],Tabla_Pagos[FECHA DE ABONO],"&gt;0",Tabla_Pagos[NRO DOC],B243)</f>
        <v>101150</v>
      </c>
      <c r="N243" s="36">
        <f t="shared" si="19"/>
        <v>0</v>
      </c>
      <c r="O243" s="22" cm="1">
        <f t="array" ref="O243">MAX(IF((Tabla_Pagos[NRO DOC]=B243)*(Tabla_Pagos[IMPORTE ABONADO]&gt;0),Tabla_Pagos[FECHA DE ABONO]))</f>
        <v>45796</v>
      </c>
    </row>
    <row r="244" spans="2:15" ht="21" customHeight="1" x14ac:dyDescent="0.25">
      <c r="B244" s="39">
        <v>1137</v>
      </c>
      <c r="C244" s="20">
        <v>45797</v>
      </c>
      <c r="D244" s="40" t="s">
        <v>43</v>
      </c>
      <c r="E244" s="37" t="str">
        <f>IFERROR(VLOOKUP(D244,CLIENTES!$B$12:$G$2602,2,FALSE),"")</f>
        <v>SERVICIOS DE INGENIERIA Y MAESTRANZA SPA</v>
      </c>
      <c r="F244" s="31">
        <v>354194</v>
      </c>
      <c r="G244" s="41" t="s">
        <v>101</v>
      </c>
      <c r="H244" s="26">
        <v>30</v>
      </c>
      <c r="I244" s="21" t="str">
        <f t="shared" si="15"/>
        <v>Crédito</v>
      </c>
      <c r="J244" s="22">
        <f t="shared" si="16"/>
        <v>45827</v>
      </c>
      <c r="K244" s="27">
        <f t="shared" ca="1" si="17"/>
        <v>0</v>
      </c>
      <c r="L244" s="23" t="str">
        <f t="shared" si="18"/>
        <v>Pagado</v>
      </c>
      <c r="M244" s="36">
        <f>SUMIFS(Tabla_Pagos[IMPORTE ABONADO],Tabla_Pagos[FECHA DE ABONO],"&gt;0",Tabla_Pagos[NRO DOC],B244)</f>
        <v>354194</v>
      </c>
      <c r="N244" s="36">
        <f t="shared" si="19"/>
        <v>0</v>
      </c>
      <c r="O244" s="22" cm="1">
        <f t="array" ref="O244">MAX(IF((Tabla_Pagos[NRO DOC]=B244)*(Tabla_Pagos[IMPORTE ABONADO]&gt;0),Tabla_Pagos[FECHA DE ABONO]))</f>
        <v>45799</v>
      </c>
    </row>
    <row r="245" spans="2:15" ht="21" customHeight="1" x14ac:dyDescent="0.25">
      <c r="B245" s="39">
        <v>1138</v>
      </c>
      <c r="C245" s="20">
        <v>45797</v>
      </c>
      <c r="D245" s="40" t="s">
        <v>29</v>
      </c>
      <c r="E245" s="37" t="str">
        <f>IFERROR(VLOOKUP(D245,CLIENTES!$B$12:$G$2602,2,FALSE),"")</f>
        <v>FERNANDO ESTEBAN DIAZ SANQUINETTI</v>
      </c>
      <c r="F245" s="31">
        <v>29750</v>
      </c>
      <c r="G245" s="41" t="s">
        <v>101</v>
      </c>
      <c r="H245" s="26">
        <v>0</v>
      </c>
      <c r="I245" s="21" t="str">
        <f t="shared" si="15"/>
        <v>Contado</v>
      </c>
      <c r="J245" s="22">
        <f t="shared" si="16"/>
        <v>45797</v>
      </c>
      <c r="K245" s="27">
        <f t="shared" ca="1" si="17"/>
        <v>0</v>
      </c>
      <c r="L245" s="23" t="str">
        <f t="shared" si="18"/>
        <v>Pagado</v>
      </c>
      <c r="M245" s="36">
        <f>SUMIFS(Tabla_Pagos[IMPORTE ABONADO],Tabla_Pagos[FECHA DE ABONO],"&gt;0",Tabla_Pagos[NRO DOC],B245)</f>
        <v>29750</v>
      </c>
      <c r="N245" s="36">
        <f t="shared" si="19"/>
        <v>0</v>
      </c>
      <c r="O245" s="22" cm="1">
        <f t="array" ref="O245">MAX(IF((Tabla_Pagos[NRO DOC]=B245)*(Tabla_Pagos[IMPORTE ABONADO]&gt;0),Tabla_Pagos[FECHA DE ABONO]))</f>
        <v>45797</v>
      </c>
    </row>
    <row r="246" spans="2:15" ht="21" customHeight="1" x14ac:dyDescent="0.25">
      <c r="B246" s="39">
        <v>1139</v>
      </c>
      <c r="C246" s="20">
        <v>45797</v>
      </c>
      <c r="D246" s="40" t="s">
        <v>163</v>
      </c>
      <c r="E246" s="37" t="str">
        <f>IFERROR(VLOOKUP(D246,CLIENTES!$B$12:$G$2602,2,FALSE),"")</f>
        <v>SERVICIOS DE INGENIERIA ELECTRICA LIMITADA</v>
      </c>
      <c r="F246" s="31">
        <v>5000</v>
      </c>
      <c r="G246" s="41" t="s">
        <v>101</v>
      </c>
      <c r="H246" s="26">
        <v>0</v>
      </c>
      <c r="I246" s="21" t="str">
        <f t="shared" si="15"/>
        <v>Contado</v>
      </c>
      <c r="J246" s="22">
        <f t="shared" si="16"/>
        <v>45797</v>
      </c>
      <c r="K246" s="27">
        <f t="shared" ca="1" si="17"/>
        <v>0</v>
      </c>
      <c r="L246" s="23" t="str">
        <f t="shared" si="18"/>
        <v>Pagado</v>
      </c>
      <c r="M246" s="36">
        <f>SUMIFS(Tabla_Pagos[IMPORTE ABONADO],Tabla_Pagos[FECHA DE ABONO],"&gt;0",Tabla_Pagos[NRO DOC],B246)</f>
        <v>5000</v>
      </c>
      <c r="N246" s="36">
        <f t="shared" si="19"/>
        <v>0</v>
      </c>
      <c r="O246" s="22" cm="1">
        <f t="array" ref="O246">MAX(IF((Tabla_Pagos[NRO DOC]=B246)*(Tabla_Pagos[IMPORTE ABONADO]&gt;0),Tabla_Pagos[FECHA DE ABONO]))</f>
        <v>45797</v>
      </c>
    </row>
    <row r="247" spans="2:15" ht="21" customHeight="1" x14ac:dyDescent="0.25">
      <c r="B247" s="39">
        <v>1140</v>
      </c>
      <c r="C247" s="20">
        <v>45798</v>
      </c>
      <c r="D247" s="40" t="s">
        <v>106</v>
      </c>
      <c r="E247" s="37" t="str">
        <f>IFERROR(VLOOKUP(D247,CLIENTES!$B$12:$G$2602,2,FALSE),"")</f>
        <v>COMERCIAL SERPAN SPA</v>
      </c>
      <c r="F247" s="31">
        <v>17850</v>
      </c>
      <c r="G247" s="41" t="s">
        <v>101</v>
      </c>
      <c r="H247" s="26">
        <v>30</v>
      </c>
      <c r="I247" s="21" t="str">
        <f t="shared" si="15"/>
        <v>Crédito</v>
      </c>
      <c r="J247" s="22">
        <f t="shared" si="16"/>
        <v>45828</v>
      </c>
      <c r="K247" s="27">
        <f t="shared" ca="1" si="17"/>
        <v>0</v>
      </c>
      <c r="L247" s="23" t="str">
        <f t="shared" si="18"/>
        <v>Pagado</v>
      </c>
      <c r="M247" s="36">
        <f>SUMIFS(Tabla_Pagos[IMPORTE ABONADO],Tabla_Pagos[FECHA DE ABONO],"&gt;0",Tabla_Pagos[NRO DOC],B247)</f>
        <v>17850</v>
      </c>
      <c r="N247" s="36">
        <f t="shared" si="19"/>
        <v>0</v>
      </c>
      <c r="O247" s="22" cm="1">
        <f t="array" ref="O247">MAX(IF((Tabla_Pagos[NRO DOC]=B247)*(Tabla_Pagos[IMPORTE ABONADO]&gt;0),Tabla_Pagos[FECHA DE ABONO]))</f>
        <v>45842</v>
      </c>
    </row>
    <row r="248" spans="2:15" ht="21" customHeight="1" x14ac:dyDescent="0.25">
      <c r="B248" s="39">
        <v>1141</v>
      </c>
      <c r="C248" s="20">
        <v>45798</v>
      </c>
      <c r="D248" s="40" t="s">
        <v>106</v>
      </c>
      <c r="E248" s="37" t="str">
        <f>IFERROR(VLOOKUP(D248,CLIENTES!$B$12:$G$2602,2,FALSE),"")</f>
        <v>COMERCIAL SERPAN SPA</v>
      </c>
      <c r="F248" s="31">
        <v>17850</v>
      </c>
      <c r="G248" s="41" t="s">
        <v>101</v>
      </c>
      <c r="H248" s="26">
        <v>30</v>
      </c>
      <c r="I248" s="21" t="str">
        <f t="shared" si="15"/>
        <v>Crédito</v>
      </c>
      <c r="J248" s="22">
        <f t="shared" si="16"/>
        <v>45828</v>
      </c>
      <c r="K248" s="27">
        <f t="shared" ca="1" si="17"/>
        <v>0</v>
      </c>
      <c r="L248" s="23" t="str">
        <f t="shared" si="18"/>
        <v>Pagado</v>
      </c>
      <c r="M248" s="36">
        <f>SUMIFS(Tabla_Pagos[IMPORTE ABONADO],Tabla_Pagos[FECHA DE ABONO],"&gt;0",Tabla_Pagos[NRO DOC],B248)</f>
        <v>17850</v>
      </c>
      <c r="N248" s="36">
        <f t="shared" si="19"/>
        <v>0</v>
      </c>
      <c r="O248" s="22" cm="1">
        <f t="array" ref="O248">MAX(IF((Tabla_Pagos[NRO DOC]=B248)*(Tabla_Pagos[IMPORTE ABONADO]&gt;0),Tabla_Pagos[FECHA DE ABONO]))</f>
        <v>45842</v>
      </c>
    </row>
    <row r="249" spans="2:15" ht="21" customHeight="1" x14ac:dyDescent="0.25">
      <c r="B249" s="39">
        <v>1142</v>
      </c>
      <c r="C249" s="20">
        <v>45798</v>
      </c>
      <c r="D249" s="40" t="s">
        <v>44</v>
      </c>
      <c r="E249" s="37" t="str">
        <f>IFERROR(VLOOKUP(D249,CLIENTES!$B$12:$G$2602,2,FALSE),"")</f>
        <v>SKC RED SPA</v>
      </c>
      <c r="F249" s="31">
        <v>190400</v>
      </c>
      <c r="G249" s="41" t="s">
        <v>101</v>
      </c>
      <c r="H249" s="26">
        <v>30</v>
      </c>
      <c r="I249" s="21" t="str">
        <f t="shared" si="15"/>
        <v>Crédito</v>
      </c>
      <c r="J249" s="22">
        <f t="shared" si="16"/>
        <v>45828</v>
      </c>
      <c r="K249" s="27">
        <f t="shared" ca="1" si="17"/>
        <v>0</v>
      </c>
      <c r="L249" s="23" t="str">
        <f t="shared" si="18"/>
        <v>Pagado</v>
      </c>
      <c r="M249" s="36">
        <f>SUMIFS(Tabla_Pagos[IMPORTE ABONADO],Tabla_Pagos[FECHA DE ABONO],"&gt;0",Tabla_Pagos[NRO DOC],B249)</f>
        <v>190400</v>
      </c>
      <c r="N249" s="36">
        <f t="shared" si="19"/>
        <v>0</v>
      </c>
      <c r="O249" s="22" cm="1">
        <f t="array" ref="O249">MAX(IF((Tabla_Pagos[NRO DOC]=B249)*(Tabla_Pagos[IMPORTE ABONADO]&gt;0),Tabla_Pagos[FECHA DE ABONO]))</f>
        <v>45827</v>
      </c>
    </row>
    <row r="250" spans="2:15" ht="21" customHeight="1" x14ac:dyDescent="0.25">
      <c r="B250" s="39">
        <v>1143</v>
      </c>
      <c r="C250" s="20">
        <v>45798</v>
      </c>
      <c r="D250" s="40" t="s">
        <v>106</v>
      </c>
      <c r="E250" s="37" t="str">
        <f>IFERROR(VLOOKUP(D250,CLIENTES!$B$12:$G$2602,2,FALSE),"")</f>
        <v>COMERCIAL SERPAN SPA</v>
      </c>
      <c r="F250" s="31">
        <v>17850</v>
      </c>
      <c r="G250" s="41" t="s">
        <v>101</v>
      </c>
      <c r="H250" s="26">
        <v>30</v>
      </c>
      <c r="I250" s="21" t="str">
        <f t="shared" si="15"/>
        <v>Crédito</v>
      </c>
      <c r="J250" s="22">
        <f t="shared" si="16"/>
        <v>45828</v>
      </c>
      <c r="K250" s="27">
        <f t="shared" ca="1" si="17"/>
        <v>0</v>
      </c>
      <c r="L250" s="23" t="str">
        <f t="shared" si="18"/>
        <v>Pagado</v>
      </c>
      <c r="M250" s="36">
        <f>SUMIFS(Tabla_Pagos[IMPORTE ABONADO],Tabla_Pagos[FECHA DE ABONO],"&gt;0",Tabla_Pagos[NRO DOC],B250)</f>
        <v>17850</v>
      </c>
      <c r="N250" s="36">
        <f t="shared" si="19"/>
        <v>0</v>
      </c>
      <c r="O250" s="22" cm="1">
        <f t="array" ref="O250">MAX(IF((Tabla_Pagos[NRO DOC]=B250)*(Tabla_Pagos[IMPORTE ABONADO]&gt;0),Tabla_Pagos[FECHA DE ABONO]))</f>
        <v>45842</v>
      </c>
    </row>
    <row r="251" spans="2:15" ht="21" customHeight="1" x14ac:dyDescent="0.25">
      <c r="B251" s="39">
        <v>1144</v>
      </c>
      <c r="C251" s="20">
        <v>45798</v>
      </c>
      <c r="D251" s="40" t="s">
        <v>106</v>
      </c>
      <c r="E251" s="37" t="str">
        <f>IFERROR(VLOOKUP(D251,CLIENTES!$B$12:$G$2602,2,FALSE),"")</f>
        <v>COMERCIAL SERPAN SPA</v>
      </c>
      <c r="F251" s="31">
        <v>17850</v>
      </c>
      <c r="G251" s="41" t="s">
        <v>101</v>
      </c>
      <c r="H251" s="26">
        <v>30</v>
      </c>
      <c r="I251" s="21" t="str">
        <f t="shared" si="15"/>
        <v>Crédito</v>
      </c>
      <c r="J251" s="22">
        <f t="shared" si="16"/>
        <v>45828</v>
      </c>
      <c r="K251" s="27">
        <f t="shared" ca="1" si="17"/>
        <v>0</v>
      </c>
      <c r="L251" s="23" t="str">
        <f t="shared" si="18"/>
        <v>Pagado</v>
      </c>
      <c r="M251" s="36">
        <f>SUMIFS(Tabla_Pagos[IMPORTE ABONADO],Tabla_Pagos[FECHA DE ABONO],"&gt;0",Tabla_Pagos[NRO DOC],B251)</f>
        <v>17850</v>
      </c>
      <c r="N251" s="36">
        <f t="shared" si="19"/>
        <v>0</v>
      </c>
      <c r="O251" s="22" cm="1">
        <f t="array" ref="O251">MAX(IF((Tabla_Pagos[NRO DOC]=B251)*(Tabla_Pagos[IMPORTE ABONADO]&gt;0),Tabla_Pagos[FECHA DE ABONO]))</f>
        <v>45842</v>
      </c>
    </row>
    <row r="252" spans="2:15" ht="21" customHeight="1" x14ac:dyDescent="0.25">
      <c r="B252" s="39">
        <v>1145</v>
      </c>
      <c r="C252" s="20">
        <v>45798</v>
      </c>
      <c r="D252" s="40" t="s">
        <v>106</v>
      </c>
      <c r="E252" s="37" t="str">
        <f>IFERROR(VLOOKUP(D252,CLIENTES!$B$12:$G$2602,2,FALSE),"")</f>
        <v>COMERCIAL SERPAN SPA</v>
      </c>
      <c r="F252" s="31">
        <v>17850</v>
      </c>
      <c r="G252" s="41" t="s">
        <v>101</v>
      </c>
      <c r="H252" s="26">
        <v>30</v>
      </c>
      <c r="I252" s="21" t="str">
        <f t="shared" si="15"/>
        <v>Crédito</v>
      </c>
      <c r="J252" s="22">
        <f t="shared" si="16"/>
        <v>45828</v>
      </c>
      <c r="K252" s="27">
        <f t="shared" ca="1" si="17"/>
        <v>0</v>
      </c>
      <c r="L252" s="23" t="str">
        <f t="shared" si="18"/>
        <v>Pagado</v>
      </c>
      <c r="M252" s="36">
        <f>SUMIFS(Tabla_Pagos[IMPORTE ABONADO],Tabla_Pagos[FECHA DE ABONO],"&gt;0",Tabla_Pagos[NRO DOC],B252)</f>
        <v>17850</v>
      </c>
      <c r="N252" s="36">
        <f t="shared" si="19"/>
        <v>0</v>
      </c>
      <c r="O252" s="22" cm="1">
        <f t="array" ref="O252">MAX(IF((Tabla_Pagos[NRO DOC]=B252)*(Tabla_Pagos[IMPORTE ABONADO]&gt;0),Tabla_Pagos[FECHA DE ABONO]))</f>
        <v>45842</v>
      </c>
    </row>
    <row r="253" spans="2:15" ht="21" customHeight="1" x14ac:dyDescent="0.25">
      <c r="B253" s="39">
        <v>1146</v>
      </c>
      <c r="C253" s="20">
        <v>45798</v>
      </c>
      <c r="D253" s="40" t="s">
        <v>106</v>
      </c>
      <c r="E253" s="37" t="str">
        <f>IFERROR(VLOOKUP(D253,CLIENTES!$B$12:$G$2602,2,FALSE),"")</f>
        <v>COMERCIAL SERPAN SPA</v>
      </c>
      <c r="F253" s="31">
        <v>17850</v>
      </c>
      <c r="G253" s="41" t="s">
        <v>101</v>
      </c>
      <c r="H253" s="26">
        <v>30</v>
      </c>
      <c r="I253" s="21" t="str">
        <f t="shared" si="15"/>
        <v>Crédito</v>
      </c>
      <c r="J253" s="22">
        <f t="shared" si="16"/>
        <v>45828</v>
      </c>
      <c r="K253" s="27">
        <f t="shared" ca="1" si="17"/>
        <v>0</v>
      </c>
      <c r="L253" s="23" t="str">
        <f t="shared" si="18"/>
        <v>Pagado</v>
      </c>
      <c r="M253" s="36">
        <f>SUMIFS(Tabla_Pagos[IMPORTE ABONADO],Tabla_Pagos[FECHA DE ABONO],"&gt;0",Tabla_Pagos[NRO DOC],B253)</f>
        <v>17850</v>
      </c>
      <c r="N253" s="36">
        <f t="shared" si="19"/>
        <v>0</v>
      </c>
      <c r="O253" s="22" cm="1">
        <f t="array" ref="O253">MAX(IF((Tabla_Pagos[NRO DOC]=B253)*(Tabla_Pagos[IMPORTE ABONADO]&gt;0),Tabla_Pagos[FECHA DE ABONO]))</f>
        <v>45842</v>
      </c>
    </row>
    <row r="254" spans="2:15" ht="21" customHeight="1" x14ac:dyDescent="0.25">
      <c r="B254" s="39">
        <v>1147</v>
      </c>
      <c r="C254" s="20">
        <v>45798</v>
      </c>
      <c r="D254" s="40" t="s">
        <v>106</v>
      </c>
      <c r="E254" s="37" t="str">
        <f>IFERROR(VLOOKUP(D254,CLIENTES!$B$12:$G$2602,2,FALSE),"")</f>
        <v>COMERCIAL SERPAN SPA</v>
      </c>
      <c r="F254" s="31">
        <v>17850</v>
      </c>
      <c r="G254" s="41" t="s">
        <v>101</v>
      </c>
      <c r="H254" s="26">
        <v>30</v>
      </c>
      <c r="I254" s="21" t="str">
        <f t="shared" si="15"/>
        <v>Crédito</v>
      </c>
      <c r="J254" s="22">
        <f t="shared" si="16"/>
        <v>45828</v>
      </c>
      <c r="K254" s="27">
        <f t="shared" ca="1" si="17"/>
        <v>0</v>
      </c>
      <c r="L254" s="23" t="str">
        <f t="shared" si="18"/>
        <v>Pagado</v>
      </c>
      <c r="M254" s="36">
        <f>SUMIFS(Tabla_Pagos[IMPORTE ABONADO],Tabla_Pagos[FECHA DE ABONO],"&gt;0",Tabla_Pagos[NRO DOC],B254)</f>
        <v>17850</v>
      </c>
      <c r="N254" s="36">
        <f t="shared" si="19"/>
        <v>0</v>
      </c>
      <c r="O254" s="22" cm="1">
        <f t="array" ref="O254">MAX(IF((Tabla_Pagos[NRO DOC]=B254)*(Tabla_Pagos[IMPORTE ABONADO]&gt;0),Tabla_Pagos[FECHA DE ABONO]))</f>
        <v>45842</v>
      </c>
    </row>
    <row r="255" spans="2:15" ht="21" customHeight="1" x14ac:dyDescent="0.25">
      <c r="B255" s="39">
        <v>1148</v>
      </c>
      <c r="C255" s="20">
        <v>45798</v>
      </c>
      <c r="D255" s="40" t="s">
        <v>106</v>
      </c>
      <c r="E255" s="37" t="str">
        <f>IFERROR(VLOOKUP(D255,CLIENTES!$B$12:$G$2602,2,FALSE),"")</f>
        <v>COMERCIAL SERPAN SPA</v>
      </c>
      <c r="F255" s="31">
        <v>17850</v>
      </c>
      <c r="G255" s="41" t="s">
        <v>101</v>
      </c>
      <c r="H255" s="26">
        <v>30</v>
      </c>
      <c r="I255" s="21" t="str">
        <f t="shared" si="15"/>
        <v>Crédito</v>
      </c>
      <c r="J255" s="22">
        <f t="shared" si="16"/>
        <v>45828</v>
      </c>
      <c r="K255" s="27">
        <f t="shared" ca="1" si="17"/>
        <v>0</v>
      </c>
      <c r="L255" s="23" t="str">
        <f t="shared" si="18"/>
        <v>Pagado</v>
      </c>
      <c r="M255" s="36">
        <f>SUMIFS(Tabla_Pagos[IMPORTE ABONADO],Tabla_Pagos[FECHA DE ABONO],"&gt;0",Tabla_Pagos[NRO DOC],B255)</f>
        <v>17850</v>
      </c>
      <c r="N255" s="36">
        <f t="shared" si="19"/>
        <v>0</v>
      </c>
      <c r="O255" s="22" cm="1">
        <f t="array" ref="O255">MAX(IF((Tabla_Pagos[NRO DOC]=B255)*(Tabla_Pagos[IMPORTE ABONADO]&gt;0),Tabla_Pagos[FECHA DE ABONO]))</f>
        <v>45842</v>
      </c>
    </row>
    <row r="256" spans="2:15" ht="21" customHeight="1" x14ac:dyDescent="0.25">
      <c r="B256" s="39">
        <v>1149</v>
      </c>
      <c r="C256" s="20">
        <v>45798</v>
      </c>
      <c r="D256" s="40" t="s">
        <v>106</v>
      </c>
      <c r="E256" s="37" t="str">
        <f>IFERROR(VLOOKUP(D256,CLIENTES!$B$12:$G$2602,2,FALSE),"")</f>
        <v>COMERCIAL SERPAN SPA</v>
      </c>
      <c r="F256" s="31">
        <v>17850</v>
      </c>
      <c r="G256" s="41" t="s">
        <v>101</v>
      </c>
      <c r="H256" s="26">
        <v>30</v>
      </c>
      <c r="I256" s="21" t="str">
        <f t="shared" si="15"/>
        <v>Crédito</v>
      </c>
      <c r="J256" s="22">
        <f t="shared" si="16"/>
        <v>45828</v>
      </c>
      <c r="K256" s="27">
        <f t="shared" ca="1" si="17"/>
        <v>0</v>
      </c>
      <c r="L256" s="23" t="str">
        <f t="shared" si="18"/>
        <v>Pagado</v>
      </c>
      <c r="M256" s="36">
        <f>SUMIFS(Tabla_Pagos[IMPORTE ABONADO],Tabla_Pagos[FECHA DE ABONO],"&gt;0",Tabla_Pagos[NRO DOC],B256)</f>
        <v>17850</v>
      </c>
      <c r="N256" s="36">
        <f t="shared" si="19"/>
        <v>0</v>
      </c>
      <c r="O256" s="22" cm="1">
        <f t="array" ref="O256">MAX(IF((Tabla_Pagos[NRO DOC]=B256)*(Tabla_Pagos[IMPORTE ABONADO]&gt;0),Tabla_Pagos[FECHA DE ABONO]))</f>
        <v>45842</v>
      </c>
    </row>
    <row r="257" spans="2:15" ht="21" customHeight="1" x14ac:dyDescent="0.25">
      <c r="B257" s="39">
        <v>1150</v>
      </c>
      <c r="C257" s="20">
        <v>45798</v>
      </c>
      <c r="D257" s="40" t="s">
        <v>106</v>
      </c>
      <c r="E257" s="37" t="str">
        <f>IFERROR(VLOOKUP(D257,CLIENTES!$B$12:$G$2602,2,FALSE),"")</f>
        <v>COMERCIAL SERPAN SPA</v>
      </c>
      <c r="F257" s="31">
        <v>17850</v>
      </c>
      <c r="G257" s="41" t="s">
        <v>101</v>
      </c>
      <c r="H257" s="26">
        <v>30</v>
      </c>
      <c r="I257" s="21" t="str">
        <f t="shared" si="15"/>
        <v>Crédito</v>
      </c>
      <c r="J257" s="22">
        <f t="shared" si="16"/>
        <v>45828</v>
      </c>
      <c r="K257" s="27">
        <f t="shared" ca="1" si="17"/>
        <v>0</v>
      </c>
      <c r="L257" s="23" t="str">
        <f t="shared" si="18"/>
        <v>Pagado</v>
      </c>
      <c r="M257" s="36">
        <f>SUMIFS(Tabla_Pagos[IMPORTE ABONADO],Tabla_Pagos[FECHA DE ABONO],"&gt;0",Tabla_Pagos[NRO DOC],B257)</f>
        <v>17850</v>
      </c>
      <c r="N257" s="36">
        <f t="shared" si="19"/>
        <v>0</v>
      </c>
      <c r="O257" s="22" cm="1">
        <f t="array" ref="O257">MAX(IF((Tabla_Pagos[NRO DOC]=B257)*(Tabla_Pagos[IMPORTE ABONADO]&gt;0),Tabla_Pagos[FECHA DE ABONO]))</f>
        <v>45842</v>
      </c>
    </row>
    <row r="258" spans="2:15" ht="21" customHeight="1" x14ac:dyDescent="0.25">
      <c r="B258" s="39">
        <v>1151</v>
      </c>
      <c r="C258" s="20">
        <v>45798</v>
      </c>
      <c r="D258" s="40" t="s">
        <v>106</v>
      </c>
      <c r="E258" s="37" t="str">
        <f>IFERROR(VLOOKUP(D258,CLIENTES!$B$12:$G$2602,2,FALSE),"")</f>
        <v>COMERCIAL SERPAN SPA</v>
      </c>
      <c r="F258" s="31">
        <v>11900</v>
      </c>
      <c r="G258" s="41" t="s">
        <v>101</v>
      </c>
      <c r="H258" s="26">
        <v>30</v>
      </c>
      <c r="I258" s="21" t="str">
        <f t="shared" si="15"/>
        <v>Crédito</v>
      </c>
      <c r="J258" s="22">
        <f t="shared" si="16"/>
        <v>45828</v>
      </c>
      <c r="K258" s="27">
        <f t="shared" ca="1" si="17"/>
        <v>0</v>
      </c>
      <c r="L258" s="23" t="str">
        <f t="shared" si="18"/>
        <v>Pagado</v>
      </c>
      <c r="M258" s="36">
        <f>SUMIFS(Tabla_Pagos[IMPORTE ABONADO],Tabla_Pagos[FECHA DE ABONO],"&gt;0",Tabla_Pagos[NRO DOC],B258)</f>
        <v>11900</v>
      </c>
      <c r="N258" s="36">
        <f t="shared" si="19"/>
        <v>0</v>
      </c>
      <c r="O258" s="22" cm="1">
        <f t="array" ref="O258">MAX(IF((Tabla_Pagos[NRO DOC]=B258)*(Tabla_Pagos[IMPORTE ABONADO]&gt;0),Tabla_Pagos[FECHA DE ABONO]))</f>
        <v>45842</v>
      </c>
    </row>
    <row r="259" spans="2:15" ht="21" customHeight="1" x14ac:dyDescent="0.25">
      <c r="B259" s="39">
        <v>1152</v>
      </c>
      <c r="C259" s="20">
        <v>45798</v>
      </c>
      <c r="D259" s="40" t="s">
        <v>106</v>
      </c>
      <c r="E259" s="37" t="str">
        <f>IFERROR(VLOOKUP(D259,CLIENTES!$B$12:$G$2602,2,FALSE),"")</f>
        <v>COMERCIAL SERPAN SPA</v>
      </c>
      <c r="F259" s="31">
        <v>11900</v>
      </c>
      <c r="G259" s="41" t="s">
        <v>101</v>
      </c>
      <c r="H259" s="26">
        <v>30</v>
      </c>
      <c r="I259" s="21" t="str">
        <f t="shared" si="15"/>
        <v>Crédito</v>
      </c>
      <c r="J259" s="22">
        <f t="shared" si="16"/>
        <v>45828</v>
      </c>
      <c r="K259" s="27">
        <f t="shared" ca="1" si="17"/>
        <v>0</v>
      </c>
      <c r="L259" s="23" t="str">
        <f t="shared" si="18"/>
        <v>Pagado</v>
      </c>
      <c r="M259" s="36">
        <f>SUMIFS(Tabla_Pagos[IMPORTE ABONADO],Tabla_Pagos[FECHA DE ABONO],"&gt;0",Tabla_Pagos[NRO DOC],B259)</f>
        <v>11900</v>
      </c>
      <c r="N259" s="36">
        <f t="shared" si="19"/>
        <v>0</v>
      </c>
      <c r="O259" s="22" cm="1">
        <f t="array" ref="O259">MAX(IF((Tabla_Pagos[NRO DOC]=B259)*(Tabla_Pagos[IMPORTE ABONADO]&gt;0),Tabla_Pagos[FECHA DE ABONO]))</f>
        <v>45842</v>
      </c>
    </row>
    <row r="260" spans="2:15" ht="21" customHeight="1" x14ac:dyDescent="0.25">
      <c r="B260" s="39">
        <v>1153</v>
      </c>
      <c r="C260" s="20">
        <v>45798</v>
      </c>
      <c r="D260" s="40" t="s">
        <v>106</v>
      </c>
      <c r="E260" s="37" t="str">
        <f>IFERROR(VLOOKUP(D260,CLIENTES!$B$12:$G$2602,2,FALSE),"")</f>
        <v>COMERCIAL SERPAN SPA</v>
      </c>
      <c r="F260" s="31">
        <v>11900</v>
      </c>
      <c r="G260" s="41" t="s">
        <v>101</v>
      </c>
      <c r="H260" s="26">
        <v>30</v>
      </c>
      <c r="I260" s="21" t="str">
        <f t="shared" si="15"/>
        <v>Crédito</v>
      </c>
      <c r="J260" s="22">
        <f t="shared" si="16"/>
        <v>45828</v>
      </c>
      <c r="K260" s="27">
        <f t="shared" ca="1" si="17"/>
        <v>0</v>
      </c>
      <c r="L260" s="23" t="str">
        <f t="shared" si="18"/>
        <v>Pagado</v>
      </c>
      <c r="M260" s="36">
        <f>SUMIFS(Tabla_Pagos[IMPORTE ABONADO],Tabla_Pagos[FECHA DE ABONO],"&gt;0",Tabla_Pagos[NRO DOC],B260)</f>
        <v>11900</v>
      </c>
      <c r="N260" s="36">
        <f t="shared" si="19"/>
        <v>0</v>
      </c>
      <c r="O260" s="22" cm="1">
        <f t="array" ref="O260">MAX(IF((Tabla_Pagos[NRO DOC]=B260)*(Tabla_Pagos[IMPORTE ABONADO]&gt;0),Tabla_Pagos[FECHA DE ABONO]))</f>
        <v>45842</v>
      </c>
    </row>
    <row r="261" spans="2:15" ht="21" customHeight="1" x14ac:dyDescent="0.25">
      <c r="B261" s="39">
        <v>1155</v>
      </c>
      <c r="C261" s="20">
        <v>45798</v>
      </c>
      <c r="D261" s="40" t="s">
        <v>106</v>
      </c>
      <c r="E261" s="37" t="str">
        <f>IFERROR(VLOOKUP(D261,CLIENTES!$B$12:$G$2602,2,FALSE),"")</f>
        <v>COMERCIAL SERPAN SPA</v>
      </c>
      <c r="F261" s="31">
        <v>11900</v>
      </c>
      <c r="G261" s="41" t="s">
        <v>101</v>
      </c>
      <c r="H261" s="26">
        <v>30</v>
      </c>
      <c r="I261" s="21" t="str">
        <f t="shared" si="15"/>
        <v>Crédito</v>
      </c>
      <c r="J261" s="22">
        <f t="shared" si="16"/>
        <v>45828</v>
      </c>
      <c r="K261" s="27">
        <f t="shared" ca="1" si="17"/>
        <v>0</v>
      </c>
      <c r="L261" s="23" t="str">
        <f t="shared" si="18"/>
        <v>Pagado</v>
      </c>
      <c r="M261" s="36">
        <f>SUMIFS(Tabla_Pagos[IMPORTE ABONADO],Tabla_Pagos[FECHA DE ABONO],"&gt;0",Tabla_Pagos[NRO DOC],B261)</f>
        <v>11900</v>
      </c>
      <c r="N261" s="36">
        <f t="shared" si="19"/>
        <v>0</v>
      </c>
      <c r="O261" s="22" cm="1">
        <f t="array" ref="O261">MAX(IF((Tabla_Pagos[NRO DOC]=B261)*(Tabla_Pagos[IMPORTE ABONADO]&gt;0),Tabla_Pagos[FECHA DE ABONO]))</f>
        <v>45842</v>
      </c>
    </row>
    <row r="262" spans="2:15" ht="21" customHeight="1" x14ac:dyDescent="0.25">
      <c r="B262" s="39">
        <v>1156</v>
      </c>
      <c r="C262" s="20">
        <v>45798</v>
      </c>
      <c r="D262" s="40" t="s">
        <v>106</v>
      </c>
      <c r="E262" s="37" t="str">
        <f>IFERROR(VLOOKUP(D262,CLIENTES!$B$12:$G$2602,2,FALSE),"")</f>
        <v>COMERCIAL SERPAN SPA</v>
      </c>
      <c r="F262" s="31">
        <v>11900</v>
      </c>
      <c r="G262" s="41" t="s">
        <v>101</v>
      </c>
      <c r="H262" s="26">
        <v>30</v>
      </c>
      <c r="I262" s="21" t="str">
        <f t="shared" si="15"/>
        <v>Crédito</v>
      </c>
      <c r="J262" s="22">
        <f t="shared" si="16"/>
        <v>45828</v>
      </c>
      <c r="K262" s="27">
        <f t="shared" ca="1" si="17"/>
        <v>0</v>
      </c>
      <c r="L262" s="23" t="str">
        <f t="shared" si="18"/>
        <v>Pagado</v>
      </c>
      <c r="M262" s="36">
        <f>SUMIFS(Tabla_Pagos[IMPORTE ABONADO],Tabla_Pagos[FECHA DE ABONO],"&gt;0",Tabla_Pagos[NRO DOC],B262)</f>
        <v>11900</v>
      </c>
      <c r="N262" s="36">
        <f t="shared" si="19"/>
        <v>0</v>
      </c>
      <c r="O262" s="22" cm="1">
        <f t="array" ref="O262">MAX(IF((Tabla_Pagos[NRO DOC]=B262)*(Tabla_Pagos[IMPORTE ABONADO]&gt;0),Tabla_Pagos[FECHA DE ABONO]))</f>
        <v>45842</v>
      </c>
    </row>
    <row r="263" spans="2:15" ht="21" customHeight="1" x14ac:dyDescent="0.25">
      <c r="B263" s="39">
        <v>1157</v>
      </c>
      <c r="C263" s="20">
        <v>45798</v>
      </c>
      <c r="D263" s="40" t="s">
        <v>164</v>
      </c>
      <c r="E263" s="37" t="str">
        <f>IFERROR(VLOOKUP(D263,CLIENTES!$B$12:$G$2602,2,FALSE),"")</f>
        <v>JSTEC SPA</v>
      </c>
      <c r="F263" s="31">
        <v>17850</v>
      </c>
      <c r="G263" s="41" t="s">
        <v>101</v>
      </c>
      <c r="H263" s="26">
        <v>30</v>
      </c>
      <c r="I263" s="21" t="str">
        <f t="shared" si="15"/>
        <v>Crédito</v>
      </c>
      <c r="J263" s="22">
        <f t="shared" si="16"/>
        <v>45828</v>
      </c>
      <c r="K263" s="27">
        <f t="shared" ca="1" si="17"/>
        <v>0</v>
      </c>
      <c r="L263" s="23" t="str">
        <f t="shared" si="18"/>
        <v>Pagado</v>
      </c>
      <c r="M263" s="36">
        <f>SUMIFS(Tabla_Pagos[IMPORTE ABONADO],Tabla_Pagos[FECHA DE ABONO],"&gt;0",Tabla_Pagos[NRO DOC],B263)</f>
        <v>17850</v>
      </c>
      <c r="N263" s="36">
        <f t="shared" si="19"/>
        <v>0</v>
      </c>
      <c r="O263" s="22" cm="1">
        <f t="array" ref="O263">MAX(IF((Tabla_Pagos[NRO DOC]=B263)*(Tabla_Pagos[IMPORTE ABONADO]&gt;0),Tabla_Pagos[FECHA DE ABONO]))</f>
        <v>45798</v>
      </c>
    </row>
    <row r="264" spans="2:15" ht="21" customHeight="1" x14ac:dyDescent="0.25">
      <c r="B264" s="39">
        <v>1158</v>
      </c>
      <c r="C264" s="20">
        <v>45800</v>
      </c>
      <c r="D264" s="40" t="s">
        <v>165</v>
      </c>
      <c r="E264" s="37" t="str">
        <f>IFERROR(VLOOKUP(D264,CLIENTES!$B$12:$G$2602,2,FALSE),"")</f>
        <v>ALGORITMOS Y MEDICIONES AMBIENTALES SPA</v>
      </c>
      <c r="F264" s="31">
        <v>20000</v>
      </c>
      <c r="G264" s="41" t="s">
        <v>101</v>
      </c>
      <c r="H264" s="26">
        <v>0</v>
      </c>
      <c r="I264" s="21" t="str">
        <f t="shared" si="15"/>
        <v>Contado</v>
      </c>
      <c r="J264" s="22">
        <f t="shared" si="16"/>
        <v>45800</v>
      </c>
      <c r="K264" s="27">
        <f t="shared" ca="1" si="17"/>
        <v>0</v>
      </c>
      <c r="L264" s="23" t="str">
        <f t="shared" si="18"/>
        <v>Pagado</v>
      </c>
      <c r="M264" s="36">
        <f>SUMIFS(Tabla_Pagos[IMPORTE ABONADO],Tabla_Pagos[FECHA DE ABONO],"&gt;0",Tabla_Pagos[NRO DOC],B264)</f>
        <v>20000</v>
      </c>
      <c r="N264" s="36">
        <f t="shared" si="19"/>
        <v>0</v>
      </c>
      <c r="O264" s="22" cm="1">
        <f t="array" ref="O264">MAX(IF((Tabla_Pagos[NRO DOC]=B264)*(Tabla_Pagos[IMPORTE ABONADO]&gt;0),Tabla_Pagos[FECHA DE ABONO]))</f>
        <v>45800</v>
      </c>
    </row>
    <row r="265" spans="2:15" ht="21" customHeight="1" x14ac:dyDescent="0.25">
      <c r="B265" s="39">
        <v>1159</v>
      </c>
      <c r="C265" s="20">
        <v>45800</v>
      </c>
      <c r="D265" s="40" t="s">
        <v>166</v>
      </c>
      <c r="E265" s="37" t="str">
        <f>IFERROR(VLOOKUP(D265,CLIENTES!$B$12:$G$2602,2,FALSE),"")</f>
        <v>INTRAMIN SPA</v>
      </c>
      <c r="F265" s="31">
        <v>43316</v>
      </c>
      <c r="G265" s="41" t="s">
        <v>101</v>
      </c>
      <c r="H265" s="26">
        <v>0</v>
      </c>
      <c r="I265" s="21" t="str">
        <f t="shared" si="15"/>
        <v>Contado</v>
      </c>
      <c r="J265" s="22">
        <f t="shared" si="16"/>
        <v>45800</v>
      </c>
      <c r="K265" s="27">
        <f t="shared" ca="1" si="17"/>
        <v>0</v>
      </c>
      <c r="L265" s="23" t="str">
        <f t="shared" si="18"/>
        <v>Pagado</v>
      </c>
      <c r="M265" s="36">
        <f>SUMIFS(Tabla_Pagos[IMPORTE ABONADO],Tabla_Pagos[FECHA DE ABONO],"&gt;0",Tabla_Pagos[NRO DOC],B265)</f>
        <v>43316</v>
      </c>
      <c r="N265" s="36">
        <f t="shared" si="19"/>
        <v>0</v>
      </c>
      <c r="O265" s="22" cm="1">
        <f t="array" ref="O265">MAX(IF((Tabla_Pagos[NRO DOC]=B265)*(Tabla_Pagos[IMPORTE ABONADO]&gt;0),Tabla_Pagos[FECHA DE ABONO]))</f>
        <v>45800</v>
      </c>
    </row>
    <row r="266" spans="2:15" ht="21" customHeight="1" x14ac:dyDescent="0.25">
      <c r="B266" s="39">
        <v>1160</v>
      </c>
      <c r="C266" s="20">
        <v>45800</v>
      </c>
      <c r="D266" s="40" t="s">
        <v>62</v>
      </c>
      <c r="E266" s="37" t="str">
        <f>IFERROR(VLOOKUP(D266,CLIENTES!$B$12:$G$2602,2,FALSE),"")</f>
        <v>SEMINET SPA</v>
      </c>
      <c r="F266" s="31">
        <v>9520</v>
      </c>
      <c r="G266" s="41" t="s">
        <v>394</v>
      </c>
      <c r="H266" s="26">
        <v>0</v>
      </c>
      <c r="I266" s="21" t="str">
        <f t="shared" si="15"/>
        <v>Contado</v>
      </c>
      <c r="J266" s="22">
        <f t="shared" si="16"/>
        <v>45800</v>
      </c>
      <c r="K266" s="27">
        <f t="shared" ca="1" si="17"/>
        <v>0</v>
      </c>
      <c r="L266" s="23" t="str">
        <f t="shared" si="18"/>
        <v>Pagado</v>
      </c>
      <c r="M266" s="36">
        <f>SUMIFS(Tabla_Pagos[IMPORTE ABONADO],Tabla_Pagos[FECHA DE ABONO],"&gt;0",Tabla_Pagos[NRO DOC],B266)</f>
        <v>9520</v>
      </c>
      <c r="N266" s="36">
        <f t="shared" si="19"/>
        <v>0</v>
      </c>
      <c r="O266" s="22" cm="1">
        <f t="array" ref="O266">MAX(IF((Tabla_Pagos[NRO DOC]=B266)*(Tabla_Pagos[IMPORTE ABONADO]&gt;0),Tabla_Pagos[FECHA DE ABONO]))</f>
        <v>45800</v>
      </c>
    </row>
    <row r="267" spans="2:15" ht="21" customHeight="1" x14ac:dyDescent="0.25">
      <c r="B267" s="39">
        <v>1161</v>
      </c>
      <c r="C267" s="20">
        <v>45800</v>
      </c>
      <c r="D267" s="40" t="s">
        <v>34</v>
      </c>
      <c r="E267" s="37" t="str">
        <f>IFERROR(VLOOKUP(D267,CLIENTES!$B$12:$G$2602,2,FALSE),"")</f>
        <v>SERVICIOS INDUSTRIALES WARNER SPA</v>
      </c>
      <c r="F267" s="31">
        <v>380800</v>
      </c>
      <c r="G267" s="41" t="s">
        <v>101</v>
      </c>
      <c r="H267" s="26">
        <v>30</v>
      </c>
      <c r="I267" s="21" t="str">
        <f t="shared" si="15"/>
        <v>Crédito</v>
      </c>
      <c r="J267" s="22">
        <f t="shared" si="16"/>
        <v>45830</v>
      </c>
      <c r="K267" s="27">
        <f t="shared" ca="1" si="17"/>
        <v>0</v>
      </c>
      <c r="L267" s="23" t="str">
        <f t="shared" si="18"/>
        <v>Pagado</v>
      </c>
      <c r="M267" s="36">
        <f>SUMIFS(Tabla_Pagos[IMPORTE ABONADO],Tabla_Pagos[FECHA DE ABONO],"&gt;0",Tabla_Pagos[NRO DOC],B267)</f>
        <v>380800</v>
      </c>
      <c r="N267" s="36">
        <f t="shared" si="19"/>
        <v>0</v>
      </c>
      <c r="O267" s="22" cm="1">
        <f t="array" ref="O267">MAX(IF((Tabla_Pagos[NRO DOC]=B267)*(Tabla_Pagos[IMPORTE ABONADO]&gt;0),Tabla_Pagos[FECHA DE ABONO]))</f>
        <v>45817</v>
      </c>
    </row>
    <row r="268" spans="2:15" ht="21" customHeight="1" x14ac:dyDescent="0.25">
      <c r="B268" s="39">
        <v>1163</v>
      </c>
      <c r="C268" s="20">
        <v>45803</v>
      </c>
      <c r="D268" s="40" t="s">
        <v>106</v>
      </c>
      <c r="E268" s="37" t="str">
        <f>IFERROR(VLOOKUP(D268,CLIENTES!$B$12:$G$2602,2,FALSE),"")</f>
        <v>COMERCIAL SERPAN SPA</v>
      </c>
      <c r="F268" s="31">
        <v>17850</v>
      </c>
      <c r="G268" s="41" t="s">
        <v>101</v>
      </c>
      <c r="H268" s="26">
        <v>30</v>
      </c>
      <c r="I268" s="21" t="str">
        <f t="shared" ref="I268:I331" si="20">IF(H268="","",IF(H268=0,"Contado","Crédito"))</f>
        <v>Crédito</v>
      </c>
      <c r="J268" s="22">
        <f t="shared" ref="J268:J331" si="21">IF(I268="","",C268+H268)</f>
        <v>45833</v>
      </c>
      <c r="K268" s="27">
        <f t="shared" ref="K268:K331" ca="1" si="22">IFERROR(IF(B268="","",IF(N268=0,0,J268-TODAY())),"")</f>
        <v>0</v>
      </c>
      <c r="L268" s="23" t="str">
        <f t="shared" ref="L268:L331" si="23">IF(I268="","",IF(N268=0,"Pagado",IF(K268&lt;0,"Vencido","No vencido")))</f>
        <v>Pagado</v>
      </c>
      <c r="M268" s="36">
        <f>SUMIFS(Tabla_Pagos[IMPORTE ABONADO],Tabla_Pagos[FECHA DE ABONO],"&gt;0",Tabla_Pagos[NRO DOC],B268)</f>
        <v>17850</v>
      </c>
      <c r="N268" s="36">
        <f t="shared" ref="N268:N331" si="24">F268-M268</f>
        <v>0</v>
      </c>
      <c r="O268" s="22" cm="1">
        <f t="array" ref="O268">MAX(IF((Tabla_Pagos[NRO DOC]=B268)*(Tabla_Pagos[IMPORTE ABONADO]&gt;0),Tabla_Pagos[FECHA DE ABONO]))</f>
        <v>45842</v>
      </c>
    </row>
    <row r="269" spans="2:15" ht="21" customHeight="1" x14ac:dyDescent="0.25">
      <c r="B269" s="39">
        <v>1164</v>
      </c>
      <c r="C269" s="20">
        <v>45803</v>
      </c>
      <c r="D269" s="40" t="s">
        <v>106</v>
      </c>
      <c r="E269" s="37" t="str">
        <f>IFERROR(VLOOKUP(D269,CLIENTES!$B$12:$G$2602,2,FALSE),"")</f>
        <v>COMERCIAL SERPAN SPA</v>
      </c>
      <c r="F269" s="31">
        <v>17850</v>
      </c>
      <c r="G269" s="41" t="s">
        <v>101</v>
      </c>
      <c r="H269" s="26">
        <v>30</v>
      </c>
      <c r="I269" s="21" t="str">
        <f t="shared" si="20"/>
        <v>Crédito</v>
      </c>
      <c r="J269" s="22">
        <f t="shared" si="21"/>
        <v>45833</v>
      </c>
      <c r="K269" s="27">
        <f t="shared" ca="1" si="22"/>
        <v>0</v>
      </c>
      <c r="L269" s="23" t="str">
        <f t="shared" si="23"/>
        <v>Pagado</v>
      </c>
      <c r="M269" s="36">
        <f>SUMIFS(Tabla_Pagos[IMPORTE ABONADO],Tabla_Pagos[FECHA DE ABONO],"&gt;0",Tabla_Pagos[NRO DOC],B269)</f>
        <v>17850</v>
      </c>
      <c r="N269" s="36">
        <f t="shared" si="24"/>
        <v>0</v>
      </c>
      <c r="O269" s="22" cm="1">
        <f t="array" ref="O269">MAX(IF((Tabla_Pagos[NRO DOC]=B269)*(Tabla_Pagos[IMPORTE ABONADO]&gt;0),Tabla_Pagos[FECHA DE ABONO]))</f>
        <v>45842</v>
      </c>
    </row>
    <row r="270" spans="2:15" ht="21" customHeight="1" x14ac:dyDescent="0.25">
      <c r="B270" s="39">
        <v>1165</v>
      </c>
      <c r="C270" s="20">
        <v>45803</v>
      </c>
      <c r="D270" s="40" t="s">
        <v>106</v>
      </c>
      <c r="E270" s="37" t="str">
        <f>IFERROR(VLOOKUP(D270,CLIENTES!$B$12:$G$2602,2,FALSE),"")</f>
        <v>COMERCIAL SERPAN SPA</v>
      </c>
      <c r="F270" s="31">
        <v>17850</v>
      </c>
      <c r="G270" s="41" t="s">
        <v>101</v>
      </c>
      <c r="H270" s="26">
        <v>30</v>
      </c>
      <c r="I270" s="21" t="str">
        <f t="shared" si="20"/>
        <v>Crédito</v>
      </c>
      <c r="J270" s="22">
        <f t="shared" si="21"/>
        <v>45833</v>
      </c>
      <c r="K270" s="27">
        <f t="shared" ca="1" si="22"/>
        <v>0</v>
      </c>
      <c r="L270" s="23" t="str">
        <f t="shared" si="23"/>
        <v>Pagado</v>
      </c>
      <c r="M270" s="36">
        <f>SUMIFS(Tabla_Pagos[IMPORTE ABONADO],Tabla_Pagos[FECHA DE ABONO],"&gt;0",Tabla_Pagos[NRO DOC],B270)</f>
        <v>17850</v>
      </c>
      <c r="N270" s="36">
        <f t="shared" si="24"/>
        <v>0</v>
      </c>
      <c r="O270" s="22" cm="1">
        <f t="array" ref="O270">MAX(IF((Tabla_Pagos[NRO DOC]=B270)*(Tabla_Pagos[IMPORTE ABONADO]&gt;0),Tabla_Pagos[FECHA DE ABONO]))</f>
        <v>45842</v>
      </c>
    </row>
    <row r="271" spans="2:15" ht="21" customHeight="1" x14ac:dyDescent="0.25">
      <c r="B271" s="39">
        <v>1166</v>
      </c>
      <c r="C271" s="20">
        <v>45803</v>
      </c>
      <c r="D271" s="40" t="s">
        <v>106</v>
      </c>
      <c r="E271" s="37" t="str">
        <f>IFERROR(VLOOKUP(D271,CLIENTES!$B$12:$G$2602,2,FALSE),"")</f>
        <v>COMERCIAL SERPAN SPA</v>
      </c>
      <c r="F271" s="31">
        <v>17850</v>
      </c>
      <c r="G271" s="41" t="s">
        <v>101</v>
      </c>
      <c r="H271" s="26">
        <v>30</v>
      </c>
      <c r="I271" s="21" t="str">
        <f t="shared" si="20"/>
        <v>Crédito</v>
      </c>
      <c r="J271" s="22">
        <f t="shared" si="21"/>
        <v>45833</v>
      </c>
      <c r="K271" s="27">
        <f t="shared" ca="1" si="22"/>
        <v>0</v>
      </c>
      <c r="L271" s="23" t="str">
        <f t="shared" si="23"/>
        <v>Pagado</v>
      </c>
      <c r="M271" s="36">
        <f>SUMIFS(Tabla_Pagos[IMPORTE ABONADO],Tabla_Pagos[FECHA DE ABONO],"&gt;0",Tabla_Pagos[NRO DOC],B271)</f>
        <v>17850</v>
      </c>
      <c r="N271" s="36">
        <f t="shared" si="24"/>
        <v>0</v>
      </c>
      <c r="O271" s="22" cm="1">
        <f t="array" ref="O271">MAX(IF((Tabla_Pagos[NRO DOC]=B271)*(Tabla_Pagos[IMPORTE ABONADO]&gt;0),Tabla_Pagos[FECHA DE ABONO]))</f>
        <v>45842</v>
      </c>
    </row>
    <row r="272" spans="2:15" ht="21" customHeight="1" x14ac:dyDescent="0.25">
      <c r="B272" s="39">
        <v>1167</v>
      </c>
      <c r="C272" s="20">
        <v>45803</v>
      </c>
      <c r="D272" s="40" t="s">
        <v>167</v>
      </c>
      <c r="E272" s="37" t="str">
        <f>IFERROR(VLOOKUP(D272,CLIENTES!$B$12:$G$2602,2,FALSE),"")</f>
        <v>ENORCHILE S.A.</v>
      </c>
      <c r="F272" s="31">
        <v>29750</v>
      </c>
      <c r="G272" s="41" t="s">
        <v>101</v>
      </c>
      <c r="H272" s="26">
        <v>0</v>
      </c>
      <c r="I272" s="21" t="str">
        <f t="shared" si="20"/>
        <v>Contado</v>
      </c>
      <c r="J272" s="22">
        <f t="shared" si="21"/>
        <v>45803</v>
      </c>
      <c r="K272" s="27">
        <f t="shared" ca="1" si="22"/>
        <v>0</v>
      </c>
      <c r="L272" s="23" t="str">
        <f t="shared" si="23"/>
        <v>Pagado</v>
      </c>
      <c r="M272" s="36">
        <f>SUMIFS(Tabla_Pagos[IMPORTE ABONADO],Tabla_Pagos[FECHA DE ABONO],"&gt;0",Tabla_Pagos[NRO DOC],B272)</f>
        <v>29750</v>
      </c>
      <c r="N272" s="36">
        <f t="shared" si="24"/>
        <v>0</v>
      </c>
      <c r="O272" s="22" cm="1">
        <f t="array" ref="O272">MAX(IF((Tabla_Pagos[NRO DOC]=B272)*(Tabla_Pagos[IMPORTE ABONADO]&gt;0),Tabla_Pagos[FECHA DE ABONO]))</f>
        <v>45803</v>
      </c>
    </row>
    <row r="273" spans="2:15" ht="21" customHeight="1" x14ac:dyDescent="0.25">
      <c r="B273" s="39">
        <v>1168</v>
      </c>
      <c r="C273" s="20">
        <v>45803</v>
      </c>
      <c r="D273" s="40" t="s">
        <v>106</v>
      </c>
      <c r="E273" s="37" t="str">
        <f>IFERROR(VLOOKUP(D273,CLIENTES!$B$12:$G$2602,2,FALSE),"")</f>
        <v>COMERCIAL SERPAN SPA</v>
      </c>
      <c r="F273" s="31">
        <v>17850</v>
      </c>
      <c r="G273" s="41" t="s">
        <v>101</v>
      </c>
      <c r="H273" s="26">
        <v>30</v>
      </c>
      <c r="I273" s="21" t="str">
        <f t="shared" si="20"/>
        <v>Crédito</v>
      </c>
      <c r="J273" s="22">
        <f t="shared" si="21"/>
        <v>45833</v>
      </c>
      <c r="K273" s="27">
        <f t="shared" ca="1" si="22"/>
        <v>0</v>
      </c>
      <c r="L273" s="23" t="str">
        <f t="shared" si="23"/>
        <v>Pagado</v>
      </c>
      <c r="M273" s="36">
        <f>SUMIFS(Tabla_Pagos[IMPORTE ABONADO],Tabla_Pagos[FECHA DE ABONO],"&gt;0",Tabla_Pagos[NRO DOC],B273)</f>
        <v>17850</v>
      </c>
      <c r="N273" s="36">
        <f t="shared" si="24"/>
        <v>0</v>
      </c>
      <c r="O273" s="22" cm="1">
        <f t="array" ref="O273">MAX(IF((Tabla_Pagos[NRO DOC]=B273)*(Tabla_Pagos[IMPORTE ABONADO]&gt;0),Tabla_Pagos[FECHA DE ABONO]))</f>
        <v>45842</v>
      </c>
    </row>
    <row r="274" spans="2:15" ht="21" customHeight="1" x14ac:dyDescent="0.25">
      <c r="B274" s="39">
        <v>1169</v>
      </c>
      <c r="C274" s="20">
        <v>45803</v>
      </c>
      <c r="D274" s="40" t="s">
        <v>106</v>
      </c>
      <c r="E274" s="37" t="str">
        <f>IFERROR(VLOOKUP(D274,CLIENTES!$B$12:$G$2602,2,FALSE),"")</f>
        <v>COMERCIAL SERPAN SPA</v>
      </c>
      <c r="F274" s="31">
        <v>17850</v>
      </c>
      <c r="G274" s="41" t="s">
        <v>101</v>
      </c>
      <c r="H274" s="26">
        <v>30</v>
      </c>
      <c r="I274" s="21" t="str">
        <f t="shared" si="20"/>
        <v>Crédito</v>
      </c>
      <c r="J274" s="22">
        <f t="shared" si="21"/>
        <v>45833</v>
      </c>
      <c r="K274" s="27">
        <f t="shared" ca="1" si="22"/>
        <v>0</v>
      </c>
      <c r="L274" s="23" t="str">
        <f t="shared" si="23"/>
        <v>Pagado</v>
      </c>
      <c r="M274" s="36">
        <f>SUMIFS(Tabla_Pagos[IMPORTE ABONADO],Tabla_Pagos[FECHA DE ABONO],"&gt;0",Tabla_Pagos[NRO DOC],B274)</f>
        <v>17850</v>
      </c>
      <c r="N274" s="36">
        <f t="shared" si="24"/>
        <v>0</v>
      </c>
      <c r="O274" s="22" cm="1">
        <f t="array" ref="O274">MAX(IF((Tabla_Pagos[NRO DOC]=B274)*(Tabla_Pagos[IMPORTE ABONADO]&gt;0),Tabla_Pagos[FECHA DE ABONO]))</f>
        <v>45842</v>
      </c>
    </row>
    <row r="275" spans="2:15" ht="21" customHeight="1" x14ac:dyDescent="0.25">
      <c r="B275" s="39">
        <v>1170</v>
      </c>
      <c r="C275" s="20">
        <v>45803</v>
      </c>
      <c r="D275" s="40" t="s">
        <v>106</v>
      </c>
      <c r="E275" s="37" t="str">
        <f>IFERROR(VLOOKUP(D275,CLIENTES!$B$12:$G$2602,2,FALSE),"")</f>
        <v>COMERCIAL SERPAN SPA</v>
      </c>
      <c r="F275" s="31">
        <v>17850</v>
      </c>
      <c r="G275" s="41" t="s">
        <v>101</v>
      </c>
      <c r="H275" s="26">
        <v>30</v>
      </c>
      <c r="I275" s="21" t="str">
        <f t="shared" si="20"/>
        <v>Crédito</v>
      </c>
      <c r="J275" s="22">
        <f t="shared" si="21"/>
        <v>45833</v>
      </c>
      <c r="K275" s="27">
        <f t="shared" ca="1" si="22"/>
        <v>0</v>
      </c>
      <c r="L275" s="23" t="str">
        <f t="shared" si="23"/>
        <v>Pagado</v>
      </c>
      <c r="M275" s="36">
        <f>SUMIFS(Tabla_Pagos[IMPORTE ABONADO],Tabla_Pagos[FECHA DE ABONO],"&gt;0",Tabla_Pagos[NRO DOC],B275)</f>
        <v>17850</v>
      </c>
      <c r="N275" s="36">
        <f t="shared" si="24"/>
        <v>0</v>
      </c>
      <c r="O275" s="22" cm="1">
        <f t="array" ref="O275">MAX(IF((Tabla_Pagos[NRO DOC]=B275)*(Tabla_Pagos[IMPORTE ABONADO]&gt;0),Tabla_Pagos[FECHA DE ABONO]))</f>
        <v>45842</v>
      </c>
    </row>
    <row r="276" spans="2:15" ht="21" customHeight="1" x14ac:dyDescent="0.25">
      <c r="B276" s="39">
        <v>1171</v>
      </c>
      <c r="C276" s="20">
        <v>45803</v>
      </c>
      <c r="D276" s="40" t="s">
        <v>106</v>
      </c>
      <c r="E276" s="37" t="str">
        <f>IFERROR(VLOOKUP(D276,CLIENTES!$B$12:$G$2602,2,FALSE),"")</f>
        <v>COMERCIAL SERPAN SPA</v>
      </c>
      <c r="F276" s="31">
        <v>17850</v>
      </c>
      <c r="G276" s="41" t="s">
        <v>101</v>
      </c>
      <c r="H276" s="26">
        <v>30</v>
      </c>
      <c r="I276" s="21" t="str">
        <f t="shared" si="20"/>
        <v>Crédito</v>
      </c>
      <c r="J276" s="22">
        <f t="shared" si="21"/>
        <v>45833</v>
      </c>
      <c r="K276" s="27">
        <f t="shared" ca="1" si="22"/>
        <v>0</v>
      </c>
      <c r="L276" s="23" t="str">
        <f t="shared" si="23"/>
        <v>Pagado</v>
      </c>
      <c r="M276" s="36">
        <f>SUMIFS(Tabla_Pagos[IMPORTE ABONADO],Tabla_Pagos[FECHA DE ABONO],"&gt;0",Tabla_Pagos[NRO DOC],B276)</f>
        <v>17850</v>
      </c>
      <c r="N276" s="36">
        <f t="shared" si="24"/>
        <v>0</v>
      </c>
      <c r="O276" s="22" cm="1">
        <f t="array" ref="O276">MAX(IF((Tabla_Pagos[NRO DOC]=B276)*(Tabla_Pagos[IMPORTE ABONADO]&gt;0),Tabla_Pagos[FECHA DE ABONO]))</f>
        <v>45842</v>
      </c>
    </row>
    <row r="277" spans="2:15" ht="21" customHeight="1" x14ac:dyDescent="0.25">
      <c r="B277" s="39">
        <v>1172</v>
      </c>
      <c r="C277" s="20">
        <v>45803</v>
      </c>
      <c r="D277" s="40" t="s">
        <v>106</v>
      </c>
      <c r="E277" s="37" t="str">
        <f>IFERROR(VLOOKUP(D277,CLIENTES!$B$12:$G$2602,2,FALSE),"")</f>
        <v>COMERCIAL SERPAN SPA</v>
      </c>
      <c r="F277" s="31">
        <v>17850</v>
      </c>
      <c r="G277" s="41" t="s">
        <v>101</v>
      </c>
      <c r="H277" s="26">
        <v>30</v>
      </c>
      <c r="I277" s="21" t="str">
        <f t="shared" si="20"/>
        <v>Crédito</v>
      </c>
      <c r="J277" s="22">
        <f t="shared" si="21"/>
        <v>45833</v>
      </c>
      <c r="K277" s="27">
        <f t="shared" ca="1" si="22"/>
        <v>0</v>
      </c>
      <c r="L277" s="23" t="str">
        <f t="shared" si="23"/>
        <v>Pagado</v>
      </c>
      <c r="M277" s="36">
        <f>SUMIFS(Tabla_Pagos[IMPORTE ABONADO],Tabla_Pagos[FECHA DE ABONO],"&gt;0",Tabla_Pagos[NRO DOC],B277)</f>
        <v>17850</v>
      </c>
      <c r="N277" s="36">
        <f t="shared" si="24"/>
        <v>0</v>
      </c>
      <c r="O277" s="22" cm="1">
        <f t="array" ref="O277">MAX(IF((Tabla_Pagos[NRO DOC]=B277)*(Tabla_Pagos[IMPORTE ABONADO]&gt;0),Tabla_Pagos[FECHA DE ABONO]))</f>
        <v>45842</v>
      </c>
    </row>
    <row r="278" spans="2:15" ht="21" customHeight="1" x14ac:dyDescent="0.25">
      <c r="B278" s="39">
        <v>1173</v>
      </c>
      <c r="C278" s="20">
        <v>45803</v>
      </c>
      <c r="D278" s="40" t="s">
        <v>63</v>
      </c>
      <c r="E278" s="37" t="str">
        <f>IFERROR(VLOOKUP(D278,CLIENTES!$B$12:$G$2602,2,FALSE),"")</f>
        <v>MULTISERVICIOS SANABRIA SPA</v>
      </c>
      <c r="F278" s="31">
        <v>109480</v>
      </c>
      <c r="G278" s="41" t="s">
        <v>101</v>
      </c>
      <c r="H278" s="26">
        <v>0</v>
      </c>
      <c r="I278" s="21" t="str">
        <f t="shared" si="20"/>
        <v>Contado</v>
      </c>
      <c r="J278" s="22">
        <f t="shared" si="21"/>
        <v>45803</v>
      </c>
      <c r="K278" s="27">
        <f t="shared" ca="1" si="22"/>
        <v>0</v>
      </c>
      <c r="L278" s="23" t="str">
        <f t="shared" si="23"/>
        <v>Pagado</v>
      </c>
      <c r="M278" s="36">
        <f>SUMIFS(Tabla_Pagos[IMPORTE ABONADO],Tabla_Pagos[FECHA DE ABONO],"&gt;0",Tabla_Pagos[NRO DOC],B278)</f>
        <v>109480</v>
      </c>
      <c r="N278" s="36">
        <f t="shared" si="24"/>
        <v>0</v>
      </c>
      <c r="O278" s="22" cm="1">
        <f t="array" ref="O278">MAX(IF((Tabla_Pagos[NRO DOC]=B278)*(Tabla_Pagos[IMPORTE ABONADO]&gt;0),Tabla_Pagos[FECHA DE ABONO]))</f>
        <v>45803</v>
      </c>
    </row>
    <row r="279" spans="2:15" ht="21" customHeight="1" x14ac:dyDescent="0.25">
      <c r="B279" s="39">
        <v>1174</v>
      </c>
      <c r="C279" s="20">
        <v>45803</v>
      </c>
      <c r="D279" s="40" t="s">
        <v>106</v>
      </c>
      <c r="E279" s="37" t="str">
        <f>IFERROR(VLOOKUP(D279,CLIENTES!$B$12:$G$2602,2,FALSE),"")</f>
        <v>COMERCIAL SERPAN SPA</v>
      </c>
      <c r="F279" s="31">
        <v>17850</v>
      </c>
      <c r="G279" s="41" t="s">
        <v>101</v>
      </c>
      <c r="H279" s="26">
        <v>30</v>
      </c>
      <c r="I279" s="21" t="str">
        <f t="shared" si="20"/>
        <v>Crédito</v>
      </c>
      <c r="J279" s="22">
        <f t="shared" si="21"/>
        <v>45833</v>
      </c>
      <c r="K279" s="27">
        <f t="shared" ca="1" si="22"/>
        <v>0</v>
      </c>
      <c r="L279" s="23" t="str">
        <f t="shared" si="23"/>
        <v>Pagado</v>
      </c>
      <c r="M279" s="36">
        <f>SUMIFS(Tabla_Pagos[IMPORTE ABONADO],Tabla_Pagos[FECHA DE ABONO],"&gt;0",Tabla_Pagos[NRO DOC],B279)</f>
        <v>17850</v>
      </c>
      <c r="N279" s="36">
        <f t="shared" si="24"/>
        <v>0</v>
      </c>
      <c r="O279" s="22" cm="1">
        <f t="array" ref="O279">MAX(IF((Tabla_Pagos[NRO DOC]=B279)*(Tabla_Pagos[IMPORTE ABONADO]&gt;0),Tabla_Pagos[FECHA DE ABONO]))</f>
        <v>45842</v>
      </c>
    </row>
    <row r="280" spans="2:15" ht="21" customHeight="1" x14ac:dyDescent="0.25">
      <c r="B280" s="39">
        <v>1175</v>
      </c>
      <c r="C280" s="20">
        <v>45803</v>
      </c>
      <c r="D280" s="40" t="s">
        <v>106</v>
      </c>
      <c r="E280" s="37" t="str">
        <f>IFERROR(VLOOKUP(D280,CLIENTES!$B$12:$G$2602,2,FALSE),"")</f>
        <v>COMERCIAL SERPAN SPA</v>
      </c>
      <c r="F280" s="31">
        <v>17850</v>
      </c>
      <c r="G280" s="41" t="s">
        <v>101</v>
      </c>
      <c r="H280" s="26">
        <v>30</v>
      </c>
      <c r="I280" s="21" t="str">
        <f t="shared" si="20"/>
        <v>Crédito</v>
      </c>
      <c r="J280" s="22">
        <f t="shared" si="21"/>
        <v>45833</v>
      </c>
      <c r="K280" s="27">
        <f t="shared" ca="1" si="22"/>
        <v>0</v>
      </c>
      <c r="L280" s="23" t="str">
        <f t="shared" si="23"/>
        <v>Pagado</v>
      </c>
      <c r="M280" s="36">
        <f>SUMIFS(Tabla_Pagos[IMPORTE ABONADO],Tabla_Pagos[FECHA DE ABONO],"&gt;0",Tabla_Pagos[NRO DOC],B280)</f>
        <v>17850</v>
      </c>
      <c r="N280" s="36">
        <f t="shared" si="24"/>
        <v>0</v>
      </c>
      <c r="O280" s="22" cm="1">
        <f t="array" ref="O280">MAX(IF((Tabla_Pagos[NRO DOC]=B280)*(Tabla_Pagos[IMPORTE ABONADO]&gt;0),Tabla_Pagos[FECHA DE ABONO]))</f>
        <v>45842</v>
      </c>
    </row>
    <row r="281" spans="2:15" ht="21" customHeight="1" x14ac:dyDescent="0.25">
      <c r="B281" s="39">
        <v>1176</v>
      </c>
      <c r="C281" s="20">
        <v>45803</v>
      </c>
      <c r="D281" s="40" t="s">
        <v>106</v>
      </c>
      <c r="E281" s="37" t="str">
        <f>IFERROR(VLOOKUP(D281,CLIENTES!$B$12:$G$2602,2,FALSE),"")</f>
        <v>COMERCIAL SERPAN SPA</v>
      </c>
      <c r="F281" s="31">
        <v>17850</v>
      </c>
      <c r="G281" s="41" t="s">
        <v>101</v>
      </c>
      <c r="H281" s="26">
        <v>30</v>
      </c>
      <c r="I281" s="21" t="str">
        <f t="shared" si="20"/>
        <v>Crédito</v>
      </c>
      <c r="J281" s="22">
        <f t="shared" si="21"/>
        <v>45833</v>
      </c>
      <c r="K281" s="27">
        <f t="shared" ca="1" si="22"/>
        <v>0</v>
      </c>
      <c r="L281" s="23" t="str">
        <f t="shared" si="23"/>
        <v>Pagado</v>
      </c>
      <c r="M281" s="36">
        <f>SUMIFS(Tabla_Pagos[IMPORTE ABONADO],Tabla_Pagos[FECHA DE ABONO],"&gt;0",Tabla_Pagos[NRO DOC],B281)</f>
        <v>17850</v>
      </c>
      <c r="N281" s="36">
        <f t="shared" si="24"/>
        <v>0</v>
      </c>
      <c r="O281" s="22" cm="1">
        <f t="array" ref="O281">MAX(IF((Tabla_Pagos[NRO DOC]=B281)*(Tabla_Pagos[IMPORTE ABONADO]&gt;0),Tabla_Pagos[FECHA DE ABONO]))</f>
        <v>45842</v>
      </c>
    </row>
    <row r="282" spans="2:15" ht="21" customHeight="1" x14ac:dyDescent="0.25">
      <c r="B282" s="39">
        <v>1177</v>
      </c>
      <c r="C282" s="20">
        <v>45803</v>
      </c>
      <c r="D282" s="40" t="s">
        <v>106</v>
      </c>
      <c r="E282" s="37" t="str">
        <f>IFERROR(VLOOKUP(D282,CLIENTES!$B$12:$G$2602,2,FALSE),"")</f>
        <v>COMERCIAL SERPAN SPA</v>
      </c>
      <c r="F282" s="31">
        <v>17850</v>
      </c>
      <c r="G282" s="41" t="s">
        <v>101</v>
      </c>
      <c r="H282" s="26">
        <v>30</v>
      </c>
      <c r="I282" s="21" t="str">
        <f t="shared" si="20"/>
        <v>Crédito</v>
      </c>
      <c r="J282" s="22">
        <f t="shared" si="21"/>
        <v>45833</v>
      </c>
      <c r="K282" s="27">
        <f t="shared" ca="1" si="22"/>
        <v>0</v>
      </c>
      <c r="L282" s="23" t="str">
        <f t="shared" si="23"/>
        <v>Pagado</v>
      </c>
      <c r="M282" s="36">
        <f>SUMIFS(Tabla_Pagos[IMPORTE ABONADO],Tabla_Pagos[FECHA DE ABONO],"&gt;0",Tabla_Pagos[NRO DOC],B282)</f>
        <v>17850</v>
      </c>
      <c r="N282" s="36">
        <f t="shared" si="24"/>
        <v>0</v>
      </c>
      <c r="O282" s="22" cm="1">
        <f t="array" ref="O282">MAX(IF((Tabla_Pagos[NRO DOC]=B282)*(Tabla_Pagos[IMPORTE ABONADO]&gt;0),Tabla_Pagos[FECHA DE ABONO]))</f>
        <v>45842</v>
      </c>
    </row>
    <row r="283" spans="2:15" ht="21" customHeight="1" x14ac:dyDescent="0.25">
      <c r="B283" s="39">
        <v>1178</v>
      </c>
      <c r="C283" s="20">
        <v>45803</v>
      </c>
      <c r="D283" s="40" t="s">
        <v>106</v>
      </c>
      <c r="E283" s="37" t="str">
        <f>IFERROR(VLOOKUP(D283,CLIENTES!$B$12:$G$2602,2,FALSE),"")</f>
        <v>COMERCIAL SERPAN SPA</v>
      </c>
      <c r="F283" s="31">
        <v>17850</v>
      </c>
      <c r="G283" s="41" t="s">
        <v>101</v>
      </c>
      <c r="H283" s="26">
        <v>30</v>
      </c>
      <c r="I283" s="21" t="str">
        <f t="shared" si="20"/>
        <v>Crédito</v>
      </c>
      <c r="J283" s="22">
        <f t="shared" si="21"/>
        <v>45833</v>
      </c>
      <c r="K283" s="27">
        <f t="shared" ca="1" si="22"/>
        <v>0</v>
      </c>
      <c r="L283" s="23" t="str">
        <f t="shared" si="23"/>
        <v>Pagado</v>
      </c>
      <c r="M283" s="36">
        <f>SUMIFS(Tabla_Pagos[IMPORTE ABONADO],Tabla_Pagos[FECHA DE ABONO],"&gt;0",Tabla_Pagos[NRO DOC],B283)</f>
        <v>17850</v>
      </c>
      <c r="N283" s="36">
        <f t="shared" si="24"/>
        <v>0</v>
      </c>
      <c r="O283" s="22" cm="1">
        <f t="array" ref="O283">MAX(IF((Tabla_Pagos[NRO DOC]=B283)*(Tabla_Pagos[IMPORTE ABONADO]&gt;0),Tabla_Pagos[FECHA DE ABONO]))</f>
        <v>45842</v>
      </c>
    </row>
    <row r="284" spans="2:15" ht="21" customHeight="1" x14ac:dyDescent="0.25">
      <c r="B284" s="39">
        <v>1179</v>
      </c>
      <c r="C284" s="20">
        <v>45803</v>
      </c>
      <c r="D284" s="40" t="s">
        <v>106</v>
      </c>
      <c r="E284" s="37" t="str">
        <f>IFERROR(VLOOKUP(D284,CLIENTES!$B$12:$G$2602,2,FALSE),"")</f>
        <v>COMERCIAL SERPAN SPA</v>
      </c>
      <c r="F284" s="31">
        <v>11900</v>
      </c>
      <c r="G284" s="41" t="s">
        <v>101</v>
      </c>
      <c r="H284" s="26">
        <v>30</v>
      </c>
      <c r="I284" s="21" t="str">
        <f t="shared" si="20"/>
        <v>Crédito</v>
      </c>
      <c r="J284" s="22">
        <f t="shared" si="21"/>
        <v>45833</v>
      </c>
      <c r="K284" s="27">
        <f t="shared" ca="1" si="22"/>
        <v>0</v>
      </c>
      <c r="L284" s="23" t="str">
        <f t="shared" si="23"/>
        <v>Pagado</v>
      </c>
      <c r="M284" s="36">
        <f>SUMIFS(Tabla_Pagos[IMPORTE ABONADO],Tabla_Pagos[FECHA DE ABONO],"&gt;0",Tabla_Pagos[NRO DOC],B284)</f>
        <v>11900</v>
      </c>
      <c r="N284" s="36">
        <f t="shared" si="24"/>
        <v>0</v>
      </c>
      <c r="O284" s="22" cm="1">
        <f t="array" ref="O284">MAX(IF((Tabla_Pagos[NRO DOC]=B284)*(Tabla_Pagos[IMPORTE ABONADO]&gt;0),Tabla_Pagos[FECHA DE ABONO]))</f>
        <v>45842</v>
      </c>
    </row>
    <row r="285" spans="2:15" ht="21" customHeight="1" x14ac:dyDescent="0.25">
      <c r="B285" s="39">
        <v>1180</v>
      </c>
      <c r="C285" s="20">
        <v>45803</v>
      </c>
      <c r="D285" s="40" t="s">
        <v>106</v>
      </c>
      <c r="E285" s="37" t="str">
        <f>IFERROR(VLOOKUP(D285,CLIENTES!$B$12:$G$2602,2,FALSE),"")</f>
        <v>COMERCIAL SERPAN SPA</v>
      </c>
      <c r="F285" s="31">
        <v>11900</v>
      </c>
      <c r="G285" s="41" t="s">
        <v>101</v>
      </c>
      <c r="H285" s="26">
        <v>30</v>
      </c>
      <c r="I285" s="21" t="str">
        <f t="shared" si="20"/>
        <v>Crédito</v>
      </c>
      <c r="J285" s="22">
        <f t="shared" si="21"/>
        <v>45833</v>
      </c>
      <c r="K285" s="27">
        <f t="shared" ca="1" si="22"/>
        <v>0</v>
      </c>
      <c r="L285" s="23" t="str">
        <f t="shared" si="23"/>
        <v>Pagado</v>
      </c>
      <c r="M285" s="36">
        <f>SUMIFS(Tabla_Pagos[IMPORTE ABONADO],Tabla_Pagos[FECHA DE ABONO],"&gt;0",Tabla_Pagos[NRO DOC],B285)</f>
        <v>11900</v>
      </c>
      <c r="N285" s="36">
        <f t="shared" si="24"/>
        <v>0</v>
      </c>
      <c r="O285" s="22" cm="1">
        <f t="array" ref="O285">MAX(IF((Tabla_Pagos[NRO DOC]=B285)*(Tabla_Pagos[IMPORTE ABONADO]&gt;0),Tabla_Pagos[FECHA DE ABONO]))</f>
        <v>45842</v>
      </c>
    </row>
    <row r="286" spans="2:15" ht="21" customHeight="1" x14ac:dyDescent="0.25">
      <c r="B286" s="39">
        <v>1181</v>
      </c>
      <c r="C286" s="20">
        <v>45803</v>
      </c>
      <c r="D286" s="40" t="s">
        <v>106</v>
      </c>
      <c r="E286" s="37" t="str">
        <f>IFERROR(VLOOKUP(D286,CLIENTES!$B$12:$G$2602,2,FALSE),"")</f>
        <v>COMERCIAL SERPAN SPA</v>
      </c>
      <c r="F286" s="31">
        <v>11900</v>
      </c>
      <c r="G286" s="41" t="s">
        <v>101</v>
      </c>
      <c r="H286" s="26">
        <v>30</v>
      </c>
      <c r="I286" s="21" t="str">
        <f t="shared" si="20"/>
        <v>Crédito</v>
      </c>
      <c r="J286" s="22">
        <f t="shared" si="21"/>
        <v>45833</v>
      </c>
      <c r="K286" s="27">
        <f t="shared" ca="1" si="22"/>
        <v>0</v>
      </c>
      <c r="L286" s="23" t="str">
        <f t="shared" si="23"/>
        <v>Pagado</v>
      </c>
      <c r="M286" s="36">
        <f>SUMIFS(Tabla_Pagos[IMPORTE ABONADO],Tabla_Pagos[FECHA DE ABONO],"&gt;0",Tabla_Pagos[NRO DOC],B286)</f>
        <v>11900</v>
      </c>
      <c r="N286" s="36">
        <f t="shared" si="24"/>
        <v>0</v>
      </c>
      <c r="O286" s="22" cm="1">
        <f t="array" ref="O286">MAX(IF((Tabla_Pagos[NRO DOC]=B286)*(Tabla_Pagos[IMPORTE ABONADO]&gt;0),Tabla_Pagos[FECHA DE ABONO]))</f>
        <v>45842</v>
      </c>
    </row>
    <row r="287" spans="2:15" ht="21" customHeight="1" x14ac:dyDescent="0.25">
      <c r="B287" s="39">
        <v>1182</v>
      </c>
      <c r="C287" s="20">
        <v>45803</v>
      </c>
      <c r="D287" s="40" t="s">
        <v>106</v>
      </c>
      <c r="E287" s="37" t="str">
        <f>IFERROR(VLOOKUP(D287,CLIENTES!$B$12:$G$2602,2,FALSE),"")</f>
        <v>COMERCIAL SERPAN SPA</v>
      </c>
      <c r="F287" s="31">
        <v>11900</v>
      </c>
      <c r="G287" s="41" t="s">
        <v>101</v>
      </c>
      <c r="H287" s="26">
        <v>30</v>
      </c>
      <c r="I287" s="21" t="str">
        <f t="shared" si="20"/>
        <v>Crédito</v>
      </c>
      <c r="J287" s="22">
        <f t="shared" si="21"/>
        <v>45833</v>
      </c>
      <c r="K287" s="27">
        <f t="shared" ca="1" si="22"/>
        <v>0</v>
      </c>
      <c r="L287" s="23" t="str">
        <f t="shared" si="23"/>
        <v>Pagado</v>
      </c>
      <c r="M287" s="36">
        <f>SUMIFS(Tabla_Pagos[IMPORTE ABONADO],Tabla_Pagos[FECHA DE ABONO],"&gt;0",Tabla_Pagos[NRO DOC],B287)</f>
        <v>11900</v>
      </c>
      <c r="N287" s="36">
        <f t="shared" si="24"/>
        <v>0</v>
      </c>
      <c r="O287" s="22" cm="1">
        <f t="array" ref="O287">MAX(IF((Tabla_Pagos[NRO DOC]=B287)*(Tabla_Pagos[IMPORTE ABONADO]&gt;0),Tabla_Pagos[FECHA DE ABONO]))</f>
        <v>45842</v>
      </c>
    </row>
    <row r="288" spans="2:15" ht="21" customHeight="1" x14ac:dyDescent="0.25">
      <c r="B288" s="39">
        <v>1183</v>
      </c>
      <c r="C288" s="20">
        <v>45803</v>
      </c>
      <c r="D288" s="40" t="s">
        <v>106</v>
      </c>
      <c r="E288" s="37" t="str">
        <f>IFERROR(VLOOKUP(D288,CLIENTES!$B$12:$G$2602,2,FALSE),"")</f>
        <v>COMERCIAL SERPAN SPA</v>
      </c>
      <c r="F288" s="31">
        <v>11900</v>
      </c>
      <c r="G288" s="41" t="s">
        <v>101</v>
      </c>
      <c r="H288" s="26">
        <v>30</v>
      </c>
      <c r="I288" s="21" t="str">
        <f t="shared" si="20"/>
        <v>Crédito</v>
      </c>
      <c r="J288" s="22">
        <f t="shared" si="21"/>
        <v>45833</v>
      </c>
      <c r="K288" s="27">
        <f t="shared" ca="1" si="22"/>
        <v>0</v>
      </c>
      <c r="L288" s="23" t="str">
        <f t="shared" si="23"/>
        <v>Pagado</v>
      </c>
      <c r="M288" s="36">
        <f>SUMIFS(Tabla_Pagos[IMPORTE ABONADO],Tabla_Pagos[FECHA DE ABONO],"&gt;0",Tabla_Pagos[NRO DOC],B288)</f>
        <v>11900</v>
      </c>
      <c r="N288" s="36">
        <f t="shared" si="24"/>
        <v>0</v>
      </c>
      <c r="O288" s="22" cm="1">
        <f t="array" ref="O288">MAX(IF((Tabla_Pagos[NRO DOC]=B288)*(Tabla_Pagos[IMPORTE ABONADO]&gt;0),Tabla_Pagos[FECHA DE ABONO]))</f>
        <v>45842</v>
      </c>
    </row>
    <row r="289" spans="2:15" ht="21" customHeight="1" x14ac:dyDescent="0.25">
      <c r="B289" s="39">
        <v>1184</v>
      </c>
      <c r="C289" s="20">
        <v>45803</v>
      </c>
      <c r="D289" s="40" t="s">
        <v>106</v>
      </c>
      <c r="E289" s="37" t="str">
        <f>IFERROR(VLOOKUP(D289,CLIENTES!$B$12:$G$2602,2,FALSE),"")</f>
        <v>COMERCIAL SERPAN SPA</v>
      </c>
      <c r="F289" s="31">
        <v>17850</v>
      </c>
      <c r="G289" s="41" t="s">
        <v>101</v>
      </c>
      <c r="H289" s="26">
        <v>30</v>
      </c>
      <c r="I289" s="21" t="str">
        <f t="shared" si="20"/>
        <v>Crédito</v>
      </c>
      <c r="J289" s="22">
        <f t="shared" si="21"/>
        <v>45833</v>
      </c>
      <c r="K289" s="27">
        <f t="shared" ca="1" si="22"/>
        <v>0</v>
      </c>
      <c r="L289" s="23" t="str">
        <f t="shared" si="23"/>
        <v>Pagado</v>
      </c>
      <c r="M289" s="36">
        <f>SUMIFS(Tabla_Pagos[IMPORTE ABONADO],Tabla_Pagos[FECHA DE ABONO],"&gt;0",Tabla_Pagos[NRO DOC],B289)</f>
        <v>17850</v>
      </c>
      <c r="N289" s="36">
        <f t="shared" si="24"/>
        <v>0</v>
      </c>
      <c r="O289" s="22" cm="1">
        <f t="array" ref="O289">MAX(IF((Tabla_Pagos[NRO DOC]=B289)*(Tabla_Pagos[IMPORTE ABONADO]&gt;0),Tabla_Pagos[FECHA DE ABONO]))</f>
        <v>45842</v>
      </c>
    </row>
    <row r="290" spans="2:15" ht="21" customHeight="1" x14ac:dyDescent="0.25">
      <c r="B290" s="39">
        <v>1185</v>
      </c>
      <c r="C290" s="20">
        <v>45803</v>
      </c>
      <c r="D290" s="40" t="s">
        <v>106</v>
      </c>
      <c r="E290" s="37" t="str">
        <f>IFERROR(VLOOKUP(D290,CLIENTES!$B$12:$G$2602,2,FALSE),"")</f>
        <v>COMERCIAL SERPAN SPA</v>
      </c>
      <c r="F290" s="31">
        <v>17850</v>
      </c>
      <c r="G290" s="41" t="s">
        <v>101</v>
      </c>
      <c r="H290" s="26">
        <v>30</v>
      </c>
      <c r="I290" s="21" t="str">
        <f t="shared" si="20"/>
        <v>Crédito</v>
      </c>
      <c r="J290" s="22">
        <f t="shared" si="21"/>
        <v>45833</v>
      </c>
      <c r="K290" s="27">
        <f t="shared" ca="1" si="22"/>
        <v>0</v>
      </c>
      <c r="L290" s="23" t="str">
        <f t="shared" si="23"/>
        <v>Pagado</v>
      </c>
      <c r="M290" s="36">
        <f>SUMIFS(Tabla_Pagos[IMPORTE ABONADO],Tabla_Pagos[FECHA DE ABONO],"&gt;0",Tabla_Pagos[NRO DOC],B290)</f>
        <v>17850</v>
      </c>
      <c r="N290" s="36">
        <f t="shared" si="24"/>
        <v>0</v>
      </c>
      <c r="O290" s="22" cm="1">
        <f t="array" ref="O290">MAX(IF((Tabla_Pagos[NRO DOC]=B290)*(Tabla_Pagos[IMPORTE ABONADO]&gt;0),Tabla_Pagos[FECHA DE ABONO]))</f>
        <v>45842</v>
      </c>
    </row>
    <row r="291" spans="2:15" ht="21" customHeight="1" x14ac:dyDescent="0.25">
      <c r="B291" s="39">
        <v>1186</v>
      </c>
      <c r="C291" s="20">
        <v>45803</v>
      </c>
      <c r="D291" s="40" t="s">
        <v>106</v>
      </c>
      <c r="E291" s="37" t="str">
        <f>IFERROR(VLOOKUP(D291,CLIENTES!$B$12:$G$2602,2,FALSE),"")</f>
        <v>COMERCIAL SERPAN SPA</v>
      </c>
      <c r="F291" s="31">
        <v>17850</v>
      </c>
      <c r="G291" s="41" t="s">
        <v>101</v>
      </c>
      <c r="H291" s="26">
        <v>30</v>
      </c>
      <c r="I291" s="21" t="str">
        <f t="shared" si="20"/>
        <v>Crédito</v>
      </c>
      <c r="J291" s="22">
        <f t="shared" si="21"/>
        <v>45833</v>
      </c>
      <c r="K291" s="27">
        <f t="shared" ca="1" si="22"/>
        <v>0</v>
      </c>
      <c r="L291" s="23" t="str">
        <f t="shared" si="23"/>
        <v>Pagado</v>
      </c>
      <c r="M291" s="36">
        <f>SUMIFS(Tabla_Pagos[IMPORTE ABONADO],Tabla_Pagos[FECHA DE ABONO],"&gt;0",Tabla_Pagos[NRO DOC],B291)</f>
        <v>17850</v>
      </c>
      <c r="N291" s="36">
        <f t="shared" si="24"/>
        <v>0</v>
      </c>
      <c r="O291" s="22" cm="1">
        <f t="array" ref="O291">MAX(IF((Tabla_Pagos[NRO DOC]=B291)*(Tabla_Pagos[IMPORTE ABONADO]&gt;0),Tabla_Pagos[FECHA DE ABONO]))</f>
        <v>45842</v>
      </c>
    </row>
    <row r="292" spans="2:15" ht="21" customHeight="1" x14ac:dyDescent="0.25">
      <c r="B292" s="39">
        <v>1187</v>
      </c>
      <c r="C292" s="20">
        <v>45803</v>
      </c>
      <c r="D292" s="40" t="s">
        <v>106</v>
      </c>
      <c r="E292" s="37" t="str">
        <f>IFERROR(VLOOKUP(D292,CLIENTES!$B$12:$G$2602,2,FALSE),"")</f>
        <v>COMERCIAL SERPAN SPA</v>
      </c>
      <c r="F292" s="31">
        <v>17850</v>
      </c>
      <c r="G292" s="41" t="s">
        <v>101</v>
      </c>
      <c r="H292" s="26">
        <v>30</v>
      </c>
      <c r="I292" s="21" t="str">
        <f t="shared" si="20"/>
        <v>Crédito</v>
      </c>
      <c r="J292" s="22">
        <f t="shared" si="21"/>
        <v>45833</v>
      </c>
      <c r="K292" s="27">
        <f t="shared" ca="1" si="22"/>
        <v>0</v>
      </c>
      <c r="L292" s="23" t="str">
        <f t="shared" si="23"/>
        <v>Pagado</v>
      </c>
      <c r="M292" s="36">
        <f>SUMIFS(Tabla_Pagos[IMPORTE ABONADO],Tabla_Pagos[FECHA DE ABONO],"&gt;0",Tabla_Pagos[NRO DOC],B292)</f>
        <v>17850</v>
      </c>
      <c r="N292" s="36">
        <f t="shared" si="24"/>
        <v>0</v>
      </c>
      <c r="O292" s="22" cm="1">
        <f t="array" ref="O292">MAX(IF((Tabla_Pagos[NRO DOC]=B292)*(Tabla_Pagos[IMPORTE ABONADO]&gt;0),Tabla_Pagos[FECHA DE ABONO]))</f>
        <v>45842</v>
      </c>
    </row>
    <row r="293" spans="2:15" ht="21" customHeight="1" x14ac:dyDescent="0.25">
      <c r="B293" s="39">
        <v>1188</v>
      </c>
      <c r="C293" s="20">
        <v>45803</v>
      </c>
      <c r="D293" s="40" t="s">
        <v>106</v>
      </c>
      <c r="E293" s="37" t="str">
        <f>IFERROR(VLOOKUP(D293,CLIENTES!$B$12:$G$2602,2,FALSE),"")</f>
        <v>COMERCIAL SERPAN SPA</v>
      </c>
      <c r="F293" s="31">
        <v>17850</v>
      </c>
      <c r="G293" s="41" t="s">
        <v>101</v>
      </c>
      <c r="H293" s="26">
        <v>30</v>
      </c>
      <c r="I293" s="21" t="str">
        <f t="shared" si="20"/>
        <v>Crédito</v>
      </c>
      <c r="J293" s="22">
        <f t="shared" si="21"/>
        <v>45833</v>
      </c>
      <c r="K293" s="27">
        <f t="shared" ca="1" si="22"/>
        <v>0</v>
      </c>
      <c r="L293" s="23" t="str">
        <f t="shared" si="23"/>
        <v>Pagado</v>
      </c>
      <c r="M293" s="36">
        <f>SUMIFS(Tabla_Pagos[IMPORTE ABONADO],Tabla_Pagos[FECHA DE ABONO],"&gt;0",Tabla_Pagos[NRO DOC],B293)</f>
        <v>17850</v>
      </c>
      <c r="N293" s="36">
        <f t="shared" si="24"/>
        <v>0</v>
      </c>
      <c r="O293" s="22" cm="1">
        <f t="array" ref="O293">MAX(IF((Tabla_Pagos[NRO DOC]=B293)*(Tabla_Pagos[IMPORTE ABONADO]&gt;0),Tabla_Pagos[FECHA DE ABONO]))</f>
        <v>45842</v>
      </c>
    </row>
    <row r="294" spans="2:15" ht="21" customHeight="1" x14ac:dyDescent="0.25">
      <c r="B294" s="39">
        <v>1189</v>
      </c>
      <c r="C294" s="20">
        <v>45803</v>
      </c>
      <c r="D294" s="40" t="s">
        <v>106</v>
      </c>
      <c r="E294" s="37" t="str">
        <f>IFERROR(VLOOKUP(D294,CLIENTES!$B$12:$G$2602,2,FALSE),"")</f>
        <v>COMERCIAL SERPAN SPA</v>
      </c>
      <c r="F294" s="31">
        <v>17850</v>
      </c>
      <c r="G294" s="41" t="s">
        <v>101</v>
      </c>
      <c r="H294" s="26">
        <v>30</v>
      </c>
      <c r="I294" s="21" t="str">
        <f t="shared" si="20"/>
        <v>Crédito</v>
      </c>
      <c r="J294" s="22">
        <f t="shared" si="21"/>
        <v>45833</v>
      </c>
      <c r="K294" s="27">
        <f t="shared" ca="1" si="22"/>
        <v>0</v>
      </c>
      <c r="L294" s="23" t="str">
        <f t="shared" si="23"/>
        <v>Pagado</v>
      </c>
      <c r="M294" s="36">
        <f>SUMIFS(Tabla_Pagos[IMPORTE ABONADO],Tabla_Pagos[FECHA DE ABONO],"&gt;0",Tabla_Pagos[NRO DOC],B294)</f>
        <v>17850</v>
      </c>
      <c r="N294" s="36">
        <f t="shared" si="24"/>
        <v>0</v>
      </c>
      <c r="O294" s="22" cm="1">
        <f t="array" ref="O294">MAX(IF((Tabla_Pagos[NRO DOC]=B294)*(Tabla_Pagos[IMPORTE ABONADO]&gt;0),Tabla_Pagos[FECHA DE ABONO]))</f>
        <v>45842</v>
      </c>
    </row>
    <row r="295" spans="2:15" ht="21" customHeight="1" x14ac:dyDescent="0.25">
      <c r="B295" s="39">
        <v>1190</v>
      </c>
      <c r="C295" s="20">
        <v>45803</v>
      </c>
      <c r="D295" s="40" t="s">
        <v>106</v>
      </c>
      <c r="E295" s="37" t="str">
        <f>IFERROR(VLOOKUP(D295,CLIENTES!$B$12:$G$2602,2,FALSE),"")</f>
        <v>COMERCIAL SERPAN SPA</v>
      </c>
      <c r="F295" s="31">
        <v>17850</v>
      </c>
      <c r="G295" s="41" t="s">
        <v>101</v>
      </c>
      <c r="H295" s="26">
        <v>30</v>
      </c>
      <c r="I295" s="21" t="str">
        <f t="shared" si="20"/>
        <v>Crédito</v>
      </c>
      <c r="J295" s="22">
        <f t="shared" si="21"/>
        <v>45833</v>
      </c>
      <c r="K295" s="27">
        <f t="shared" ca="1" si="22"/>
        <v>0</v>
      </c>
      <c r="L295" s="23" t="str">
        <f t="shared" si="23"/>
        <v>Pagado</v>
      </c>
      <c r="M295" s="36">
        <f>SUMIFS(Tabla_Pagos[IMPORTE ABONADO],Tabla_Pagos[FECHA DE ABONO],"&gt;0",Tabla_Pagos[NRO DOC],B295)</f>
        <v>17850</v>
      </c>
      <c r="N295" s="36">
        <f t="shared" si="24"/>
        <v>0</v>
      </c>
      <c r="O295" s="22" cm="1">
        <f t="array" ref="O295">MAX(IF((Tabla_Pagos[NRO DOC]=B295)*(Tabla_Pagos[IMPORTE ABONADO]&gt;0),Tabla_Pagos[FECHA DE ABONO]))</f>
        <v>45842</v>
      </c>
    </row>
    <row r="296" spans="2:15" ht="21" customHeight="1" x14ac:dyDescent="0.25">
      <c r="B296" s="39">
        <v>1191</v>
      </c>
      <c r="C296" s="20">
        <v>45803</v>
      </c>
      <c r="D296" s="40" t="s">
        <v>106</v>
      </c>
      <c r="E296" s="37" t="str">
        <f>IFERROR(VLOOKUP(D296,CLIENTES!$B$12:$G$2602,2,FALSE),"")</f>
        <v>COMERCIAL SERPAN SPA</v>
      </c>
      <c r="F296" s="31">
        <v>17850</v>
      </c>
      <c r="G296" s="41" t="s">
        <v>101</v>
      </c>
      <c r="H296" s="26">
        <v>30</v>
      </c>
      <c r="I296" s="21" t="str">
        <f t="shared" si="20"/>
        <v>Crédito</v>
      </c>
      <c r="J296" s="22">
        <f t="shared" si="21"/>
        <v>45833</v>
      </c>
      <c r="K296" s="27">
        <f t="shared" ca="1" si="22"/>
        <v>0</v>
      </c>
      <c r="L296" s="23" t="str">
        <f t="shared" si="23"/>
        <v>Pagado</v>
      </c>
      <c r="M296" s="36">
        <f>SUMIFS(Tabla_Pagos[IMPORTE ABONADO],Tabla_Pagos[FECHA DE ABONO],"&gt;0",Tabla_Pagos[NRO DOC],B296)</f>
        <v>17850</v>
      </c>
      <c r="N296" s="36">
        <f t="shared" si="24"/>
        <v>0</v>
      </c>
      <c r="O296" s="22" cm="1">
        <f t="array" ref="O296">MAX(IF((Tabla_Pagos[NRO DOC]=B296)*(Tabla_Pagos[IMPORTE ABONADO]&gt;0),Tabla_Pagos[FECHA DE ABONO]))</f>
        <v>45842</v>
      </c>
    </row>
    <row r="297" spans="2:15" ht="21" customHeight="1" x14ac:dyDescent="0.25">
      <c r="B297" s="39">
        <v>1192</v>
      </c>
      <c r="C297" s="20">
        <v>45803</v>
      </c>
      <c r="D297" s="40" t="s">
        <v>106</v>
      </c>
      <c r="E297" s="37" t="str">
        <f>IFERROR(VLOOKUP(D297,CLIENTES!$B$12:$G$2602,2,FALSE),"")</f>
        <v>COMERCIAL SERPAN SPA</v>
      </c>
      <c r="F297" s="31">
        <v>17850</v>
      </c>
      <c r="G297" s="41" t="s">
        <v>101</v>
      </c>
      <c r="H297" s="26">
        <v>30</v>
      </c>
      <c r="I297" s="21" t="str">
        <f t="shared" si="20"/>
        <v>Crédito</v>
      </c>
      <c r="J297" s="22">
        <f t="shared" si="21"/>
        <v>45833</v>
      </c>
      <c r="K297" s="27">
        <f t="shared" ca="1" si="22"/>
        <v>0</v>
      </c>
      <c r="L297" s="23" t="str">
        <f t="shared" si="23"/>
        <v>Pagado</v>
      </c>
      <c r="M297" s="36">
        <f>SUMIFS(Tabla_Pagos[IMPORTE ABONADO],Tabla_Pagos[FECHA DE ABONO],"&gt;0",Tabla_Pagos[NRO DOC],B297)</f>
        <v>17850</v>
      </c>
      <c r="N297" s="36">
        <f t="shared" si="24"/>
        <v>0</v>
      </c>
      <c r="O297" s="22" cm="1">
        <f t="array" ref="O297">MAX(IF((Tabla_Pagos[NRO DOC]=B297)*(Tabla_Pagos[IMPORTE ABONADO]&gt;0),Tabla_Pagos[FECHA DE ABONO]))</f>
        <v>45842</v>
      </c>
    </row>
    <row r="298" spans="2:15" ht="21" customHeight="1" x14ac:dyDescent="0.25">
      <c r="B298" s="39">
        <v>1193</v>
      </c>
      <c r="C298" s="20">
        <v>45803</v>
      </c>
      <c r="D298" s="40" t="s">
        <v>106</v>
      </c>
      <c r="E298" s="37" t="str">
        <f>IFERROR(VLOOKUP(D298,CLIENTES!$B$12:$G$2602,2,FALSE),"")</f>
        <v>COMERCIAL SERPAN SPA</v>
      </c>
      <c r="F298" s="31">
        <v>17850</v>
      </c>
      <c r="G298" s="41" t="s">
        <v>101</v>
      </c>
      <c r="H298" s="26">
        <v>30</v>
      </c>
      <c r="I298" s="21" t="str">
        <f t="shared" si="20"/>
        <v>Crédito</v>
      </c>
      <c r="J298" s="22">
        <f t="shared" si="21"/>
        <v>45833</v>
      </c>
      <c r="K298" s="27">
        <f t="shared" ca="1" si="22"/>
        <v>0</v>
      </c>
      <c r="L298" s="23" t="str">
        <f t="shared" si="23"/>
        <v>Pagado</v>
      </c>
      <c r="M298" s="36">
        <f>SUMIFS(Tabla_Pagos[IMPORTE ABONADO],Tabla_Pagos[FECHA DE ABONO],"&gt;0",Tabla_Pagos[NRO DOC],B298)</f>
        <v>17850</v>
      </c>
      <c r="N298" s="36">
        <f t="shared" si="24"/>
        <v>0</v>
      </c>
      <c r="O298" s="22" cm="1">
        <f t="array" ref="O298">MAX(IF((Tabla_Pagos[NRO DOC]=B298)*(Tabla_Pagos[IMPORTE ABONADO]&gt;0),Tabla_Pagos[FECHA DE ABONO]))</f>
        <v>45842</v>
      </c>
    </row>
    <row r="299" spans="2:15" ht="21" customHeight="1" x14ac:dyDescent="0.25">
      <c r="B299" s="39">
        <v>1194</v>
      </c>
      <c r="C299" s="20">
        <v>45803</v>
      </c>
      <c r="D299" s="40" t="s">
        <v>106</v>
      </c>
      <c r="E299" s="37" t="str">
        <f>IFERROR(VLOOKUP(D299,CLIENTES!$B$12:$G$2602,2,FALSE),"")</f>
        <v>COMERCIAL SERPAN SPA</v>
      </c>
      <c r="F299" s="31">
        <v>17850</v>
      </c>
      <c r="G299" s="41" t="s">
        <v>101</v>
      </c>
      <c r="H299" s="26">
        <v>30</v>
      </c>
      <c r="I299" s="21" t="str">
        <f t="shared" si="20"/>
        <v>Crédito</v>
      </c>
      <c r="J299" s="22">
        <f t="shared" si="21"/>
        <v>45833</v>
      </c>
      <c r="K299" s="27">
        <f t="shared" ca="1" si="22"/>
        <v>0</v>
      </c>
      <c r="L299" s="23" t="str">
        <f t="shared" si="23"/>
        <v>Pagado</v>
      </c>
      <c r="M299" s="36">
        <f>SUMIFS(Tabla_Pagos[IMPORTE ABONADO],Tabla_Pagos[FECHA DE ABONO],"&gt;0",Tabla_Pagos[NRO DOC],B299)</f>
        <v>17850</v>
      </c>
      <c r="N299" s="36">
        <f t="shared" si="24"/>
        <v>0</v>
      </c>
      <c r="O299" s="22" cm="1">
        <f t="array" ref="O299">MAX(IF((Tabla_Pagos[NRO DOC]=B299)*(Tabla_Pagos[IMPORTE ABONADO]&gt;0),Tabla_Pagos[FECHA DE ABONO]))</f>
        <v>45842</v>
      </c>
    </row>
    <row r="300" spans="2:15" ht="21" customHeight="1" x14ac:dyDescent="0.25">
      <c r="B300" s="39">
        <v>1195</v>
      </c>
      <c r="C300" s="20">
        <v>45803</v>
      </c>
      <c r="D300" s="40" t="s">
        <v>106</v>
      </c>
      <c r="E300" s="37" t="str">
        <f>IFERROR(VLOOKUP(D300,CLIENTES!$B$12:$G$2602,2,FALSE),"")</f>
        <v>COMERCIAL SERPAN SPA</v>
      </c>
      <c r="F300" s="31">
        <v>17850</v>
      </c>
      <c r="G300" s="41" t="s">
        <v>101</v>
      </c>
      <c r="H300" s="26">
        <v>30</v>
      </c>
      <c r="I300" s="21" t="str">
        <f t="shared" si="20"/>
        <v>Crédito</v>
      </c>
      <c r="J300" s="22">
        <f t="shared" si="21"/>
        <v>45833</v>
      </c>
      <c r="K300" s="27">
        <f t="shared" ca="1" si="22"/>
        <v>0</v>
      </c>
      <c r="L300" s="23" t="str">
        <f t="shared" si="23"/>
        <v>Pagado</v>
      </c>
      <c r="M300" s="36">
        <f>SUMIFS(Tabla_Pagos[IMPORTE ABONADO],Tabla_Pagos[FECHA DE ABONO],"&gt;0",Tabla_Pagos[NRO DOC],B300)</f>
        <v>17850</v>
      </c>
      <c r="N300" s="36">
        <f t="shared" si="24"/>
        <v>0</v>
      </c>
      <c r="O300" s="22" cm="1">
        <f t="array" ref="O300">MAX(IF((Tabla_Pagos[NRO DOC]=B300)*(Tabla_Pagos[IMPORTE ABONADO]&gt;0),Tabla_Pagos[FECHA DE ABONO]))</f>
        <v>45842</v>
      </c>
    </row>
    <row r="301" spans="2:15" ht="21" customHeight="1" x14ac:dyDescent="0.25">
      <c r="B301" s="39">
        <v>1196</v>
      </c>
      <c r="C301" s="20">
        <v>45803</v>
      </c>
      <c r="D301" s="40" t="s">
        <v>168</v>
      </c>
      <c r="E301" s="37" t="str">
        <f>IFERROR(VLOOKUP(D301,CLIENTES!$B$12:$G$2602,2,FALSE),"")</f>
        <v>CENTRO DE RECICLAJE DEL NORTE LIMITADA</v>
      </c>
      <c r="F301" s="31">
        <v>214200</v>
      </c>
      <c r="G301" s="41" t="s">
        <v>101</v>
      </c>
      <c r="H301" s="26">
        <v>30</v>
      </c>
      <c r="I301" s="21" t="str">
        <f t="shared" si="20"/>
        <v>Crédito</v>
      </c>
      <c r="J301" s="22">
        <f t="shared" si="21"/>
        <v>45833</v>
      </c>
      <c r="K301" s="27">
        <f t="shared" ca="1" si="22"/>
        <v>0</v>
      </c>
      <c r="L301" s="23" t="str">
        <f t="shared" si="23"/>
        <v>Pagado</v>
      </c>
      <c r="M301" s="36">
        <f>SUMIFS(Tabla_Pagos[IMPORTE ABONADO],Tabla_Pagos[FECHA DE ABONO],"&gt;0",Tabla_Pagos[NRO DOC],B301)</f>
        <v>214200</v>
      </c>
      <c r="N301" s="36">
        <f t="shared" si="24"/>
        <v>0</v>
      </c>
      <c r="O301" s="22" cm="1">
        <f t="array" ref="O301">MAX(IF((Tabla_Pagos[NRO DOC]=B301)*(Tabla_Pagos[IMPORTE ABONADO]&gt;0),Tabla_Pagos[FECHA DE ABONO]))</f>
        <v>45834</v>
      </c>
    </row>
    <row r="302" spans="2:15" ht="21" customHeight="1" x14ac:dyDescent="0.25">
      <c r="B302" s="39">
        <v>1197</v>
      </c>
      <c r="C302" s="20">
        <v>45803</v>
      </c>
      <c r="D302" s="40" t="s">
        <v>168</v>
      </c>
      <c r="E302" s="37" t="str">
        <f>IFERROR(VLOOKUP(D302,CLIENTES!$B$12:$G$2602,2,FALSE),"")</f>
        <v>CENTRO DE RECICLAJE DEL NORTE LIMITADA</v>
      </c>
      <c r="F302" s="31">
        <v>844900</v>
      </c>
      <c r="G302" s="41" t="s">
        <v>101</v>
      </c>
      <c r="H302" s="26">
        <v>30</v>
      </c>
      <c r="I302" s="21" t="str">
        <f t="shared" si="20"/>
        <v>Crédito</v>
      </c>
      <c r="J302" s="22">
        <f t="shared" si="21"/>
        <v>45833</v>
      </c>
      <c r="K302" s="27">
        <f t="shared" ca="1" si="22"/>
        <v>0</v>
      </c>
      <c r="L302" s="23" t="str">
        <f t="shared" si="23"/>
        <v>Pagado</v>
      </c>
      <c r="M302" s="36">
        <f>SUMIFS(Tabla_Pagos[IMPORTE ABONADO],Tabla_Pagos[FECHA DE ABONO],"&gt;0",Tabla_Pagos[NRO DOC],B302)</f>
        <v>844900</v>
      </c>
      <c r="N302" s="36">
        <f t="shared" si="24"/>
        <v>0</v>
      </c>
      <c r="O302" s="22" cm="1">
        <f t="array" ref="O302">MAX(IF((Tabla_Pagos[NRO DOC]=B302)*(Tabla_Pagos[IMPORTE ABONADO]&gt;0),Tabla_Pagos[FECHA DE ABONO]))</f>
        <v>45834</v>
      </c>
    </row>
    <row r="303" spans="2:15" ht="21" customHeight="1" x14ac:dyDescent="0.25">
      <c r="B303" s="39">
        <v>1198</v>
      </c>
      <c r="C303" s="20">
        <v>45803</v>
      </c>
      <c r="D303" s="40" t="s">
        <v>169</v>
      </c>
      <c r="E303" s="37" t="str">
        <f>IFERROR(VLOOKUP(D303,CLIENTES!$B$12:$G$2602,2,FALSE),"")</f>
        <v>SOCIEDAD COMERCIAL HERMANOS GODOY  ARAYA  SPA</v>
      </c>
      <c r="F303" s="31">
        <v>440300</v>
      </c>
      <c r="G303" s="41" t="s">
        <v>101</v>
      </c>
      <c r="H303" s="26">
        <v>30</v>
      </c>
      <c r="I303" s="21" t="str">
        <f t="shared" si="20"/>
        <v>Crédito</v>
      </c>
      <c r="J303" s="22">
        <f t="shared" si="21"/>
        <v>45833</v>
      </c>
      <c r="K303" s="27">
        <f t="shared" ca="1" si="22"/>
        <v>0</v>
      </c>
      <c r="L303" s="23" t="str">
        <f t="shared" si="23"/>
        <v>Pagado</v>
      </c>
      <c r="M303" s="36">
        <f>SUMIFS(Tabla_Pagos[IMPORTE ABONADO],Tabla_Pagos[FECHA DE ABONO],"&gt;0",Tabla_Pagos[NRO DOC],B303)</f>
        <v>440300</v>
      </c>
      <c r="N303" s="36">
        <f t="shared" si="24"/>
        <v>0</v>
      </c>
      <c r="O303" s="22" cm="1">
        <f t="array" ref="O303">MAX(IF((Tabla_Pagos[NRO DOC]=B303)*(Tabla_Pagos[IMPORTE ABONADO]&gt;0),Tabla_Pagos[FECHA DE ABONO]))</f>
        <v>45803</v>
      </c>
    </row>
    <row r="304" spans="2:15" ht="21" customHeight="1" x14ac:dyDescent="0.25">
      <c r="B304" s="39">
        <v>1199</v>
      </c>
      <c r="C304" s="20">
        <v>45803</v>
      </c>
      <c r="D304" s="40" t="s">
        <v>170</v>
      </c>
      <c r="E304" s="37" t="str">
        <f>IFERROR(VLOOKUP(D304,CLIENTES!$B$12:$G$2602,2,FALSE),"")</f>
        <v>RAMON ANGEL RIQUELME OLIVARES</v>
      </c>
      <c r="F304" s="31">
        <v>295358</v>
      </c>
      <c r="G304" s="41" t="s">
        <v>101</v>
      </c>
      <c r="H304" s="26">
        <v>30</v>
      </c>
      <c r="I304" s="21" t="str">
        <f t="shared" si="20"/>
        <v>Crédito</v>
      </c>
      <c r="J304" s="22">
        <f t="shared" si="21"/>
        <v>45833</v>
      </c>
      <c r="K304" s="27">
        <f t="shared" ca="1" si="22"/>
        <v>0</v>
      </c>
      <c r="L304" s="23" t="str">
        <f t="shared" si="23"/>
        <v>Pagado</v>
      </c>
      <c r="M304" s="36">
        <f>SUMIFS(Tabla_Pagos[IMPORTE ABONADO],Tabla_Pagos[FECHA DE ABONO],"&gt;0",Tabla_Pagos[NRO DOC],B304)</f>
        <v>295358</v>
      </c>
      <c r="N304" s="36">
        <f t="shared" si="24"/>
        <v>0</v>
      </c>
      <c r="O304" s="22" cm="1">
        <f t="array" ref="O304">MAX(IF((Tabla_Pagos[NRO DOC]=B304)*(Tabla_Pagos[IMPORTE ABONADO]&gt;0),Tabla_Pagos[FECHA DE ABONO]))</f>
        <v>45803</v>
      </c>
    </row>
    <row r="305" spans="2:15" ht="21" customHeight="1" x14ac:dyDescent="0.25">
      <c r="B305" s="39">
        <v>1200</v>
      </c>
      <c r="C305" s="20">
        <v>45803</v>
      </c>
      <c r="D305" s="40" t="s">
        <v>40</v>
      </c>
      <c r="E305" s="37" t="str">
        <f>IFERROR(VLOOKUP(D305,CLIENTES!$B$12:$G$2602,2,FALSE),"")</f>
        <v>INGENIERIA Y SERVICIOS TERRACOP SPA</v>
      </c>
      <c r="F305" s="31">
        <v>214200</v>
      </c>
      <c r="G305" s="41" t="s">
        <v>101</v>
      </c>
      <c r="H305" s="26">
        <v>30</v>
      </c>
      <c r="I305" s="21" t="str">
        <f t="shared" si="20"/>
        <v>Crédito</v>
      </c>
      <c r="J305" s="22">
        <f t="shared" si="21"/>
        <v>45833</v>
      </c>
      <c r="K305" s="27">
        <f t="shared" ca="1" si="22"/>
        <v>0</v>
      </c>
      <c r="L305" s="23" t="str">
        <f t="shared" si="23"/>
        <v>Pagado</v>
      </c>
      <c r="M305" s="36">
        <f>SUMIFS(Tabla_Pagos[IMPORTE ABONADO],Tabla_Pagos[FECHA DE ABONO],"&gt;0",Tabla_Pagos[NRO DOC],B305)</f>
        <v>214200</v>
      </c>
      <c r="N305" s="36">
        <f t="shared" si="24"/>
        <v>0</v>
      </c>
      <c r="O305" s="22" cm="1">
        <f t="array" ref="O305">MAX(IF((Tabla_Pagos[NRO DOC]=B305)*(Tabla_Pagos[IMPORTE ABONADO]&gt;0),Tabla_Pagos[FECHA DE ABONO]))</f>
        <v>45807</v>
      </c>
    </row>
    <row r="306" spans="2:15" ht="21" customHeight="1" x14ac:dyDescent="0.25">
      <c r="B306" s="39">
        <v>1202</v>
      </c>
      <c r="C306" s="20">
        <v>45804</v>
      </c>
      <c r="D306" s="40" t="s">
        <v>132</v>
      </c>
      <c r="E306" s="37" t="str">
        <f>IFERROR(VLOOKUP(D306,CLIENTES!$B$12:$G$2602,2,FALSE),"")</f>
        <v>ESPACIO LUAN SPA</v>
      </c>
      <c r="F306" s="31">
        <v>5950</v>
      </c>
      <c r="G306" s="41" t="s">
        <v>101</v>
      </c>
      <c r="H306" s="26">
        <v>0</v>
      </c>
      <c r="I306" s="21" t="str">
        <f t="shared" si="20"/>
        <v>Contado</v>
      </c>
      <c r="J306" s="22">
        <f t="shared" si="21"/>
        <v>45804</v>
      </c>
      <c r="K306" s="27">
        <f t="shared" ca="1" si="22"/>
        <v>0</v>
      </c>
      <c r="L306" s="23" t="str">
        <f t="shared" si="23"/>
        <v>Pagado</v>
      </c>
      <c r="M306" s="36">
        <f>SUMIFS(Tabla_Pagos[IMPORTE ABONADO],Tabla_Pagos[FECHA DE ABONO],"&gt;0",Tabla_Pagos[NRO DOC],B306)</f>
        <v>5950</v>
      </c>
      <c r="N306" s="36">
        <f t="shared" si="24"/>
        <v>0</v>
      </c>
      <c r="O306" s="22" cm="1">
        <f t="array" ref="O306">MAX(IF((Tabla_Pagos[NRO DOC]=B306)*(Tabla_Pagos[IMPORTE ABONADO]&gt;0),Tabla_Pagos[FECHA DE ABONO]))</f>
        <v>45804</v>
      </c>
    </row>
    <row r="307" spans="2:15" ht="21" customHeight="1" x14ac:dyDescent="0.25">
      <c r="B307" s="39">
        <v>1203</v>
      </c>
      <c r="C307" s="20">
        <v>45804</v>
      </c>
      <c r="D307" s="40" t="s">
        <v>171</v>
      </c>
      <c r="E307" s="37" t="str">
        <f>IFERROR(VLOOKUP(D307,CLIENTES!$B$12:$G$2602,2,FALSE),"")</f>
        <v>EDWIN HOLVOET Y COMPANIA LIMITADA</v>
      </c>
      <c r="F307" s="31">
        <v>559300</v>
      </c>
      <c r="G307" s="41" t="s">
        <v>101</v>
      </c>
      <c r="H307" s="26">
        <v>30</v>
      </c>
      <c r="I307" s="21" t="str">
        <f t="shared" si="20"/>
        <v>Crédito</v>
      </c>
      <c r="J307" s="22">
        <f t="shared" si="21"/>
        <v>45834</v>
      </c>
      <c r="K307" s="27">
        <f t="shared" ca="1" si="22"/>
        <v>0</v>
      </c>
      <c r="L307" s="23" t="str">
        <f t="shared" si="23"/>
        <v>Pagado</v>
      </c>
      <c r="M307" s="36">
        <f>SUMIFS(Tabla_Pagos[IMPORTE ABONADO],Tabla_Pagos[FECHA DE ABONO],"&gt;0",Tabla_Pagos[NRO DOC],B307)</f>
        <v>559300</v>
      </c>
      <c r="N307" s="36">
        <f t="shared" si="24"/>
        <v>0</v>
      </c>
      <c r="O307" s="22" cm="1">
        <f t="array" ref="O307">MAX(IF((Tabla_Pagos[NRO DOC]=B307)*(Tabla_Pagos[IMPORTE ABONADO]&gt;0),Tabla_Pagos[FECHA DE ABONO]))</f>
        <v>45846</v>
      </c>
    </row>
    <row r="308" spans="2:15" ht="21" customHeight="1" x14ac:dyDescent="0.25">
      <c r="B308" s="39">
        <v>1204</v>
      </c>
      <c r="C308" s="20">
        <v>45804</v>
      </c>
      <c r="D308" s="40" t="s">
        <v>172</v>
      </c>
      <c r="E308" s="37" t="str">
        <f>IFERROR(VLOOKUP(D308,CLIENTES!$B$12:$G$2602,2,FALSE),"")</f>
        <v>JP ELECTRONIC SOCIEDAD ANONIMA</v>
      </c>
      <c r="F308" s="31">
        <v>476000</v>
      </c>
      <c r="G308" s="41" t="s">
        <v>101</v>
      </c>
      <c r="H308" s="26">
        <v>0</v>
      </c>
      <c r="I308" s="21" t="str">
        <f t="shared" si="20"/>
        <v>Contado</v>
      </c>
      <c r="J308" s="22">
        <f t="shared" si="21"/>
        <v>45804</v>
      </c>
      <c r="K308" s="27">
        <f t="shared" ca="1" si="22"/>
        <v>0</v>
      </c>
      <c r="L308" s="23" t="str">
        <f t="shared" si="23"/>
        <v>Pagado</v>
      </c>
      <c r="M308" s="36">
        <f>SUMIFS(Tabla_Pagos[IMPORTE ABONADO],Tabla_Pagos[FECHA DE ABONO],"&gt;0",Tabla_Pagos[NRO DOC],B308)</f>
        <v>476000</v>
      </c>
      <c r="N308" s="36">
        <f t="shared" si="24"/>
        <v>0</v>
      </c>
      <c r="O308" s="22" cm="1">
        <f t="array" ref="O308">MAX(IF((Tabla_Pagos[NRO DOC]=B308)*(Tabla_Pagos[IMPORTE ABONADO]&gt;0),Tabla_Pagos[FECHA DE ABONO]))</f>
        <v>45804</v>
      </c>
    </row>
    <row r="309" spans="2:15" ht="21" customHeight="1" x14ac:dyDescent="0.25">
      <c r="B309" s="39">
        <v>1205</v>
      </c>
      <c r="C309" s="20">
        <v>45804</v>
      </c>
      <c r="D309" s="40" t="s">
        <v>102</v>
      </c>
      <c r="E309" s="37" t="str">
        <f>IFERROR(VLOOKUP(D309,CLIENTES!$B$12:$G$2602,2,FALSE),"")</f>
        <v>CONSTRUCTORA CARLOS ALBERTO ANDRES ALBISTUR REYES E.I.R.L.</v>
      </c>
      <c r="F309" s="31">
        <v>71400</v>
      </c>
      <c r="G309" s="41" t="s">
        <v>101</v>
      </c>
      <c r="H309" s="26">
        <v>30</v>
      </c>
      <c r="I309" s="21" t="str">
        <f t="shared" si="20"/>
        <v>Crédito</v>
      </c>
      <c r="J309" s="22">
        <f t="shared" si="21"/>
        <v>45834</v>
      </c>
      <c r="K309" s="27">
        <f t="shared" ca="1" si="22"/>
        <v>0</v>
      </c>
      <c r="L309" s="23" t="str">
        <f t="shared" si="23"/>
        <v>Pagado</v>
      </c>
      <c r="M309" s="36">
        <f>SUMIFS(Tabla_Pagos[IMPORTE ABONADO],Tabla_Pagos[FECHA DE ABONO],"&gt;0",Tabla_Pagos[NRO DOC],B309)</f>
        <v>71400</v>
      </c>
      <c r="N309" s="36">
        <f t="shared" si="24"/>
        <v>0</v>
      </c>
      <c r="O309" s="22" cm="1">
        <f t="array" ref="O309">MAX(IF((Tabla_Pagos[NRO DOC]=B309)*(Tabla_Pagos[IMPORTE ABONADO]&gt;0),Tabla_Pagos[FECHA DE ABONO]))</f>
        <v>45810</v>
      </c>
    </row>
    <row r="310" spans="2:15" ht="21" customHeight="1" x14ac:dyDescent="0.25">
      <c r="B310" s="39">
        <v>1206</v>
      </c>
      <c r="C310" s="20">
        <v>45804</v>
      </c>
      <c r="D310" s="40" t="s">
        <v>173</v>
      </c>
      <c r="E310" s="37" t="str">
        <f>IFERROR(VLOOKUP(D310,CLIENTES!$B$12:$G$2602,2,FALSE),"")</f>
        <v>COMERCIAL ATACAMA TRUCKS PARTS LIMITADA</v>
      </c>
      <c r="F310" s="31">
        <v>53550</v>
      </c>
      <c r="G310" s="41" t="s">
        <v>101</v>
      </c>
      <c r="H310" s="26">
        <v>0</v>
      </c>
      <c r="I310" s="21" t="str">
        <f t="shared" si="20"/>
        <v>Contado</v>
      </c>
      <c r="J310" s="22">
        <f t="shared" si="21"/>
        <v>45804</v>
      </c>
      <c r="K310" s="27">
        <f t="shared" ca="1" si="22"/>
        <v>0</v>
      </c>
      <c r="L310" s="23" t="str">
        <f t="shared" si="23"/>
        <v>Pagado</v>
      </c>
      <c r="M310" s="36">
        <f>SUMIFS(Tabla_Pagos[IMPORTE ABONADO],Tabla_Pagos[FECHA DE ABONO],"&gt;0",Tabla_Pagos[NRO DOC],B310)</f>
        <v>53550</v>
      </c>
      <c r="N310" s="36">
        <f t="shared" si="24"/>
        <v>0</v>
      </c>
      <c r="O310" s="22" cm="1">
        <f t="array" ref="O310">MAX(IF((Tabla_Pagos[NRO DOC]=B310)*(Tabla_Pagos[IMPORTE ABONADO]&gt;0),Tabla_Pagos[FECHA DE ABONO]))</f>
        <v>45804</v>
      </c>
    </row>
    <row r="311" spans="2:15" ht="21" customHeight="1" x14ac:dyDescent="0.25">
      <c r="B311" s="39">
        <v>1207</v>
      </c>
      <c r="C311" s="20">
        <v>45804</v>
      </c>
      <c r="D311" s="40" t="s">
        <v>174</v>
      </c>
      <c r="E311" s="37" t="str">
        <f>IFERROR(VLOOKUP(D311,CLIENTES!$B$12:$G$2602,2,FALSE),"")</f>
        <v>VIDRIERIA Y TRANSPORTES ROX SPA</v>
      </c>
      <c r="F311" s="31">
        <v>178500</v>
      </c>
      <c r="G311" s="41" t="s">
        <v>101</v>
      </c>
      <c r="H311" s="26">
        <v>0</v>
      </c>
      <c r="I311" s="21" t="str">
        <f t="shared" si="20"/>
        <v>Contado</v>
      </c>
      <c r="J311" s="22">
        <f t="shared" si="21"/>
        <v>45804</v>
      </c>
      <c r="K311" s="27">
        <f t="shared" ca="1" si="22"/>
        <v>0</v>
      </c>
      <c r="L311" s="23" t="str">
        <f t="shared" si="23"/>
        <v>Pagado</v>
      </c>
      <c r="M311" s="36">
        <f>SUMIFS(Tabla_Pagos[IMPORTE ABONADO],Tabla_Pagos[FECHA DE ABONO],"&gt;0",Tabla_Pagos[NRO DOC],B311)</f>
        <v>178500</v>
      </c>
      <c r="N311" s="36">
        <f t="shared" si="24"/>
        <v>0</v>
      </c>
      <c r="O311" s="22" cm="1">
        <f t="array" ref="O311">MAX(IF((Tabla_Pagos[NRO DOC]=B311)*(Tabla_Pagos[IMPORTE ABONADO]&gt;0),Tabla_Pagos[FECHA DE ABONO]))</f>
        <v>45804</v>
      </c>
    </row>
    <row r="312" spans="2:15" ht="21" customHeight="1" x14ac:dyDescent="0.25">
      <c r="B312" s="39">
        <v>1208</v>
      </c>
      <c r="C312" s="20">
        <v>45805</v>
      </c>
      <c r="D312" s="40" t="s">
        <v>175</v>
      </c>
      <c r="E312" s="37" t="str">
        <f>IFERROR(VLOOKUP(D312,CLIENTES!$B$12:$G$2602,2,FALSE),"")</f>
        <v>SUDAMERICANA DE GESTION EMPRESARIAL LIMITADA</v>
      </c>
      <c r="F312" s="31">
        <v>23800</v>
      </c>
      <c r="G312" s="41" t="s">
        <v>101</v>
      </c>
      <c r="H312" s="26">
        <v>0</v>
      </c>
      <c r="I312" s="21" t="str">
        <f t="shared" si="20"/>
        <v>Contado</v>
      </c>
      <c r="J312" s="22">
        <f t="shared" si="21"/>
        <v>45805</v>
      </c>
      <c r="K312" s="27">
        <f t="shared" ca="1" si="22"/>
        <v>0</v>
      </c>
      <c r="L312" s="23" t="str">
        <f t="shared" si="23"/>
        <v>Pagado</v>
      </c>
      <c r="M312" s="36">
        <f>SUMIFS(Tabla_Pagos[IMPORTE ABONADO],Tabla_Pagos[FECHA DE ABONO],"&gt;0",Tabla_Pagos[NRO DOC],B312)</f>
        <v>23800</v>
      </c>
      <c r="N312" s="36">
        <f t="shared" si="24"/>
        <v>0</v>
      </c>
      <c r="O312" s="22" cm="1">
        <f t="array" ref="O312">MAX(IF((Tabla_Pagos[NRO DOC]=B312)*(Tabla_Pagos[IMPORTE ABONADO]&gt;0),Tabla_Pagos[FECHA DE ABONO]))</f>
        <v>45805</v>
      </c>
    </row>
    <row r="313" spans="2:15" ht="21" customHeight="1" x14ac:dyDescent="0.25">
      <c r="B313" s="39">
        <v>1209</v>
      </c>
      <c r="C313" s="20">
        <v>45805</v>
      </c>
      <c r="D313" s="40" t="s">
        <v>36</v>
      </c>
      <c r="E313" s="37" t="str">
        <f>IFERROR(VLOOKUP(D313,CLIENTES!$B$12:$G$2602,2,FALSE),"")</f>
        <v>LC GROUP INTERNATIONAL SPA</v>
      </c>
      <c r="F313" s="31">
        <v>399840</v>
      </c>
      <c r="G313" s="41" t="s">
        <v>101</v>
      </c>
      <c r="H313" s="26">
        <v>30</v>
      </c>
      <c r="I313" s="21" t="str">
        <f t="shared" si="20"/>
        <v>Crédito</v>
      </c>
      <c r="J313" s="22">
        <f t="shared" si="21"/>
        <v>45835</v>
      </c>
      <c r="K313" s="27">
        <f t="shared" ca="1" si="22"/>
        <v>0</v>
      </c>
      <c r="L313" s="23" t="str">
        <f t="shared" si="23"/>
        <v>Pagado</v>
      </c>
      <c r="M313" s="36">
        <f>SUMIFS(Tabla_Pagos[IMPORTE ABONADO],Tabla_Pagos[FECHA DE ABONO],"&gt;0",Tabla_Pagos[NRO DOC],B313)</f>
        <v>399840</v>
      </c>
      <c r="N313" s="36">
        <f t="shared" si="24"/>
        <v>0</v>
      </c>
      <c r="O313" s="22" cm="1">
        <f t="array" ref="O313">MAX(IF((Tabla_Pagos[NRO DOC]=B313)*(Tabla_Pagos[IMPORTE ABONADO]&gt;0),Tabla_Pagos[FECHA DE ABONO]))</f>
        <v>45806</v>
      </c>
    </row>
    <row r="314" spans="2:15" ht="21" customHeight="1" x14ac:dyDescent="0.25">
      <c r="B314" s="39">
        <v>1210</v>
      </c>
      <c r="C314" s="20">
        <v>45805</v>
      </c>
      <c r="D314" s="40" t="s">
        <v>106</v>
      </c>
      <c r="E314" s="37" t="str">
        <f>IFERROR(VLOOKUP(D314,CLIENTES!$B$12:$G$2602,2,FALSE),"")</f>
        <v>COMERCIAL SERPAN SPA</v>
      </c>
      <c r="F314" s="31">
        <v>11900</v>
      </c>
      <c r="G314" s="41" t="s">
        <v>101</v>
      </c>
      <c r="H314" s="26">
        <v>30</v>
      </c>
      <c r="I314" s="21" t="str">
        <f t="shared" si="20"/>
        <v>Crédito</v>
      </c>
      <c r="J314" s="22">
        <f t="shared" si="21"/>
        <v>45835</v>
      </c>
      <c r="K314" s="27">
        <f t="shared" ca="1" si="22"/>
        <v>0</v>
      </c>
      <c r="L314" s="23" t="str">
        <f t="shared" si="23"/>
        <v>Pagado</v>
      </c>
      <c r="M314" s="36">
        <f>SUMIFS(Tabla_Pagos[IMPORTE ABONADO],Tabla_Pagos[FECHA DE ABONO],"&gt;0",Tabla_Pagos[NRO DOC],B314)</f>
        <v>11900</v>
      </c>
      <c r="N314" s="36">
        <f t="shared" si="24"/>
        <v>0</v>
      </c>
      <c r="O314" s="22" cm="1">
        <f t="array" ref="O314">MAX(IF((Tabla_Pagos[NRO DOC]=B314)*(Tabla_Pagos[IMPORTE ABONADO]&gt;0),Tabla_Pagos[FECHA DE ABONO]))</f>
        <v>45847</v>
      </c>
    </row>
    <row r="315" spans="2:15" ht="21" customHeight="1" x14ac:dyDescent="0.25">
      <c r="B315" s="39">
        <v>1211</v>
      </c>
      <c r="C315" s="20">
        <v>45805</v>
      </c>
      <c r="D315" s="40" t="s">
        <v>106</v>
      </c>
      <c r="E315" s="37" t="str">
        <f>IFERROR(VLOOKUP(D315,CLIENTES!$B$12:$G$2602,2,FALSE),"")</f>
        <v>COMERCIAL SERPAN SPA</v>
      </c>
      <c r="F315" s="31">
        <v>11900</v>
      </c>
      <c r="G315" s="41" t="s">
        <v>101</v>
      </c>
      <c r="H315" s="26">
        <v>30</v>
      </c>
      <c r="I315" s="21" t="str">
        <f t="shared" si="20"/>
        <v>Crédito</v>
      </c>
      <c r="J315" s="22">
        <f t="shared" si="21"/>
        <v>45835</v>
      </c>
      <c r="K315" s="27">
        <f t="shared" ca="1" si="22"/>
        <v>0</v>
      </c>
      <c r="L315" s="23" t="str">
        <f t="shared" si="23"/>
        <v>Pagado</v>
      </c>
      <c r="M315" s="36">
        <f>SUMIFS(Tabla_Pagos[IMPORTE ABONADO],Tabla_Pagos[FECHA DE ABONO],"&gt;0",Tabla_Pagos[NRO DOC],B315)</f>
        <v>11900</v>
      </c>
      <c r="N315" s="36">
        <f t="shared" si="24"/>
        <v>0</v>
      </c>
      <c r="O315" s="22" cm="1">
        <f t="array" ref="O315">MAX(IF((Tabla_Pagos[NRO DOC]=B315)*(Tabla_Pagos[IMPORTE ABONADO]&gt;0),Tabla_Pagos[FECHA DE ABONO]))</f>
        <v>45842</v>
      </c>
    </row>
    <row r="316" spans="2:15" ht="21" customHeight="1" x14ac:dyDescent="0.25">
      <c r="B316" s="39">
        <v>1212</v>
      </c>
      <c r="C316" s="20">
        <v>45805</v>
      </c>
      <c r="D316" s="40" t="s">
        <v>44</v>
      </c>
      <c r="E316" s="37" t="str">
        <f>IFERROR(VLOOKUP(D316,CLIENTES!$B$12:$G$2602,2,FALSE),"")</f>
        <v>SKC RED SPA</v>
      </c>
      <c r="F316" s="31">
        <v>17850</v>
      </c>
      <c r="G316" s="41" t="s">
        <v>101</v>
      </c>
      <c r="H316" s="26">
        <v>30</v>
      </c>
      <c r="I316" s="21" t="str">
        <f t="shared" si="20"/>
        <v>Crédito</v>
      </c>
      <c r="J316" s="22">
        <f t="shared" si="21"/>
        <v>45835</v>
      </c>
      <c r="K316" s="27">
        <f t="shared" ca="1" si="22"/>
        <v>0</v>
      </c>
      <c r="L316" s="23" t="str">
        <f t="shared" si="23"/>
        <v>Pagado</v>
      </c>
      <c r="M316" s="36">
        <f>SUMIFS(Tabla_Pagos[IMPORTE ABONADO],Tabla_Pagos[FECHA DE ABONO],"&gt;0",Tabla_Pagos[NRO DOC],B316)</f>
        <v>17850</v>
      </c>
      <c r="N316" s="36">
        <f t="shared" si="24"/>
        <v>0</v>
      </c>
      <c r="O316" s="22" cm="1">
        <f t="array" ref="O316">MAX(IF((Tabla_Pagos[NRO DOC]=B316)*(Tabla_Pagos[IMPORTE ABONADO]&gt;0),Tabla_Pagos[FECHA DE ABONO]))</f>
        <v>45827</v>
      </c>
    </row>
    <row r="317" spans="2:15" ht="21" customHeight="1" x14ac:dyDescent="0.25">
      <c r="B317" s="39">
        <v>1213</v>
      </c>
      <c r="C317" s="20">
        <v>45806</v>
      </c>
      <c r="D317" s="40" t="s">
        <v>37</v>
      </c>
      <c r="E317" s="37" t="str">
        <f>IFERROR(VLOOKUP(D317,CLIENTES!$B$12:$G$2602,2,FALSE),"")</f>
        <v>AILUV SPA</v>
      </c>
      <c r="F317" s="31">
        <v>20000</v>
      </c>
      <c r="G317" s="41" t="s">
        <v>101</v>
      </c>
      <c r="H317" s="26">
        <v>0</v>
      </c>
      <c r="I317" s="21" t="str">
        <f t="shared" si="20"/>
        <v>Contado</v>
      </c>
      <c r="J317" s="22">
        <f t="shared" si="21"/>
        <v>45806</v>
      </c>
      <c r="K317" s="27">
        <f t="shared" ca="1" si="22"/>
        <v>0</v>
      </c>
      <c r="L317" s="23" t="str">
        <f t="shared" si="23"/>
        <v>Pagado</v>
      </c>
      <c r="M317" s="36">
        <f>SUMIFS(Tabla_Pagos[IMPORTE ABONADO],Tabla_Pagos[FECHA DE ABONO],"&gt;0",Tabla_Pagos[NRO DOC],B317)</f>
        <v>20000</v>
      </c>
      <c r="N317" s="36">
        <f t="shared" si="24"/>
        <v>0</v>
      </c>
      <c r="O317" s="22" cm="1">
        <f t="array" ref="O317">MAX(IF((Tabla_Pagos[NRO DOC]=B317)*(Tabla_Pagos[IMPORTE ABONADO]&gt;0),Tabla_Pagos[FECHA DE ABONO]))</f>
        <v>45806</v>
      </c>
    </row>
    <row r="318" spans="2:15" ht="21" customHeight="1" x14ac:dyDescent="0.25">
      <c r="B318" s="39">
        <v>1214</v>
      </c>
      <c r="C318" s="20">
        <v>45806</v>
      </c>
      <c r="D318" s="40" t="s">
        <v>106</v>
      </c>
      <c r="E318" s="37" t="str">
        <f>IFERROR(VLOOKUP(D318,CLIENTES!$B$12:$G$2602,2,FALSE),"")</f>
        <v>COMERCIAL SERPAN SPA</v>
      </c>
      <c r="F318" s="31">
        <v>11900</v>
      </c>
      <c r="G318" s="41" t="s">
        <v>101</v>
      </c>
      <c r="H318" s="26">
        <v>30</v>
      </c>
      <c r="I318" s="21" t="str">
        <f t="shared" si="20"/>
        <v>Crédito</v>
      </c>
      <c r="J318" s="22">
        <f t="shared" si="21"/>
        <v>45836</v>
      </c>
      <c r="K318" s="27">
        <f t="shared" ca="1" si="22"/>
        <v>0</v>
      </c>
      <c r="L318" s="23" t="str">
        <f t="shared" si="23"/>
        <v>Pagado</v>
      </c>
      <c r="M318" s="36">
        <f>SUMIFS(Tabla_Pagos[IMPORTE ABONADO],Tabla_Pagos[FECHA DE ABONO],"&gt;0",Tabla_Pagos[NRO DOC],B318)</f>
        <v>11900</v>
      </c>
      <c r="N318" s="36">
        <f t="shared" si="24"/>
        <v>0</v>
      </c>
      <c r="O318" s="22" cm="1">
        <f t="array" ref="O318">MAX(IF((Tabla_Pagos[NRO DOC]=B318)*(Tabla_Pagos[IMPORTE ABONADO]&gt;0),Tabla_Pagos[FECHA DE ABONO]))</f>
        <v>45842</v>
      </c>
    </row>
    <row r="319" spans="2:15" ht="21" customHeight="1" x14ac:dyDescent="0.25">
      <c r="B319" s="39">
        <v>1215</v>
      </c>
      <c r="C319" s="20">
        <v>45806</v>
      </c>
      <c r="D319" s="40" t="s">
        <v>31</v>
      </c>
      <c r="E319" s="37" t="str">
        <f>IFERROR(VLOOKUP(D319,CLIENTES!$B$12:$G$2602,2,FALSE),"")</f>
        <v>KAUFMANN SA VEHICULOS MOTORIZADOS</v>
      </c>
      <c r="F319" s="31">
        <v>29750</v>
      </c>
      <c r="G319" s="41" t="s">
        <v>101</v>
      </c>
      <c r="H319" s="26">
        <v>30</v>
      </c>
      <c r="I319" s="21" t="str">
        <f t="shared" si="20"/>
        <v>Crédito</v>
      </c>
      <c r="J319" s="22">
        <f t="shared" si="21"/>
        <v>45836</v>
      </c>
      <c r="K319" s="27">
        <f t="shared" ca="1" si="22"/>
        <v>0</v>
      </c>
      <c r="L319" s="23" t="str">
        <f t="shared" si="23"/>
        <v>Pagado</v>
      </c>
      <c r="M319" s="36">
        <f>SUMIFS(Tabla_Pagos[IMPORTE ABONADO],Tabla_Pagos[FECHA DE ABONO],"&gt;0",Tabla_Pagos[NRO DOC],B319)</f>
        <v>29750</v>
      </c>
      <c r="N319" s="36">
        <f t="shared" si="24"/>
        <v>0</v>
      </c>
      <c r="O319" s="22" cm="1">
        <f t="array" ref="O319">MAX(IF((Tabla_Pagos[NRO DOC]=B319)*(Tabla_Pagos[IMPORTE ABONADO]&gt;0),Tabla_Pagos[FECHA DE ABONO]))</f>
        <v>45803</v>
      </c>
    </row>
    <row r="320" spans="2:15" ht="21" customHeight="1" x14ac:dyDescent="0.25">
      <c r="B320" s="39">
        <v>1216</v>
      </c>
      <c r="C320" s="20">
        <v>45806</v>
      </c>
      <c r="D320" s="40" t="s">
        <v>302</v>
      </c>
      <c r="E320" s="37" t="str">
        <f>IFERROR(VLOOKUP(D320,CLIENTES!$B$12:$G$2602,2,FALSE),"")</f>
        <v>SERVICIO DE HOSPEDAJE, ALIMENTACIÓN Y OTROS SERVICIOS A LA MINERÍA LOS</v>
      </c>
      <c r="F320" s="31">
        <v>150000</v>
      </c>
      <c r="G320" s="41" t="s">
        <v>101</v>
      </c>
      <c r="H320" s="26">
        <v>0</v>
      </c>
      <c r="I320" s="21" t="str">
        <f t="shared" si="20"/>
        <v>Contado</v>
      </c>
      <c r="J320" s="22">
        <f t="shared" si="21"/>
        <v>45806</v>
      </c>
      <c r="K320" s="27">
        <f t="shared" ca="1" si="22"/>
        <v>0</v>
      </c>
      <c r="L320" s="23" t="str">
        <f t="shared" si="23"/>
        <v>Pagado</v>
      </c>
      <c r="M320" s="36">
        <f>SUMIFS(Tabla_Pagos[IMPORTE ABONADO],Tabla_Pagos[FECHA DE ABONO],"&gt;0",Tabla_Pagos[NRO DOC],B320)</f>
        <v>150000</v>
      </c>
      <c r="N320" s="36">
        <f t="shared" si="24"/>
        <v>0</v>
      </c>
      <c r="O320" s="22" cm="1">
        <f t="array" ref="O320">MAX(IF((Tabla_Pagos[NRO DOC]=B320)*(Tabla_Pagos[IMPORTE ABONADO]&gt;0),Tabla_Pagos[FECHA DE ABONO]))</f>
        <v>45806</v>
      </c>
    </row>
    <row r="321" spans="2:15" ht="21" customHeight="1" x14ac:dyDescent="0.25">
      <c r="B321" s="39">
        <v>1217</v>
      </c>
      <c r="C321" s="20">
        <v>45806</v>
      </c>
      <c r="D321" s="40" t="s">
        <v>34</v>
      </c>
      <c r="E321" s="37" t="str">
        <f>IFERROR(VLOOKUP(D321,CLIENTES!$B$12:$G$2602,2,FALSE),"")</f>
        <v>SERVICIOS INDUSTRIALES WARNER SPA</v>
      </c>
      <c r="F321" s="31">
        <v>761600</v>
      </c>
      <c r="G321" s="41" t="s">
        <v>134</v>
      </c>
      <c r="H321" s="26">
        <v>30</v>
      </c>
      <c r="I321" s="21" t="str">
        <f t="shared" si="20"/>
        <v>Crédito</v>
      </c>
      <c r="J321" s="22">
        <f t="shared" si="21"/>
        <v>45836</v>
      </c>
      <c r="K321" s="27">
        <f t="shared" ca="1" si="22"/>
        <v>0</v>
      </c>
      <c r="L321" s="23" t="str">
        <f t="shared" si="23"/>
        <v>Pagado</v>
      </c>
      <c r="M321" s="36">
        <f>SUMIFS(Tabla_Pagos[IMPORTE ABONADO],Tabla_Pagos[FECHA DE ABONO],"&gt;0",Tabla_Pagos[NRO DOC],B321)</f>
        <v>761600</v>
      </c>
      <c r="N321" s="36">
        <f t="shared" si="24"/>
        <v>0</v>
      </c>
      <c r="O321" s="22" cm="1">
        <f t="array" ref="O321">MAX(IF((Tabla_Pagos[NRO DOC]=B321)*(Tabla_Pagos[IMPORTE ABONADO]&gt;0),Tabla_Pagos[FECHA DE ABONO]))</f>
        <v>45817</v>
      </c>
    </row>
    <row r="322" spans="2:15" ht="21" customHeight="1" x14ac:dyDescent="0.25">
      <c r="B322" s="39">
        <v>1218</v>
      </c>
      <c r="C322" s="20">
        <v>45806</v>
      </c>
      <c r="D322" s="40" t="s">
        <v>38</v>
      </c>
      <c r="E322" s="37" t="str">
        <f>IFERROR(VLOOKUP(D322,CLIENTES!$B$12:$G$2602,2,FALSE),"")</f>
        <v>CROSAN SPA</v>
      </c>
      <c r="F322" s="31">
        <v>1959930</v>
      </c>
      <c r="G322" s="41" t="s">
        <v>101</v>
      </c>
      <c r="H322" s="26">
        <v>0</v>
      </c>
      <c r="I322" s="21" t="str">
        <f t="shared" si="20"/>
        <v>Contado</v>
      </c>
      <c r="J322" s="22">
        <f t="shared" si="21"/>
        <v>45806</v>
      </c>
      <c r="K322" s="27">
        <f t="shared" ca="1" si="22"/>
        <v>0</v>
      </c>
      <c r="L322" s="23" t="str">
        <f t="shared" si="23"/>
        <v>Pagado</v>
      </c>
      <c r="M322" s="36">
        <f>SUMIFS(Tabla_Pagos[IMPORTE ABONADO],Tabla_Pagos[FECHA DE ABONO],"&gt;0",Tabla_Pagos[NRO DOC],B322)</f>
        <v>1959930</v>
      </c>
      <c r="N322" s="36">
        <f t="shared" si="24"/>
        <v>0</v>
      </c>
      <c r="O322" s="22" cm="1">
        <f t="array" ref="O322">MAX(IF((Tabla_Pagos[NRO DOC]=B322)*(Tabla_Pagos[IMPORTE ABONADO]&gt;0),Tabla_Pagos[FECHA DE ABONO]))</f>
        <v>45806</v>
      </c>
    </row>
    <row r="323" spans="2:15" ht="21" customHeight="1" x14ac:dyDescent="0.25">
      <c r="B323" s="39">
        <v>1219</v>
      </c>
      <c r="C323" s="20">
        <v>45806</v>
      </c>
      <c r="D323" s="40" t="s">
        <v>37</v>
      </c>
      <c r="E323" s="37" t="str">
        <f>IFERROR(VLOOKUP(D323,CLIENTES!$B$12:$G$2602,2,FALSE),"")</f>
        <v>AILUV SPA</v>
      </c>
      <c r="F323" s="31">
        <v>130900</v>
      </c>
      <c r="G323" s="41" t="s">
        <v>101</v>
      </c>
      <c r="H323" s="26">
        <v>0</v>
      </c>
      <c r="I323" s="21" t="str">
        <f t="shared" si="20"/>
        <v>Contado</v>
      </c>
      <c r="J323" s="22">
        <f t="shared" si="21"/>
        <v>45806</v>
      </c>
      <c r="K323" s="27">
        <f t="shared" ca="1" si="22"/>
        <v>0</v>
      </c>
      <c r="L323" s="23" t="str">
        <f t="shared" si="23"/>
        <v>Pagado</v>
      </c>
      <c r="M323" s="36">
        <f>SUMIFS(Tabla_Pagos[IMPORTE ABONADO],Tabla_Pagos[FECHA DE ABONO],"&gt;0",Tabla_Pagos[NRO DOC],B323)</f>
        <v>130900</v>
      </c>
      <c r="N323" s="36">
        <f t="shared" si="24"/>
        <v>0</v>
      </c>
      <c r="O323" s="22" cm="1">
        <f t="array" ref="O323">MAX(IF((Tabla_Pagos[NRO DOC]=B323)*(Tabla_Pagos[IMPORTE ABONADO]&gt;0),Tabla_Pagos[FECHA DE ABONO]))</f>
        <v>45806</v>
      </c>
    </row>
    <row r="324" spans="2:15" ht="21" customHeight="1" x14ac:dyDescent="0.25">
      <c r="B324" s="39">
        <v>1220</v>
      </c>
      <c r="C324" s="20">
        <v>45806</v>
      </c>
      <c r="D324" s="40" t="s">
        <v>164</v>
      </c>
      <c r="E324" s="37" t="str">
        <f>IFERROR(VLOOKUP(D324,CLIENTES!$B$12:$G$2602,2,FALSE),"")</f>
        <v>JSTEC SPA</v>
      </c>
      <c r="F324" s="31">
        <v>20000</v>
      </c>
      <c r="G324" s="41" t="s">
        <v>101</v>
      </c>
      <c r="H324" s="26">
        <v>30</v>
      </c>
      <c r="I324" s="21" t="str">
        <f t="shared" si="20"/>
        <v>Crédito</v>
      </c>
      <c r="J324" s="22">
        <f t="shared" si="21"/>
        <v>45836</v>
      </c>
      <c r="K324" s="27">
        <f t="shared" ca="1" si="22"/>
        <v>0</v>
      </c>
      <c r="L324" s="23" t="str">
        <f t="shared" si="23"/>
        <v>Pagado</v>
      </c>
      <c r="M324" s="36">
        <f>SUMIFS(Tabla_Pagos[IMPORTE ABONADO],Tabla_Pagos[FECHA DE ABONO],"&gt;0",Tabla_Pagos[NRO DOC],B324)</f>
        <v>20000</v>
      </c>
      <c r="N324" s="36">
        <f t="shared" si="24"/>
        <v>0</v>
      </c>
      <c r="O324" s="22" cm="1">
        <f t="array" ref="O324">MAX(IF((Tabla_Pagos[NRO DOC]=B324)*(Tabla_Pagos[IMPORTE ABONADO]&gt;0),Tabla_Pagos[FECHA DE ABONO]))</f>
        <v>45806</v>
      </c>
    </row>
    <row r="325" spans="2:15" ht="21" customHeight="1" x14ac:dyDescent="0.25">
      <c r="B325" s="39">
        <v>1226</v>
      </c>
      <c r="C325" s="20">
        <v>45807</v>
      </c>
      <c r="D325" s="40" t="s">
        <v>214</v>
      </c>
      <c r="E325" s="37" t="str">
        <f>IFERROR(VLOOKUP(D325,CLIENTES!$B$12:$G$2602,2,FALSE),"")</f>
        <v>NORTENERGY SOCIEDAD POR ACCIONES SPA</v>
      </c>
      <c r="F325" s="31">
        <v>797300</v>
      </c>
      <c r="G325" s="41" t="s">
        <v>101</v>
      </c>
      <c r="H325" s="26">
        <v>30</v>
      </c>
      <c r="I325" s="21" t="str">
        <f t="shared" si="20"/>
        <v>Crédito</v>
      </c>
      <c r="J325" s="22">
        <f t="shared" si="21"/>
        <v>45837</v>
      </c>
      <c r="K325" s="27">
        <f t="shared" ca="1" si="22"/>
        <v>0</v>
      </c>
      <c r="L325" s="23" t="str">
        <f t="shared" si="23"/>
        <v>Pagado</v>
      </c>
      <c r="M325" s="36">
        <f>SUMIFS(Tabla_Pagos[IMPORTE ABONADO],Tabla_Pagos[FECHA DE ABONO],"&gt;0",Tabla_Pagos[NRO DOC],B325)</f>
        <v>797300</v>
      </c>
      <c r="N325" s="36">
        <f t="shared" si="24"/>
        <v>0</v>
      </c>
      <c r="O325" s="22" cm="1">
        <f t="array" ref="O325">MAX(IF((Tabla_Pagos[NRO DOC]=B325)*(Tabla_Pagos[IMPORTE ABONADO]&gt;0),Tabla_Pagos[FECHA DE ABONO]))</f>
        <v>45810</v>
      </c>
    </row>
    <row r="326" spans="2:15" ht="21" customHeight="1" x14ac:dyDescent="0.25">
      <c r="B326" s="39">
        <v>1227</v>
      </c>
      <c r="C326" s="20">
        <v>45807</v>
      </c>
      <c r="D326" s="40" t="s">
        <v>174</v>
      </c>
      <c r="E326" s="37" t="str">
        <f>IFERROR(VLOOKUP(D326,CLIENTES!$B$12:$G$2602,2,FALSE),"")</f>
        <v>VIDRIERIA Y TRANSPORTES ROX SPA</v>
      </c>
      <c r="F326" s="31">
        <v>251685</v>
      </c>
      <c r="G326" s="41" t="s">
        <v>101</v>
      </c>
      <c r="H326" s="26">
        <v>0</v>
      </c>
      <c r="I326" s="21" t="str">
        <f t="shared" si="20"/>
        <v>Contado</v>
      </c>
      <c r="J326" s="22">
        <f t="shared" si="21"/>
        <v>45807</v>
      </c>
      <c r="K326" s="27">
        <f t="shared" ca="1" si="22"/>
        <v>0</v>
      </c>
      <c r="L326" s="23" t="str">
        <f t="shared" si="23"/>
        <v>Pagado</v>
      </c>
      <c r="M326" s="36">
        <f>SUMIFS(Tabla_Pagos[IMPORTE ABONADO],Tabla_Pagos[FECHA DE ABONO],"&gt;0",Tabla_Pagos[NRO DOC],B326)</f>
        <v>251685</v>
      </c>
      <c r="N326" s="36">
        <f t="shared" si="24"/>
        <v>0</v>
      </c>
      <c r="O326" s="22" cm="1">
        <f t="array" ref="O326">MAX(IF((Tabla_Pagos[NRO DOC]=B326)*(Tabla_Pagos[IMPORTE ABONADO]&gt;0),Tabla_Pagos[FECHA DE ABONO]))</f>
        <v>45807</v>
      </c>
    </row>
    <row r="327" spans="2:15" ht="21" customHeight="1" x14ac:dyDescent="0.25">
      <c r="B327" s="39">
        <v>1230</v>
      </c>
      <c r="C327" s="20">
        <v>45808</v>
      </c>
      <c r="D327" s="40" t="s">
        <v>303</v>
      </c>
      <c r="E327" s="37" t="str">
        <f>IFERROR(VLOOKUP(D327,CLIENTES!$B$12:$G$2602,2,FALSE),"")</f>
        <v>DIANA ELBECIA FREDES SAEZ SERVICIOS Y VENTAS E.I.R.L.</v>
      </c>
      <c r="F327" s="31">
        <v>71400</v>
      </c>
      <c r="G327" s="41" t="s">
        <v>101</v>
      </c>
      <c r="H327" s="26">
        <v>0</v>
      </c>
      <c r="I327" s="21" t="str">
        <f t="shared" si="20"/>
        <v>Contado</v>
      </c>
      <c r="J327" s="22">
        <f t="shared" si="21"/>
        <v>45808</v>
      </c>
      <c r="K327" s="27">
        <f t="shared" ca="1" si="22"/>
        <v>0</v>
      </c>
      <c r="L327" s="23" t="str">
        <f t="shared" si="23"/>
        <v>Pagado</v>
      </c>
      <c r="M327" s="36">
        <f>SUMIFS(Tabla_Pagos[IMPORTE ABONADO],Tabla_Pagos[FECHA DE ABONO],"&gt;0",Tabla_Pagos[NRO DOC],B327)</f>
        <v>71400</v>
      </c>
      <c r="N327" s="36">
        <f t="shared" si="24"/>
        <v>0</v>
      </c>
      <c r="O327" s="22" cm="1">
        <f t="array" ref="O327">MAX(IF((Tabla_Pagos[NRO DOC]=B327)*(Tabla_Pagos[IMPORTE ABONADO]&gt;0),Tabla_Pagos[FECHA DE ABONO]))</f>
        <v>45808</v>
      </c>
    </row>
    <row r="328" spans="2:15" ht="21" customHeight="1" x14ac:dyDescent="0.25">
      <c r="B328" s="39">
        <v>1231</v>
      </c>
      <c r="C328" s="20">
        <v>45810</v>
      </c>
      <c r="D328" s="40" t="s">
        <v>306</v>
      </c>
      <c r="E328" s="37" t="str">
        <f>IFERROR(VLOOKUP(D328,CLIENTES!$B$12:$G$2602,2,FALSE),"")</f>
        <v>COMERCIAL SAN AGUSTÃN SPA</v>
      </c>
      <c r="F328" s="31">
        <v>80920</v>
      </c>
      <c r="G328" s="41" t="s">
        <v>101</v>
      </c>
      <c r="H328" s="26">
        <v>0</v>
      </c>
      <c r="I328" s="21" t="str">
        <f t="shared" si="20"/>
        <v>Contado</v>
      </c>
      <c r="J328" s="22">
        <f t="shared" si="21"/>
        <v>45810</v>
      </c>
      <c r="K328" s="27">
        <f t="shared" ca="1" si="22"/>
        <v>0</v>
      </c>
      <c r="L328" s="23" t="str">
        <f t="shared" si="23"/>
        <v>Pagado</v>
      </c>
      <c r="M328" s="36">
        <f>SUMIFS(Tabla_Pagos[IMPORTE ABONADO],Tabla_Pagos[FECHA DE ABONO],"&gt;0",Tabla_Pagos[NRO DOC],B328)</f>
        <v>80920</v>
      </c>
      <c r="N328" s="36">
        <f t="shared" si="24"/>
        <v>0</v>
      </c>
      <c r="O328" s="22" cm="1">
        <f t="array" ref="O328">MAX(IF((Tabla_Pagos[NRO DOC]=B328)*(Tabla_Pagos[IMPORTE ABONADO]&gt;0),Tabla_Pagos[FECHA DE ABONO]))</f>
        <v>45810</v>
      </c>
    </row>
    <row r="329" spans="2:15" ht="21" customHeight="1" x14ac:dyDescent="0.25">
      <c r="B329" s="39">
        <v>1232</v>
      </c>
      <c r="C329" s="20">
        <v>45810</v>
      </c>
      <c r="D329" s="40" t="s">
        <v>307</v>
      </c>
      <c r="E329" s="37" t="str">
        <f>IFERROR(VLOOKUP(D329,CLIENTES!$B$12:$G$2602,2,FALSE),"")</f>
        <v>SOCIEDAD DE SERVICIOS INVERSIONES Y COMERCIALIZADORA LEBAKSAF CHILE SP</v>
      </c>
      <c r="F329" s="31">
        <v>15000</v>
      </c>
      <c r="G329" s="41" t="s">
        <v>101</v>
      </c>
      <c r="H329" s="26">
        <v>0</v>
      </c>
      <c r="I329" s="21" t="str">
        <f t="shared" si="20"/>
        <v>Contado</v>
      </c>
      <c r="J329" s="22">
        <f t="shared" si="21"/>
        <v>45810</v>
      </c>
      <c r="K329" s="27">
        <f t="shared" ca="1" si="22"/>
        <v>0</v>
      </c>
      <c r="L329" s="23" t="str">
        <f t="shared" si="23"/>
        <v>Pagado</v>
      </c>
      <c r="M329" s="36">
        <f>SUMIFS(Tabla_Pagos[IMPORTE ABONADO],Tabla_Pagos[FECHA DE ABONO],"&gt;0",Tabla_Pagos[NRO DOC],B329)</f>
        <v>15000</v>
      </c>
      <c r="N329" s="36">
        <f t="shared" si="24"/>
        <v>0</v>
      </c>
      <c r="O329" s="22" cm="1">
        <f t="array" ref="O329">MAX(IF((Tabla_Pagos[NRO DOC]=B329)*(Tabla_Pagos[IMPORTE ABONADO]&gt;0),Tabla_Pagos[FECHA DE ABONO]))</f>
        <v>45810</v>
      </c>
    </row>
    <row r="330" spans="2:15" ht="21" customHeight="1" x14ac:dyDescent="0.25">
      <c r="B330" s="39">
        <v>1233</v>
      </c>
      <c r="C330" s="20">
        <v>45810</v>
      </c>
      <c r="D330" s="40" t="s">
        <v>53</v>
      </c>
      <c r="E330" s="37" t="str">
        <f>IFERROR(VLOOKUP(D330,CLIENTES!$B$12:$G$2602,2,FALSE),"")</f>
        <v>SODIMAC S.A.</v>
      </c>
      <c r="F330" s="31">
        <v>186116</v>
      </c>
      <c r="G330" s="41" t="s">
        <v>394</v>
      </c>
      <c r="H330" s="26">
        <v>30</v>
      </c>
      <c r="I330" s="21" t="str">
        <f t="shared" si="20"/>
        <v>Crédito</v>
      </c>
      <c r="J330" s="22">
        <f t="shared" si="21"/>
        <v>45840</v>
      </c>
      <c r="K330" s="27">
        <f t="shared" ca="1" si="22"/>
        <v>0</v>
      </c>
      <c r="L330" s="23" t="str">
        <f t="shared" si="23"/>
        <v>Pagado</v>
      </c>
      <c r="M330" s="36">
        <f>SUMIFS(Tabla_Pagos[IMPORTE ABONADO],Tabla_Pagos[FECHA DE ABONO],"&gt;0",Tabla_Pagos[NRO DOC],B330)</f>
        <v>186116</v>
      </c>
      <c r="N330" s="36">
        <f t="shared" si="24"/>
        <v>0</v>
      </c>
      <c r="O330" s="22" cm="1">
        <f t="array" ref="O330">MAX(IF((Tabla_Pagos[NRO DOC]=B330)*(Tabla_Pagos[IMPORTE ABONADO]&gt;0),Tabla_Pagos[FECHA DE ABONO]))</f>
        <v>45840</v>
      </c>
    </row>
    <row r="331" spans="2:15" ht="21" customHeight="1" x14ac:dyDescent="0.25">
      <c r="B331" s="39">
        <v>1234</v>
      </c>
      <c r="C331" s="20">
        <v>45810</v>
      </c>
      <c r="D331" s="40" t="s">
        <v>62</v>
      </c>
      <c r="E331" s="37" t="str">
        <f>IFERROR(VLOOKUP(D331,CLIENTES!$B$12:$G$2602,2,FALSE),"")</f>
        <v>SEMINET SPA</v>
      </c>
      <c r="F331" s="31">
        <v>153510</v>
      </c>
      <c r="G331" s="41" t="s">
        <v>394</v>
      </c>
      <c r="H331" s="26">
        <v>0</v>
      </c>
      <c r="I331" s="21" t="str">
        <f t="shared" si="20"/>
        <v>Contado</v>
      </c>
      <c r="J331" s="22">
        <f t="shared" si="21"/>
        <v>45810</v>
      </c>
      <c r="K331" s="27">
        <f t="shared" ca="1" si="22"/>
        <v>0</v>
      </c>
      <c r="L331" s="23" t="str">
        <f t="shared" si="23"/>
        <v>Pagado</v>
      </c>
      <c r="M331" s="36">
        <f>SUMIFS(Tabla_Pagos[IMPORTE ABONADO],Tabla_Pagos[FECHA DE ABONO],"&gt;0",Tabla_Pagos[NRO DOC],B331)</f>
        <v>153510</v>
      </c>
      <c r="N331" s="36">
        <f t="shared" si="24"/>
        <v>0</v>
      </c>
      <c r="O331" s="22" cm="1">
        <f t="array" ref="O331">MAX(IF((Tabla_Pagos[NRO DOC]=B331)*(Tabla_Pagos[IMPORTE ABONADO]&gt;0),Tabla_Pagos[FECHA DE ABONO]))</f>
        <v>45810</v>
      </c>
    </row>
    <row r="332" spans="2:15" ht="21" customHeight="1" x14ac:dyDescent="0.25">
      <c r="B332" s="39">
        <v>1235</v>
      </c>
      <c r="C332" s="20">
        <v>45810</v>
      </c>
      <c r="D332" s="40" t="s">
        <v>37</v>
      </c>
      <c r="E332" s="37" t="str">
        <f>IFERROR(VLOOKUP(D332,CLIENTES!$B$12:$G$2602,2,FALSE),"")</f>
        <v>AILUV SPA</v>
      </c>
      <c r="F332" s="31">
        <v>321300</v>
      </c>
      <c r="G332" s="41" t="s">
        <v>101</v>
      </c>
      <c r="H332" s="26">
        <v>0</v>
      </c>
      <c r="I332" s="21" t="str">
        <f t="shared" ref="I332:I395" si="25">IF(H332="","",IF(H332=0,"Contado","Crédito"))</f>
        <v>Contado</v>
      </c>
      <c r="J332" s="22">
        <f t="shared" ref="J332:J395" si="26">IF(I332="","",C332+H332)</f>
        <v>45810</v>
      </c>
      <c r="K332" s="27">
        <f t="shared" ref="K332:K395" ca="1" si="27">IFERROR(IF(B332="","",IF(N332=0,0,J332-TODAY())),"")</f>
        <v>0</v>
      </c>
      <c r="L332" s="23" t="str">
        <f t="shared" ref="L332:L395" si="28">IF(I332="","",IF(N332=0,"Pagado",IF(K332&lt;0,"Vencido","No vencido")))</f>
        <v>Pagado</v>
      </c>
      <c r="M332" s="36">
        <f>SUMIFS(Tabla_Pagos[IMPORTE ABONADO],Tabla_Pagos[FECHA DE ABONO],"&gt;0",Tabla_Pagos[NRO DOC],B332)</f>
        <v>321300</v>
      </c>
      <c r="N332" s="36">
        <f t="shared" ref="N332:N395" si="29">F332-M332</f>
        <v>0</v>
      </c>
      <c r="O332" s="22" cm="1">
        <f t="array" ref="O332">MAX(IF((Tabla_Pagos[NRO DOC]=B332)*(Tabla_Pagos[IMPORTE ABONADO]&gt;0),Tabla_Pagos[FECHA DE ABONO]))</f>
        <v>45810</v>
      </c>
    </row>
    <row r="333" spans="2:15" ht="21" customHeight="1" x14ac:dyDescent="0.25">
      <c r="B333" s="39">
        <v>1236</v>
      </c>
      <c r="C333" s="20">
        <v>45810</v>
      </c>
      <c r="D333" s="40" t="s">
        <v>29</v>
      </c>
      <c r="E333" s="37" t="str">
        <f>IFERROR(VLOOKUP(D333,CLIENTES!$B$12:$G$2602,2,FALSE),"")</f>
        <v>FERNANDO ESTEBAN DIAZ SANQUINETTI</v>
      </c>
      <c r="F333" s="31">
        <v>266560</v>
      </c>
      <c r="G333" s="41" t="s">
        <v>101</v>
      </c>
      <c r="H333" s="26">
        <v>0</v>
      </c>
      <c r="I333" s="21" t="str">
        <f t="shared" si="25"/>
        <v>Contado</v>
      </c>
      <c r="J333" s="22">
        <f t="shared" si="26"/>
        <v>45810</v>
      </c>
      <c r="K333" s="27">
        <f t="shared" ca="1" si="27"/>
        <v>0</v>
      </c>
      <c r="L333" s="23" t="str">
        <f t="shared" si="28"/>
        <v>Pagado</v>
      </c>
      <c r="M333" s="36">
        <f>SUMIFS(Tabla_Pagos[IMPORTE ABONADO],Tabla_Pagos[FECHA DE ABONO],"&gt;0",Tabla_Pagos[NRO DOC],B333)</f>
        <v>266560</v>
      </c>
      <c r="N333" s="36">
        <f t="shared" si="29"/>
        <v>0</v>
      </c>
      <c r="O333" s="22" cm="1">
        <f t="array" ref="O333">MAX(IF((Tabla_Pagos[NRO DOC]=B333)*(Tabla_Pagos[IMPORTE ABONADO]&gt;0),Tabla_Pagos[FECHA DE ABONO]))</f>
        <v>45810</v>
      </c>
    </row>
    <row r="334" spans="2:15" ht="21" customHeight="1" x14ac:dyDescent="0.25">
      <c r="B334" s="39">
        <v>1237</v>
      </c>
      <c r="C334" s="20">
        <v>45811</v>
      </c>
      <c r="D334" s="40" t="s">
        <v>165</v>
      </c>
      <c r="E334" s="37" t="str">
        <f>IFERROR(VLOOKUP(D334,CLIENTES!$B$12:$G$2602,2,FALSE),"")</f>
        <v>ALGORITMOS Y MEDICIONES AMBIENTALES SPA</v>
      </c>
      <c r="F334" s="31">
        <v>40001</v>
      </c>
      <c r="G334" s="41" t="s">
        <v>101</v>
      </c>
      <c r="H334" s="26">
        <v>0</v>
      </c>
      <c r="I334" s="21" t="str">
        <f t="shared" si="25"/>
        <v>Contado</v>
      </c>
      <c r="J334" s="22">
        <f t="shared" si="26"/>
        <v>45811</v>
      </c>
      <c r="K334" s="27">
        <f t="shared" ca="1" si="27"/>
        <v>0</v>
      </c>
      <c r="L334" s="23" t="str">
        <f t="shared" si="28"/>
        <v>Pagado</v>
      </c>
      <c r="M334" s="36">
        <f>SUMIFS(Tabla_Pagos[IMPORTE ABONADO],Tabla_Pagos[FECHA DE ABONO],"&gt;0",Tabla_Pagos[NRO DOC],B334)</f>
        <v>40001</v>
      </c>
      <c r="N334" s="36">
        <f t="shared" si="29"/>
        <v>0</v>
      </c>
      <c r="O334" s="22" cm="1">
        <f t="array" ref="O334">MAX(IF((Tabla_Pagos[NRO DOC]=B334)*(Tabla_Pagos[IMPORTE ABONADO]&gt;0),Tabla_Pagos[FECHA DE ABONO]))</f>
        <v>45811</v>
      </c>
    </row>
    <row r="335" spans="2:15" ht="21" customHeight="1" x14ac:dyDescent="0.25">
      <c r="B335" s="39">
        <v>1238</v>
      </c>
      <c r="C335" s="20">
        <v>45811</v>
      </c>
      <c r="D335" s="40" t="s">
        <v>308</v>
      </c>
      <c r="E335" s="37" t="str">
        <f>IFERROR(VLOOKUP(D335,CLIENTES!$B$12:$G$2602,2,FALSE),"")</f>
        <v>LA OLLA DE TAMY  SPA</v>
      </c>
      <c r="F335" s="31">
        <v>20000</v>
      </c>
      <c r="G335" s="41" t="s">
        <v>101</v>
      </c>
      <c r="H335" s="26">
        <v>0</v>
      </c>
      <c r="I335" s="21" t="str">
        <f t="shared" si="25"/>
        <v>Contado</v>
      </c>
      <c r="J335" s="22">
        <f t="shared" si="26"/>
        <v>45811</v>
      </c>
      <c r="K335" s="27">
        <f t="shared" ca="1" si="27"/>
        <v>0</v>
      </c>
      <c r="L335" s="23" t="str">
        <f t="shared" si="28"/>
        <v>Pagado</v>
      </c>
      <c r="M335" s="36">
        <f>SUMIFS(Tabla_Pagos[IMPORTE ABONADO],Tabla_Pagos[FECHA DE ABONO],"&gt;0",Tabla_Pagos[NRO DOC],B335)</f>
        <v>20000</v>
      </c>
      <c r="N335" s="36">
        <f t="shared" si="29"/>
        <v>0</v>
      </c>
      <c r="O335" s="22" cm="1">
        <f t="array" ref="O335">MAX(IF((Tabla_Pagos[NRO DOC]=B335)*(Tabla_Pagos[IMPORTE ABONADO]&gt;0),Tabla_Pagos[FECHA DE ABONO]))</f>
        <v>45811</v>
      </c>
    </row>
    <row r="336" spans="2:15" ht="21" customHeight="1" x14ac:dyDescent="0.25">
      <c r="B336" s="39">
        <v>1239</v>
      </c>
      <c r="C336" s="20">
        <v>45811</v>
      </c>
      <c r="D336" s="40" t="s">
        <v>309</v>
      </c>
      <c r="E336" s="37" t="str">
        <f>IFERROR(VLOOKUP(D336,CLIENTES!$B$12:$G$2602,2,FALSE),"")</f>
        <v>PATRICIO ORLANDO OSORIO RIVERA</v>
      </c>
      <c r="F336" s="31">
        <v>111399</v>
      </c>
      <c r="G336" s="41" t="s">
        <v>101</v>
      </c>
      <c r="H336" s="26">
        <v>0</v>
      </c>
      <c r="I336" s="21" t="str">
        <f t="shared" si="25"/>
        <v>Contado</v>
      </c>
      <c r="J336" s="22">
        <f t="shared" si="26"/>
        <v>45811</v>
      </c>
      <c r="K336" s="27">
        <f t="shared" ca="1" si="27"/>
        <v>0</v>
      </c>
      <c r="L336" s="23" t="str">
        <f t="shared" si="28"/>
        <v>Pagado</v>
      </c>
      <c r="M336" s="36">
        <f>SUMIFS(Tabla_Pagos[IMPORTE ABONADO],Tabla_Pagos[FECHA DE ABONO],"&gt;0",Tabla_Pagos[NRO DOC],B336)</f>
        <v>111399</v>
      </c>
      <c r="N336" s="36">
        <f t="shared" si="29"/>
        <v>0</v>
      </c>
      <c r="O336" s="22" cm="1">
        <f t="array" ref="O336">MAX(IF((Tabla_Pagos[NRO DOC]=B336)*(Tabla_Pagos[IMPORTE ABONADO]&gt;0),Tabla_Pagos[FECHA DE ABONO]))</f>
        <v>45811</v>
      </c>
    </row>
    <row r="337" spans="2:15" ht="21" customHeight="1" x14ac:dyDescent="0.25">
      <c r="B337" s="39">
        <v>1240</v>
      </c>
      <c r="C337" s="20">
        <v>45811</v>
      </c>
      <c r="D337" s="40" t="s">
        <v>310</v>
      </c>
      <c r="E337" s="37" t="str">
        <f>IFERROR(VLOOKUP(D337,CLIENTES!$B$12:$G$2602,2,FALSE),"")</f>
        <v>MARINA MARKET SPA</v>
      </c>
      <c r="F337" s="31">
        <v>77350</v>
      </c>
      <c r="G337" s="41" t="s">
        <v>101</v>
      </c>
      <c r="H337" s="26">
        <v>0</v>
      </c>
      <c r="I337" s="21" t="str">
        <f t="shared" si="25"/>
        <v>Contado</v>
      </c>
      <c r="J337" s="22">
        <f t="shared" si="26"/>
        <v>45811</v>
      </c>
      <c r="K337" s="27">
        <f t="shared" ca="1" si="27"/>
        <v>0</v>
      </c>
      <c r="L337" s="23" t="str">
        <f t="shared" si="28"/>
        <v>Pagado</v>
      </c>
      <c r="M337" s="36">
        <f>SUMIFS(Tabla_Pagos[IMPORTE ABONADO],Tabla_Pagos[FECHA DE ABONO],"&gt;0",Tabla_Pagos[NRO DOC],B337)</f>
        <v>77350</v>
      </c>
      <c r="N337" s="36">
        <f t="shared" si="29"/>
        <v>0</v>
      </c>
      <c r="O337" s="22" cm="1">
        <f t="array" ref="O337">MAX(IF((Tabla_Pagos[NRO DOC]=B337)*(Tabla_Pagos[IMPORTE ABONADO]&gt;0),Tabla_Pagos[FECHA DE ABONO]))</f>
        <v>45811</v>
      </c>
    </row>
    <row r="338" spans="2:15" ht="21" customHeight="1" x14ac:dyDescent="0.25">
      <c r="B338" s="39">
        <v>1241</v>
      </c>
      <c r="C338" s="20">
        <v>45812</v>
      </c>
      <c r="D338" s="40" t="s">
        <v>40</v>
      </c>
      <c r="E338" s="37" t="str">
        <f>IFERROR(VLOOKUP(D338,CLIENTES!$B$12:$G$2602,2,FALSE),"")</f>
        <v>INGENIERIA Y SERVICIOS TERRACOP SPA</v>
      </c>
      <c r="F338" s="31">
        <v>157675</v>
      </c>
      <c r="G338" s="41" t="s">
        <v>101</v>
      </c>
      <c r="H338" s="26">
        <v>0</v>
      </c>
      <c r="I338" s="21" t="str">
        <f t="shared" si="25"/>
        <v>Contado</v>
      </c>
      <c r="J338" s="22">
        <f t="shared" si="26"/>
        <v>45812</v>
      </c>
      <c r="K338" s="27">
        <f t="shared" ca="1" si="27"/>
        <v>0</v>
      </c>
      <c r="L338" s="23" t="str">
        <f t="shared" si="28"/>
        <v>Pagado</v>
      </c>
      <c r="M338" s="36">
        <f>SUMIFS(Tabla_Pagos[IMPORTE ABONADO],Tabla_Pagos[FECHA DE ABONO],"&gt;0",Tabla_Pagos[NRO DOC],B338)</f>
        <v>157675</v>
      </c>
      <c r="N338" s="36">
        <f t="shared" si="29"/>
        <v>0</v>
      </c>
      <c r="O338" s="22" cm="1">
        <f t="array" ref="O338">MAX(IF((Tabla_Pagos[NRO DOC]=B338)*(Tabla_Pagos[IMPORTE ABONADO]&gt;0),Tabla_Pagos[FECHA DE ABONO]))</f>
        <v>45812</v>
      </c>
    </row>
    <row r="339" spans="2:15" ht="21" customHeight="1" x14ac:dyDescent="0.25">
      <c r="B339" s="39">
        <v>1242</v>
      </c>
      <c r="C339" s="20">
        <v>45812</v>
      </c>
      <c r="D339" s="40" t="s">
        <v>311</v>
      </c>
      <c r="E339" s="37" t="str">
        <f>IFERROR(VLOOKUP(D339,CLIENTES!$B$12:$G$2602,2,FALSE),"")</f>
        <v>SOCIEDAD COMERCIALIZADORA Y DISTRIBUIDORA TRES VALLES SPA</v>
      </c>
      <c r="F339" s="31">
        <v>190400</v>
      </c>
      <c r="G339" s="41" t="s">
        <v>101</v>
      </c>
      <c r="H339" s="26">
        <v>0</v>
      </c>
      <c r="I339" s="21" t="str">
        <f t="shared" si="25"/>
        <v>Contado</v>
      </c>
      <c r="J339" s="22">
        <f t="shared" si="26"/>
        <v>45812</v>
      </c>
      <c r="K339" s="27">
        <f t="shared" ca="1" si="27"/>
        <v>0</v>
      </c>
      <c r="L339" s="23" t="str">
        <f t="shared" si="28"/>
        <v>Pagado</v>
      </c>
      <c r="M339" s="36">
        <f>SUMIFS(Tabla_Pagos[IMPORTE ABONADO],Tabla_Pagos[FECHA DE ABONO],"&gt;0",Tabla_Pagos[NRO DOC],B339)</f>
        <v>190400</v>
      </c>
      <c r="N339" s="36">
        <f t="shared" si="29"/>
        <v>0</v>
      </c>
      <c r="O339" s="22" cm="1">
        <f t="array" ref="O339">MAX(IF((Tabla_Pagos[NRO DOC]=B339)*(Tabla_Pagos[IMPORTE ABONADO]&gt;0),Tabla_Pagos[FECHA DE ABONO]))</f>
        <v>45812</v>
      </c>
    </row>
    <row r="340" spans="2:15" ht="21" customHeight="1" x14ac:dyDescent="0.25">
      <c r="B340" s="39">
        <v>1243</v>
      </c>
      <c r="C340" s="20">
        <v>45812</v>
      </c>
      <c r="D340" s="40" t="s">
        <v>311</v>
      </c>
      <c r="E340" s="37" t="str">
        <f>IFERROR(VLOOKUP(D340,CLIENTES!$B$12:$G$2602,2,FALSE),"")</f>
        <v>SOCIEDAD COMERCIALIZADORA Y DISTRIBUIDORA TRES VALLES SPA</v>
      </c>
      <c r="F340" s="31">
        <v>23800</v>
      </c>
      <c r="G340" s="41" t="s">
        <v>101</v>
      </c>
      <c r="H340" s="26">
        <v>0</v>
      </c>
      <c r="I340" s="21" t="str">
        <f t="shared" si="25"/>
        <v>Contado</v>
      </c>
      <c r="J340" s="22">
        <f t="shared" si="26"/>
        <v>45812</v>
      </c>
      <c r="K340" s="27">
        <f t="shared" ca="1" si="27"/>
        <v>0</v>
      </c>
      <c r="L340" s="23" t="str">
        <f t="shared" si="28"/>
        <v>Pagado</v>
      </c>
      <c r="M340" s="36">
        <f>SUMIFS(Tabla_Pagos[IMPORTE ABONADO],Tabla_Pagos[FECHA DE ABONO],"&gt;0",Tabla_Pagos[NRO DOC],B340)</f>
        <v>23800</v>
      </c>
      <c r="N340" s="36">
        <f t="shared" si="29"/>
        <v>0</v>
      </c>
      <c r="O340" s="22" cm="1">
        <f t="array" ref="O340">MAX(IF((Tabla_Pagos[NRO DOC]=B340)*(Tabla_Pagos[IMPORTE ABONADO]&gt;0),Tabla_Pagos[FECHA DE ABONO]))</f>
        <v>45812</v>
      </c>
    </row>
    <row r="341" spans="2:15" ht="21" customHeight="1" x14ac:dyDescent="0.25">
      <c r="B341" s="39">
        <v>1244</v>
      </c>
      <c r="C341" s="20">
        <v>45813</v>
      </c>
      <c r="D341" s="40" t="s">
        <v>312</v>
      </c>
      <c r="E341" s="37" t="str">
        <f>IFERROR(VLOOKUP(D341,CLIENTES!$B$12:$G$2602,2,FALSE),"")</f>
        <v>I MUNICIPALIDAD DE COPIAPO</v>
      </c>
      <c r="F341" s="31">
        <v>950000</v>
      </c>
      <c r="G341" s="41" t="s">
        <v>101</v>
      </c>
      <c r="H341" s="26">
        <v>30</v>
      </c>
      <c r="I341" s="21" t="str">
        <f t="shared" si="25"/>
        <v>Crédito</v>
      </c>
      <c r="J341" s="22">
        <f t="shared" si="26"/>
        <v>45843</v>
      </c>
      <c r="K341" s="27">
        <f t="shared" ca="1" si="27"/>
        <v>0</v>
      </c>
      <c r="L341" s="23" t="str">
        <f t="shared" si="28"/>
        <v>Pagado</v>
      </c>
      <c r="M341" s="36">
        <f>SUMIFS(Tabla_Pagos[IMPORTE ABONADO],Tabla_Pagos[FECHA DE ABONO],"&gt;0",Tabla_Pagos[NRO DOC],B341)</f>
        <v>950000</v>
      </c>
      <c r="N341" s="36">
        <f t="shared" si="29"/>
        <v>0</v>
      </c>
      <c r="O341" s="22" cm="1">
        <f t="array" ref="O341">MAX(IF((Tabla_Pagos[NRO DOC]=B341)*(Tabla_Pagos[IMPORTE ABONADO]&gt;0),Tabla_Pagos[FECHA DE ABONO]))</f>
        <v>45861</v>
      </c>
    </row>
    <row r="342" spans="2:15" ht="21" customHeight="1" x14ac:dyDescent="0.25">
      <c r="B342" s="39">
        <v>1245</v>
      </c>
      <c r="C342" s="20">
        <v>45814</v>
      </c>
      <c r="D342" s="40" t="s">
        <v>164</v>
      </c>
      <c r="E342" s="37" t="str">
        <f>IFERROR(VLOOKUP(D342,CLIENTES!$B$12:$G$2602,2,FALSE),"")</f>
        <v>JSTEC SPA</v>
      </c>
      <c r="F342" s="31">
        <v>64260</v>
      </c>
      <c r="G342" s="41" t="s">
        <v>101</v>
      </c>
      <c r="H342" s="26">
        <v>0</v>
      </c>
      <c r="I342" s="21" t="str">
        <f t="shared" si="25"/>
        <v>Contado</v>
      </c>
      <c r="J342" s="22">
        <f t="shared" si="26"/>
        <v>45814</v>
      </c>
      <c r="K342" s="27">
        <f t="shared" ca="1" si="27"/>
        <v>0</v>
      </c>
      <c r="L342" s="23" t="str">
        <f t="shared" si="28"/>
        <v>Pagado</v>
      </c>
      <c r="M342" s="36">
        <f>SUMIFS(Tabla_Pagos[IMPORTE ABONADO],Tabla_Pagos[FECHA DE ABONO],"&gt;0",Tabla_Pagos[NRO DOC],B342)</f>
        <v>64260</v>
      </c>
      <c r="N342" s="36">
        <f t="shared" si="29"/>
        <v>0</v>
      </c>
      <c r="O342" s="22" cm="1">
        <f t="array" ref="O342">MAX(IF((Tabla_Pagos[NRO DOC]=B342)*(Tabla_Pagos[IMPORTE ABONADO]&gt;0),Tabla_Pagos[FECHA DE ABONO]))</f>
        <v>45814</v>
      </c>
    </row>
    <row r="343" spans="2:15" ht="21" customHeight="1" x14ac:dyDescent="0.25">
      <c r="B343" s="39">
        <v>1246</v>
      </c>
      <c r="C343" s="20">
        <v>45814</v>
      </c>
      <c r="D343" s="40" t="s">
        <v>313</v>
      </c>
      <c r="E343" s="37" t="str">
        <f>IFERROR(VLOOKUP(D343,CLIENTES!$B$12:$G$2602,2,FALSE),"")</f>
        <v>MANUEL ANTONIO ROJAS ORDENES</v>
      </c>
      <c r="F343" s="31">
        <v>47600</v>
      </c>
      <c r="G343" s="41" t="s">
        <v>101</v>
      </c>
      <c r="H343" s="26">
        <v>0</v>
      </c>
      <c r="I343" s="21" t="str">
        <f t="shared" si="25"/>
        <v>Contado</v>
      </c>
      <c r="J343" s="22">
        <f t="shared" si="26"/>
        <v>45814</v>
      </c>
      <c r="K343" s="27">
        <f t="shared" ca="1" si="27"/>
        <v>0</v>
      </c>
      <c r="L343" s="23" t="str">
        <f t="shared" si="28"/>
        <v>Pagado</v>
      </c>
      <c r="M343" s="36">
        <f>SUMIFS(Tabla_Pagos[IMPORTE ABONADO],Tabla_Pagos[FECHA DE ABONO],"&gt;0",Tabla_Pagos[NRO DOC],B343)</f>
        <v>47600</v>
      </c>
      <c r="N343" s="36">
        <f t="shared" si="29"/>
        <v>0</v>
      </c>
      <c r="O343" s="22" cm="1">
        <f t="array" ref="O343">MAX(IF((Tabla_Pagos[NRO DOC]=B343)*(Tabla_Pagos[IMPORTE ABONADO]&gt;0),Tabla_Pagos[FECHA DE ABONO]))</f>
        <v>45814</v>
      </c>
    </row>
    <row r="344" spans="2:15" ht="21" customHeight="1" x14ac:dyDescent="0.25">
      <c r="B344" s="39">
        <v>1247</v>
      </c>
      <c r="C344" s="20">
        <v>45814</v>
      </c>
      <c r="D344" s="40" t="s">
        <v>205</v>
      </c>
      <c r="E344" s="37" t="str">
        <f>IFERROR(VLOOKUP(D344,CLIENTES!$B$12:$G$2602,2,FALSE),"")</f>
        <v>CONSTRUCTORA DE PAVIMENTOS ASFALTICOS BITUMIX S.A</v>
      </c>
      <c r="F344" s="31">
        <v>160650</v>
      </c>
      <c r="G344" s="41" t="s">
        <v>101</v>
      </c>
      <c r="H344" s="26">
        <v>30</v>
      </c>
      <c r="I344" s="21" t="str">
        <f t="shared" si="25"/>
        <v>Crédito</v>
      </c>
      <c r="J344" s="22">
        <f t="shared" si="26"/>
        <v>45844</v>
      </c>
      <c r="K344" s="27">
        <f t="shared" ca="1" si="27"/>
        <v>0</v>
      </c>
      <c r="L344" s="23" t="str">
        <f t="shared" si="28"/>
        <v>Pagado</v>
      </c>
      <c r="M344" s="36">
        <f>SUMIFS(Tabla_Pagos[IMPORTE ABONADO],Tabla_Pagos[FECHA DE ABONO],"&gt;0",Tabla_Pagos[NRO DOC],B344)</f>
        <v>160650</v>
      </c>
      <c r="N344" s="36">
        <f t="shared" si="29"/>
        <v>0</v>
      </c>
      <c r="O344" s="22" cm="1">
        <f t="array" ref="O344">MAX(IF((Tabla_Pagos[NRO DOC]=B344)*(Tabla_Pagos[IMPORTE ABONADO]&gt;0),Tabla_Pagos[FECHA DE ABONO]))</f>
        <v>45856</v>
      </c>
    </row>
    <row r="345" spans="2:15" ht="21" customHeight="1" x14ac:dyDescent="0.25">
      <c r="B345" s="39">
        <v>1248</v>
      </c>
      <c r="C345" s="20">
        <v>45814</v>
      </c>
      <c r="D345" s="40" t="s">
        <v>205</v>
      </c>
      <c r="E345" s="37" t="str">
        <f>IFERROR(VLOOKUP(D345,CLIENTES!$B$12:$G$2602,2,FALSE),"")</f>
        <v>CONSTRUCTORA DE PAVIMENTOS ASFALTICOS BITUMIX S.A</v>
      </c>
      <c r="F345" s="31">
        <v>160650</v>
      </c>
      <c r="G345" s="41" t="s">
        <v>101</v>
      </c>
      <c r="H345" s="26">
        <v>30</v>
      </c>
      <c r="I345" s="21" t="str">
        <f t="shared" si="25"/>
        <v>Crédito</v>
      </c>
      <c r="J345" s="22">
        <f t="shared" si="26"/>
        <v>45844</v>
      </c>
      <c r="K345" s="27">
        <f t="shared" ca="1" si="27"/>
        <v>0</v>
      </c>
      <c r="L345" s="23" t="str">
        <f t="shared" si="28"/>
        <v>Pagado</v>
      </c>
      <c r="M345" s="36">
        <f>SUMIFS(Tabla_Pagos[IMPORTE ABONADO],Tabla_Pagos[FECHA DE ABONO],"&gt;0",Tabla_Pagos[NRO DOC],B345)</f>
        <v>160650</v>
      </c>
      <c r="N345" s="36">
        <f t="shared" si="29"/>
        <v>0</v>
      </c>
      <c r="O345" s="22" cm="1">
        <f t="array" ref="O345">MAX(IF((Tabla_Pagos[NRO DOC]=B345)*(Tabla_Pagos[IMPORTE ABONADO]&gt;0),Tabla_Pagos[FECHA DE ABONO]))</f>
        <v>45856</v>
      </c>
    </row>
    <row r="346" spans="2:15" ht="21" customHeight="1" x14ac:dyDescent="0.25">
      <c r="B346" s="39">
        <v>1249</v>
      </c>
      <c r="C346" s="20">
        <v>45814</v>
      </c>
      <c r="D346" s="40" t="s">
        <v>314</v>
      </c>
      <c r="E346" s="37" t="str">
        <f>IFERROR(VLOOKUP(D346,CLIENTES!$B$12:$G$2602,2,FALSE),"")</f>
        <v>TEPSAC S.A.</v>
      </c>
      <c r="F346" s="31">
        <v>8000</v>
      </c>
      <c r="G346" s="41" t="s">
        <v>101</v>
      </c>
      <c r="H346" s="26">
        <v>0</v>
      </c>
      <c r="I346" s="21" t="str">
        <f t="shared" si="25"/>
        <v>Contado</v>
      </c>
      <c r="J346" s="22">
        <f t="shared" si="26"/>
        <v>45814</v>
      </c>
      <c r="K346" s="27">
        <f t="shared" ca="1" si="27"/>
        <v>0</v>
      </c>
      <c r="L346" s="23" t="str">
        <f t="shared" si="28"/>
        <v>Pagado</v>
      </c>
      <c r="M346" s="36">
        <f>SUMIFS(Tabla_Pagos[IMPORTE ABONADO],Tabla_Pagos[FECHA DE ABONO],"&gt;0",Tabla_Pagos[NRO DOC],B346)</f>
        <v>8000</v>
      </c>
      <c r="N346" s="36">
        <f t="shared" si="29"/>
        <v>0</v>
      </c>
      <c r="O346" s="22" cm="1">
        <f t="array" ref="O346">MAX(IF((Tabla_Pagos[NRO DOC]=B346)*(Tabla_Pagos[IMPORTE ABONADO]&gt;0),Tabla_Pagos[FECHA DE ABONO]))</f>
        <v>45814</v>
      </c>
    </row>
    <row r="347" spans="2:15" ht="21" customHeight="1" x14ac:dyDescent="0.25">
      <c r="B347" s="39">
        <v>1250</v>
      </c>
      <c r="C347" s="20">
        <v>45814</v>
      </c>
      <c r="D347" s="40" t="s">
        <v>240</v>
      </c>
      <c r="E347" s="37" t="str">
        <f>IFERROR(VLOOKUP(D347,CLIENTES!$B$12:$G$2602,2,FALSE),"")</f>
        <v>SOCIEDAD DE INVERSIONES SAN ALONSO SPA</v>
      </c>
      <c r="F347" s="31">
        <v>150000</v>
      </c>
      <c r="G347" s="41" t="s">
        <v>101</v>
      </c>
      <c r="H347" s="26">
        <v>0</v>
      </c>
      <c r="I347" s="21" t="str">
        <f t="shared" si="25"/>
        <v>Contado</v>
      </c>
      <c r="J347" s="22">
        <f t="shared" si="26"/>
        <v>45814</v>
      </c>
      <c r="K347" s="27">
        <f t="shared" ca="1" si="27"/>
        <v>0</v>
      </c>
      <c r="L347" s="23" t="str">
        <f t="shared" si="28"/>
        <v>Pagado</v>
      </c>
      <c r="M347" s="36">
        <f>SUMIFS(Tabla_Pagos[IMPORTE ABONADO],Tabla_Pagos[FECHA DE ABONO],"&gt;0",Tabla_Pagos[NRO DOC],B347)</f>
        <v>150000</v>
      </c>
      <c r="N347" s="36">
        <f t="shared" si="29"/>
        <v>0</v>
      </c>
      <c r="O347" s="22" cm="1">
        <f t="array" ref="O347">MAX(IF((Tabla_Pagos[NRO DOC]=B347)*(Tabla_Pagos[IMPORTE ABONADO]&gt;0),Tabla_Pagos[FECHA DE ABONO]))</f>
        <v>45814</v>
      </c>
    </row>
    <row r="348" spans="2:15" ht="21" customHeight="1" x14ac:dyDescent="0.25">
      <c r="B348" s="39">
        <v>1251</v>
      </c>
      <c r="C348" s="20">
        <v>45814</v>
      </c>
      <c r="D348" s="40" t="s">
        <v>40</v>
      </c>
      <c r="E348" s="37" t="str">
        <f>IFERROR(VLOOKUP(D348,CLIENTES!$B$12:$G$2602,2,FALSE),"")</f>
        <v>INGENIERIA Y SERVICIOS TERRACOP SPA</v>
      </c>
      <c r="F348" s="31">
        <v>29750</v>
      </c>
      <c r="G348" s="41" t="s">
        <v>101</v>
      </c>
      <c r="H348" s="26">
        <v>0</v>
      </c>
      <c r="I348" s="21" t="str">
        <f t="shared" si="25"/>
        <v>Contado</v>
      </c>
      <c r="J348" s="22">
        <f t="shared" si="26"/>
        <v>45814</v>
      </c>
      <c r="K348" s="27">
        <f t="shared" ca="1" si="27"/>
        <v>0</v>
      </c>
      <c r="L348" s="23" t="str">
        <f t="shared" si="28"/>
        <v>Pagado</v>
      </c>
      <c r="M348" s="36">
        <f>SUMIFS(Tabla_Pagos[IMPORTE ABONADO],Tabla_Pagos[FECHA DE ABONO],"&gt;0",Tabla_Pagos[NRO DOC],B348)</f>
        <v>29750</v>
      </c>
      <c r="N348" s="36">
        <f t="shared" si="29"/>
        <v>0</v>
      </c>
      <c r="O348" s="22" cm="1">
        <f t="array" ref="O348">MAX(IF((Tabla_Pagos[NRO DOC]=B348)*(Tabla_Pagos[IMPORTE ABONADO]&gt;0),Tabla_Pagos[FECHA DE ABONO]))</f>
        <v>45814</v>
      </c>
    </row>
    <row r="349" spans="2:15" ht="21" customHeight="1" x14ac:dyDescent="0.25">
      <c r="B349" s="39">
        <v>1252</v>
      </c>
      <c r="C349" s="20">
        <v>45817</v>
      </c>
      <c r="D349" s="40" t="s">
        <v>315</v>
      </c>
      <c r="E349" s="37" t="str">
        <f>IFERROR(VLOOKUP(D349,CLIENTES!$B$12:$G$2602,2,FALSE),"")</f>
        <v>TECNOLOGIA DE MATERIALES CHILE SOCIEDAD ANONIMA</v>
      </c>
      <c r="F349" s="31">
        <v>5950</v>
      </c>
      <c r="G349" s="41" t="s">
        <v>101</v>
      </c>
      <c r="H349" s="26">
        <v>0</v>
      </c>
      <c r="I349" s="21" t="str">
        <f t="shared" si="25"/>
        <v>Contado</v>
      </c>
      <c r="J349" s="22">
        <f t="shared" si="26"/>
        <v>45817</v>
      </c>
      <c r="K349" s="27">
        <f t="shared" ca="1" si="27"/>
        <v>0</v>
      </c>
      <c r="L349" s="23" t="str">
        <f t="shared" si="28"/>
        <v>Pagado</v>
      </c>
      <c r="M349" s="36">
        <f>SUMIFS(Tabla_Pagos[IMPORTE ABONADO],Tabla_Pagos[FECHA DE ABONO],"&gt;0",Tabla_Pagos[NRO DOC],B349)</f>
        <v>5950</v>
      </c>
      <c r="N349" s="36">
        <f t="shared" si="29"/>
        <v>0</v>
      </c>
      <c r="O349" s="22" cm="1">
        <f t="array" ref="O349">MAX(IF((Tabla_Pagos[NRO DOC]=B349)*(Tabla_Pagos[IMPORTE ABONADO]&gt;0),Tabla_Pagos[FECHA DE ABONO]))</f>
        <v>45817</v>
      </c>
    </row>
    <row r="350" spans="2:15" ht="21" customHeight="1" x14ac:dyDescent="0.25">
      <c r="B350" s="39">
        <v>1253</v>
      </c>
      <c r="C350" s="20">
        <v>45817</v>
      </c>
      <c r="D350" s="40" t="s">
        <v>316</v>
      </c>
      <c r="E350" s="37" t="str">
        <f>IFERROR(VLOOKUP(D350,CLIENTES!$B$12:$G$2602,2,FALSE),"")</f>
        <v>SOC COMERCIAL Y AGRICOLA CARVAJAL Y SALINAS LIMITADA</v>
      </c>
      <c r="F350" s="31">
        <v>20000</v>
      </c>
      <c r="G350" s="41" t="s">
        <v>101</v>
      </c>
      <c r="H350" s="26">
        <v>30</v>
      </c>
      <c r="I350" s="21" t="str">
        <f t="shared" si="25"/>
        <v>Crédito</v>
      </c>
      <c r="J350" s="22">
        <f t="shared" si="26"/>
        <v>45847</v>
      </c>
      <c r="K350" s="27">
        <f t="shared" ca="1" si="27"/>
        <v>0</v>
      </c>
      <c r="L350" s="23" t="str">
        <f t="shared" si="28"/>
        <v>Pagado</v>
      </c>
      <c r="M350" s="36">
        <f>SUMIFS(Tabla_Pagos[IMPORTE ABONADO],Tabla_Pagos[FECHA DE ABONO],"&gt;0",Tabla_Pagos[NRO DOC],B350)</f>
        <v>20000</v>
      </c>
      <c r="N350" s="36">
        <f t="shared" si="29"/>
        <v>0</v>
      </c>
      <c r="O350" s="22" cm="1">
        <f t="array" ref="O350">MAX(IF((Tabla_Pagos[NRO DOC]=B350)*(Tabla_Pagos[IMPORTE ABONADO]&gt;0),Tabla_Pagos[FECHA DE ABONO]))</f>
        <v>45817</v>
      </c>
    </row>
    <row r="351" spans="2:15" ht="21" customHeight="1" x14ac:dyDescent="0.25">
      <c r="B351" s="39">
        <v>1254</v>
      </c>
      <c r="C351" s="20">
        <v>45817</v>
      </c>
      <c r="D351" s="40" t="s">
        <v>205</v>
      </c>
      <c r="E351" s="37" t="str">
        <f>IFERROR(VLOOKUP(D351,CLIENTES!$B$12:$G$2602,2,FALSE),"")</f>
        <v>CONSTRUCTORA DE PAVIMENTOS ASFALTICOS BITUMIX S.A</v>
      </c>
      <c r="F351" s="31">
        <v>142800</v>
      </c>
      <c r="G351" s="41" t="s">
        <v>101</v>
      </c>
      <c r="H351" s="26">
        <v>30</v>
      </c>
      <c r="I351" s="21" t="str">
        <f t="shared" si="25"/>
        <v>Crédito</v>
      </c>
      <c r="J351" s="22">
        <f t="shared" si="26"/>
        <v>45847</v>
      </c>
      <c r="K351" s="27">
        <f t="shared" ca="1" si="27"/>
        <v>0</v>
      </c>
      <c r="L351" s="23" t="str">
        <f t="shared" si="28"/>
        <v>Pagado</v>
      </c>
      <c r="M351" s="36">
        <f>SUMIFS(Tabla_Pagos[IMPORTE ABONADO],Tabla_Pagos[FECHA DE ABONO],"&gt;0",Tabla_Pagos[NRO DOC],B351)</f>
        <v>142800</v>
      </c>
      <c r="N351" s="36">
        <f t="shared" si="29"/>
        <v>0</v>
      </c>
      <c r="O351" s="22" cm="1">
        <f t="array" ref="O351">MAX(IF((Tabla_Pagos[NRO DOC]=B351)*(Tabla_Pagos[IMPORTE ABONADO]&gt;0),Tabla_Pagos[FECHA DE ABONO]))</f>
        <v>45856</v>
      </c>
    </row>
    <row r="352" spans="2:15" ht="21" customHeight="1" x14ac:dyDescent="0.25">
      <c r="B352" s="39">
        <v>1255</v>
      </c>
      <c r="C352" s="20">
        <v>45818</v>
      </c>
      <c r="D352" s="40" t="s">
        <v>317</v>
      </c>
      <c r="E352" s="37" t="str">
        <f>IFERROR(VLOOKUP(D352,CLIENTES!$B$12:$G$2602,2,FALSE),"")</f>
        <v>COMERCIAL NINA RODRÃGUEZ TOLEDO E.I.R.L.</v>
      </c>
      <c r="F352" s="31">
        <v>20000</v>
      </c>
      <c r="G352" s="41" t="s">
        <v>101</v>
      </c>
      <c r="H352" s="26">
        <v>0</v>
      </c>
      <c r="I352" s="21" t="str">
        <f t="shared" si="25"/>
        <v>Contado</v>
      </c>
      <c r="J352" s="22">
        <f t="shared" si="26"/>
        <v>45818</v>
      </c>
      <c r="K352" s="27">
        <f t="shared" ca="1" si="27"/>
        <v>0</v>
      </c>
      <c r="L352" s="23" t="str">
        <f t="shared" si="28"/>
        <v>Pagado</v>
      </c>
      <c r="M352" s="36">
        <f>SUMIFS(Tabla_Pagos[IMPORTE ABONADO],Tabla_Pagos[FECHA DE ABONO],"&gt;0",Tabla_Pagos[NRO DOC],B352)</f>
        <v>20000</v>
      </c>
      <c r="N352" s="36">
        <f t="shared" si="29"/>
        <v>0</v>
      </c>
      <c r="O352" s="22" cm="1">
        <f t="array" ref="O352">MAX(IF((Tabla_Pagos[NRO DOC]=B352)*(Tabla_Pagos[IMPORTE ABONADO]&gt;0),Tabla_Pagos[FECHA DE ABONO]))</f>
        <v>45818</v>
      </c>
    </row>
    <row r="353" spans="2:15" ht="21" customHeight="1" x14ac:dyDescent="0.25">
      <c r="B353" s="39">
        <v>1256</v>
      </c>
      <c r="C353" s="20">
        <v>45818</v>
      </c>
      <c r="D353" s="40" t="s">
        <v>44</v>
      </c>
      <c r="E353" s="37" t="str">
        <f>IFERROR(VLOOKUP(D353,CLIENTES!$B$12:$G$2602,2,FALSE),"")</f>
        <v>SKC RED SPA</v>
      </c>
      <c r="F353" s="31">
        <v>17850</v>
      </c>
      <c r="G353" s="41" t="s">
        <v>101</v>
      </c>
      <c r="H353" s="26">
        <v>30</v>
      </c>
      <c r="I353" s="21" t="str">
        <f t="shared" si="25"/>
        <v>Crédito</v>
      </c>
      <c r="J353" s="22">
        <f t="shared" si="26"/>
        <v>45848</v>
      </c>
      <c r="K353" s="27">
        <f t="shared" ca="1" si="27"/>
        <v>0</v>
      </c>
      <c r="L353" s="23" t="str">
        <f t="shared" si="28"/>
        <v>Pagado</v>
      </c>
      <c r="M353" s="36">
        <f>SUMIFS(Tabla_Pagos[IMPORTE ABONADO],Tabla_Pagos[FECHA DE ABONO],"&gt;0",Tabla_Pagos[NRO DOC],B353)</f>
        <v>17850</v>
      </c>
      <c r="N353" s="36">
        <f t="shared" si="29"/>
        <v>0</v>
      </c>
      <c r="O353" s="22" cm="1">
        <f t="array" ref="O353">MAX(IF((Tabla_Pagos[NRO DOC]=B353)*(Tabla_Pagos[IMPORTE ABONADO]&gt;0),Tabla_Pagos[FECHA DE ABONO]))</f>
        <v>45849</v>
      </c>
    </row>
    <row r="354" spans="2:15" ht="21" customHeight="1" x14ac:dyDescent="0.25">
      <c r="B354" s="39">
        <v>1257</v>
      </c>
      <c r="C354" s="20">
        <v>45818</v>
      </c>
      <c r="D354" s="40" t="s">
        <v>44</v>
      </c>
      <c r="E354" s="37" t="str">
        <f>IFERROR(VLOOKUP(D354,CLIENTES!$B$12:$G$2602,2,FALSE),"")</f>
        <v>SKC RED SPA</v>
      </c>
      <c r="F354" s="31">
        <v>17850</v>
      </c>
      <c r="G354" s="41" t="s">
        <v>101</v>
      </c>
      <c r="H354" s="26">
        <v>30</v>
      </c>
      <c r="I354" s="21" t="str">
        <f t="shared" si="25"/>
        <v>Crédito</v>
      </c>
      <c r="J354" s="22">
        <f t="shared" si="26"/>
        <v>45848</v>
      </c>
      <c r="K354" s="27">
        <f t="shared" ca="1" si="27"/>
        <v>0</v>
      </c>
      <c r="L354" s="23" t="str">
        <f t="shared" si="28"/>
        <v>Pagado</v>
      </c>
      <c r="M354" s="36">
        <f>SUMIFS(Tabla_Pagos[IMPORTE ABONADO],Tabla_Pagos[FECHA DE ABONO],"&gt;0",Tabla_Pagos[NRO DOC],B354)</f>
        <v>17850</v>
      </c>
      <c r="N354" s="36">
        <f t="shared" si="29"/>
        <v>0</v>
      </c>
      <c r="O354" s="22" cm="1">
        <f t="array" ref="O354">MAX(IF((Tabla_Pagos[NRO DOC]=B354)*(Tabla_Pagos[IMPORTE ABONADO]&gt;0),Tabla_Pagos[FECHA DE ABONO]))</f>
        <v>45849</v>
      </c>
    </row>
    <row r="355" spans="2:15" ht="21" customHeight="1" x14ac:dyDescent="0.25">
      <c r="B355" s="39">
        <v>1258</v>
      </c>
      <c r="C355" s="20">
        <v>45818</v>
      </c>
      <c r="D355" s="40" t="s">
        <v>44</v>
      </c>
      <c r="E355" s="37" t="str">
        <f>IFERROR(VLOOKUP(D355,CLIENTES!$B$12:$G$2602,2,FALSE),"")</f>
        <v>SKC RED SPA</v>
      </c>
      <c r="F355" s="31">
        <v>17850</v>
      </c>
      <c r="G355" s="41" t="s">
        <v>101</v>
      </c>
      <c r="H355" s="26">
        <v>30</v>
      </c>
      <c r="I355" s="21" t="str">
        <f t="shared" si="25"/>
        <v>Crédito</v>
      </c>
      <c r="J355" s="22">
        <f t="shared" si="26"/>
        <v>45848</v>
      </c>
      <c r="K355" s="27">
        <f t="shared" ca="1" si="27"/>
        <v>0</v>
      </c>
      <c r="L355" s="23" t="str">
        <f t="shared" si="28"/>
        <v>Pagado</v>
      </c>
      <c r="M355" s="36">
        <f>SUMIFS(Tabla_Pagos[IMPORTE ABONADO],Tabla_Pagos[FECHA DE ABONO],"&gt;0",Tabla_Pagos[NRO DOC],B355)</f>
        <v>17850</v>
      </c>
      <c r="N355" s="36">
        <f t="shared" si="29"/>
        <v>0</v>
      </c>
      <c r="O355" s="22" cm="1">
        <f t="array" ref="O355">MAX(IF((Tabla_Pagos[NRO DOC]=B355)*(Tabla_Pagos[IMPORTE ABONADO]&gt;0),Tabla_Pagos[FECHA DE ABONO]))</f>
        <v>45849</v>
      </c>
    </row>
    <row r="356" spans="2:15" ht="21" customHeight="1" x14ac:dyDescent="0.25">
      <c r="B356" s="39">
        <v>1259</v>
      </c>
      <c r="C356" s="20">
        <v>45818</v>
      </c>
      <c r="D356" s="40" t="s">
        <v>44</v>
      </c>
      <c r="E356" s="37" t="str">
        <f>IFERROR(VLOOKUP(D356,CLIENTES!$B$12:$G$2602,2,FALSE),"")</f>
        <v>SKC RED SPA</v>
      </c>
      <c r="F356" s="31">
        <v>17850</v>
      </c>
      <c r="G356" s="41" t="s">
        <v>101</v>
      </c>
      <c r="H356" s="26">
        <v>30</v>
      </c>
      <c r="I356" s="21" t="str">
        <f t="shared" si="25"/>
        <v>Crédito</v>
      </c>
      <c r="J356" s="22">
        <f t="shared" si="26"/>
        <v>45848</v>
      </c>
      <c r="K356" s="27">
        <f t="shared" ca="1" si="27"/>
        <v>0</v>
      </c>
      <c r="L356" s="23" t="str">
        <f t="shared" si="28"/>
        <v>Pagado</v>
      </c>
      <c r="M356" s="36">
        <f>SUMIFS(Tabla_Pagos[IMPORTE ABONADO],Tabla_Pagos[FECHA DE ABONO],"&gt;0",Tabla_Pagos[NRO DOC],B356)</f>
        <v>17850</v>
      </c>
      <c r="N356" s="36">
        <f t="shared" si="29"/>
        <v>0</v>
      </c>
      <c r="O356" s="22" cm="1">
        <f t="array" ref="O356">MAX(IF((Tabla_Pagos[NRO DOC]=B356)*(Tabla_Pagos[IMPORTE ABONADO]&gt;0),Tabla_Pagos[FECHA DE ABONO]))</f>
        <v>45849</v>
      </c>
    </row>
    <row r="357" spans="2:15" ht="21" customHeight="1" x14ac:dyDescent="0.25">
      <c r="B357" s="39">
        <v>1260</v>
      </c>
      <c r="C357" s="20">
        <v>45818</v>
      </c>
      <c r="D357" s="40" t="s">
        <v>261</v>
      </c>
      <c r="E357" s="37" t="str">
        <f>IFERROR(VLOOKUP(D357,CLIENTES!$B$12:$G$2602,2,FALSE),"")</f>
        <v>TRANSPORTE MARCIA YORDANA CARVAJAL TAPIA E.I.R.L.</v>
      </c>
      <c r="F357" s="31">
        <v>214200</v>
      </c>
      <c r="G357" s="41" t="s">
        <v>101</v>
      </c>
      <c r="H357" s="26">
        <v>0</v>
      </c>
      <c r="I357" s="21" t="str">
        <f t="shared" si="25"/>
        <v>Contado</v>
      </c>
      <c r="J357" s="22">
        <f t="shared" si="26"/>
        <v>45818</v>
      </c>
      <c r="K357" s="27">
        <f t="shared" ca="1" si="27"/>
        <v>0</v>
      </c>
      <c r="L357" s="23" t="str">
        <f t="shared" si="28"/>
        <v>Pagado</v>
      </c>
      <c r="M357" s="36">
        <f>SUMIFS(Tabla_Pagos[IMPORTE ABONADO],Tabla_Pagos[FECHA DE ABONO],"&gt;0",Tabla_Pagos[NRO DOC],B357)</f>
        <v>214200</v>
      </c>
      <c r="N357" s="36">
        <f t="shared" si="29"/>
        <v>0</v>
      </c>
      <c r="O357" s="22" cm="1">
        <f t="array" ref="O357">MAX(IF((Tabla_Pagos[NRO DOC]=B357)*(Tabla_Pagos[IMPORTE ABONADO]&gt;0),Tabla_Pagos[FECHA DE ABONO]))</f>
        <v>45818</v>
      </c>
    </row>
    <row r="358" spans="2:15" ht="21" customHeight="1" x14ac:dyDescent="0.25">
      <c r="B358" s="39">
        <v>1261</v>
      </c>
      <c r="C358" s="20">
        <v>45819</v>
      </c>
      <c r="D358" s="40" t="s">
        <v>45</v>
      </c>
      <c r="E358" s="37" t="str">
        <f>IFERROR(VLOOKUP(D358,CLIENTES!$B$12:$G$2602,2,FALSE),"")</f>
        <v>INGEGROUP INGENIERIA  SPA</v>
      </c>
      <c r="F358" s="31">
        <v>80920</v>
      </c>
      <c r="G358" s="41" t="s">
        <v>101</v>
      </c>
      <c r="H358" s="26">
        <v>0</v>
      </c>
      <c r="I358" s="21" t="str">
        <f t="shared" si="25"/>
        <v>Contado</v>
      </c>
      <c r="J358" s="22">
        <f t="shared" si="26"/>
        <v>45819</v>
      </c>
      <c r="K358" s="27">
        <f t="shared" ca="1" si="27"/>
        <v>0</v>
      </c>
      <c r="L358" s="23" t="str">
        <f t="shared" si="28"/>
        <v>Pagado</v>
      </c>
      <c r="M358" s="36">
        <f>SUMIFS(Tabla_Pagos[IMPORTE ABONADO],Tabla_Pagos[FECHA DE ABONO],"&gt;0",Tabla_Pagos[NRO DOC],B358)</f>
        <v>80920</v>
      </c>
      <c r="N358" s="36">
        <f t="shared" si="29"/>
        <v>0</v>
      </c>
      <c r="O358" s="22" cm="1">
        <f t="array" ref="O358">MAX(IF((Tabla_Pagos[NRO DOC]=B358)*(Tabla_Pagos[IMPORTE ABONADO]&gt;0),Tabla_Pagos[FECHA DE ABONO]))</f>
        <v>45819</v>
      </c>
    </row>
    <row r="359" spans="2:15" ht="21" customHeight="1" x14ac:dyDescent="0.25">
      <c r="B359" s="39">
        <v>1262</v>
      </c>
      <c r="C359" s="20">
        <v>45819</v>
      </c>
      <c r="D359" s="40" t="s">
        <v>318</v>
      </c>
      <c r="E359" s="37" t="str">
        <f>IFERROR(VLOOKUP(D359,CLIENTES!$B$12:$G$2602,2,FALSE),"")</f>
        <v>VALLES DEL NORTE S.A.</v>
      </c>
      <c r="F359" s="31">
        <v>50000</v>
      </c>
      <c r="G359" s="41" t="s">
        <v>101</v>
      </c>
      <c r="H359" s="26">
        <v>0</v>
      </c>
      <c r="I359" s="21" t="str">
        <f t="shared" si="25"/>
        <v>Contado</v>
      </c>
      <c r="J359" s="22">
        <f t="shared" si="26"/>
        <v>45819</v>
      </c>
      <c r="K359" s="27">
        <f t="shared" ca="1" si="27"/>
        <v>0</v>
      </c>
      <c r="L359" s="23" t="str">
        <f t="shared" si="28"/>
        <v>Pagado</v>
      </c>
      <c r="M359" s="36">
        <f>SUMIFS(Tabla_Pagos[IMPORTE ABONADO],Tabla_Pagos[FECHA DE ABONO],"&gt;0",Tabla_Pagos[NRO DOC],B359)</f>
        <v>50000</v>
      </c>
      <c r="N359" s="36">
        <f t="shared" si="29"/>
        <v>0</v>
      </c>
      <c r="O359" s="22" cm="1">
        <f t="array" ref="O359">MAX(IF((Tabla_Pagos[NRO DOC]=B359)*(Tabla_Pagos[IMPORTE ABONADO]&gt;0),Tabla_Pagos[FECHA DE ABONO]))</f>
        <v>45819</v>
      </c>
    </row>
    <row r="360" spans="2:15" ht="21" customHeight="1" x14ac:dyDescent="0.25">
      <c r="B360" s="39">
        <v>1263</v>
      </c>
      <c r="C360" s="20">
        <v>45819</v>
      </c>
      <c r="D360" s="40" t="s">
        <v>34</v>
      </c>
      <c r="E360" s="37" t="str">
        <f>IFERROR(VLOOKUP(D360,CLIENTES!$B$12:$G$2602,2,FALSE),"")</f>
        <v>SERVICIOS INDUSTRIALES WARNER SPA</v>
      </c>
      <c r="F360" s="31">
        <v>476000</v>
      </c>
      <c r="G360" s="41" t="s">
        <v>134</v>
      </c>
      <c r="H360" s="26">
        <v>30</v>
      </c>
      <c r="I360" s="21" t="str">
        <f t="shared" si="25"/>
        <v>Crédito</v>
      </c>
      <c r="J360" s="22">
        <f t="shared" si="26"/>
        <v>45849</v>
      </c>
      <c r="K360" s="27">
        <f t="shared" ca="1" si="27"/>
        <v>0</v>
      </c>
      <c r="L360" s="23" t="str">
        <f t="shared" si="28"/>
        <v>Pagado</v>
      </c>
      <c r="M360" s="36">
        <f>SUMIFS(Tabla_Pagos[IMPORTE ABONADO],Tabla_Pagos[FECHA DE ABONO],"&gt;0",Tabla_Pagos[NRO DOC],B360)</f>
        <v>476000</v>
      </c>
      <c r="N360" s="36">
        <f t="shared" si="29"/>
        <v>0</v>
      </c>
      <c r="O360" s="22" cm="1">
        <f t="array" ref="O360">MAX(IF((Tabla_Pagos[NRO DOC]=B360)*(Tabla_Pagos[IMPORTE ABONADO]&gt;0),Tabla_Pagos[FECHA DE ABONO]))</f>
        <v>45852</v>
      </c>
    </row>
    <row r="361" spans="2:15" ht="21" customHeight="1" x14ac:dyDescent="0.25">
      <c r="B361" s="39">
        <v>1264</v>
      </c>
      <c r="C361" s="20">
        <v>45820</v>
      </c>
      <c r="D361" s="40" t="s">
        <v>60</v>
      </c>
      <c r="E361" s="37" t="str">
        <f>IFERROR(VLOOKUP(D361,CLIENTES!$B$12:$G$2602,2,FALSE),"")</f>
        <v>CENTRO DE MANTENIMIENTO AUTOMOTRIZ Y MAQUINARIA SPA</v>
      </c>
      <c r="F361" s="31">
        <v>890834</v>
      </c>
      <c r="G361" s="41" t="s">
        <v>101</v>
      </c>
      <c r="H361" s="26">
        <v>30</v>
      </c>
      <c r="I361" s="21" t="str">
        <f t="shared" si="25"/>
        <v>Crédito</v>
      </c>
      <c r="J361" s="22">
        <f t="shared" si="26"/>
        <v>45850</v>
      </c>
      <c r="K361" s="27">
        <f t="shared" ca="1" si="27"/>
        <v>0</v>
      </c>
      <c r="L361" s="23" t="str">
        <f t="shared" si="28"/>
        <v>Pagado</v>
      </c>
      <c r="M361" s="36">
        <f>SUMIFS(Tabla_Pagos[IMPORTE ABONADO],Tabla_Pagos[FECHA DE ABONO],"&gt;0",Tabla_Pagos[NRO DOC],B361)</f>
        <v>890834</v>
      </c>
      <c r="N361" s="36">
        <f t="shared" si="29"/>
        <v>0</v>
      </c>
      <c r="O361" s="22" cm="1">
        <f t="array" ref="O361">MAX(IF((Tabla_Pagos[NRO DOC]=B361)*(Tabla_Pagos[IMPORTE ABONADO]&gt;0),Tabla_Pagos[FECHA DE ABONO]))</f>
        <v>45820</v>
      </c>
    </row>
    <row r="362" spans="2:15" ht="21" customHeight="1" x14ac:dyDescent="0.25">
      <c r="B362" s="39">
        <v>1265</v>
      </c>
      <c r="C362" s="20">
        <v>45820</v>
      </c>
      <c r="D362" s="40" t="s">
        <v>319</v>
      </c>
      <c r="E362" s="37" t="str">
        <f>IFERROR(VLOOKUP(D362,CLIENTES!$B$12:$G$2602,2,FALSE),"")</f>
        <v>COMERCIAL BOREAL SPA</v>
      </c>
      <c r="F362" s="31">
        <v>135660</v>
      </c>
      <c r="G362" s="41" t="s">
        <v>101</v>
      </c>
      <c r="H362" s="26">
        <v>0</v>
      </c>
      <c r="I362" s="21" t="str">
        <f t="shared" si="25"/>
        <v>Contado</v>
      </c>
      <c r="J362" s="22">
        <f t="shared" si="26"/>
        <v>45820</v>
      </c>
      <c r="K362" s="27">
        <f t="shared" ca="1" si="27"/>
        <v>0</v>
      </c>
      <c r="L362" s="23" t="str">
        <f t="shared" si="28"/>
        <v>Pagado</v>
      </c>
      <c r="M362" s="36">
        <f>SUMIFS(Tabla_Pagos[IMPORTE ABONADO],Tabla_Pagos[FECHA DE ABONO],"&gt;0",Tabla_Pagos[NRO DOC],B362)</f>
        <v>135660</v>
      </c>
      <c r="N362" s="36">
        <f t="shared" si="29"/>
        <v>0</v>
      </c>
      <c r="O362" s="22" cm="1">
        <f t="array" ref="O362">MAX(IF((Tabla_Pagos[NRO DOC]=B362)*(Tabla_Pagos[IMPORTE ABONADO]&gt;0),Tabla_Pagos[FECHA DE ABONO]))</f>
        <v>45820</v>
      </c>
    </row>
    <row r="363" spans="2:15" ht="21" customHeight="1" x14ac:dyDescent="0.25">
      <c r="B363" s="39">
        <v>1266</v>
      </c>
      <c r="C363" s="20">
        <v>45821</v>
      </c>
      <c r="D363" s="40" t="s">
        <v>320</v>
      </c>
      <c r="E363" s="37" t="str">
        <f>IFERROR(VLOOKUP(D363,CLIENTES!$B$12:$G$2602,2,FALSE),"")</f>
        <v>SOCIEDAD COMERCIAL RODRIGO URBANO SPA</v>
      </c>
      <c r="F363" s="31">
        <v>11900</v>
      </c>
      <c r="G363" s="41" t="s">
        <v>101</v>
      </c>
      <c r="H363" s="26">
        <v>0</v>
      </c>
      <c r="I363" s="21" t="str">
        <f t="shared" si="25"/>
        <v>Contado</v>
      </c>
      <c r="J363" s="22">
        <f t="shared" si="26"/>
        <v>45821</v>
      </c>
      <c r="K363" s="27">
        <f t="shared" ca="1" si="27"/>
        <v>0</v>
      </c>
      <c r="L363" s="23" t="str">
        <f t="shared" si="28"/>
        <v>Pagado</v>
      </c>
      <c r="M363" s="36">
        <f>SUMIFS(Tabla_Pagos[IMPORTE ABONADO],Tabla_Pagos[FECHA DE ABONO],"&gt;0",Tabla_Pagos[NRO DOC],B363)</f>
        <v>11900</v>
      </c>
      <c r="N363" s="36">
        <f t="shared" si="29"/>
        <v>0</v>
      </c>
      <c r="O363" s="22" cm="1">
        <f t="array" ref="O363">MAX(IF((Tabla_Pagos[NRO DOC]=B363)*(Tabla_Pagos[IMPORTE ABONADO]&gt;0),Tabla_Pagos[FECHA DE ABONO]))</f>
        <v>45821</v>
      </c>
    </row>
    <row r="364" spans="2:15" ht="21" customHeight="1" x14ac:dyDescent="0.25">
      <c r="B364" s="39">
        <v>1267</v>
      </c>
      <c r="C364" s="20">
        <v>45821</v>
      </c>
      <c r="D364" s="40" t="s">
        <v>193</v>
      </c>
      <c r="E364" s="37" t="str">
        <f>IFERROR(VLOOKUP(D364,CLIENTES!$B$12:$G$2602,2,FALSE),"")</f>
        <v>TRANSNORTE SPA</v>
      </c>
      <c r="F364" s="31">
        <v>487900</v>
      </c>
      <c r="G364" s="41" t="s">
        <v>101</v>
      </c>
      <c r="H364" s="26">
        <v>30</v>
      </c>
      <c r="I364" s="21" t="str">
        <f t="shared" si="25"/>
        <v>Crédito</v>
      </c>
      <c r="J364" s="22">
        <f t="shared" si="26"/>
        <v>45851</v>
      </c>
      <c r="K364" s="27">
        <f t="shared" ca="1" si="27"/>
        <v>0</v>
      </c>
      <c r="L364" s="23" t="str">
        <f t="shared" si="28"/>
        <v>Pagado</v>
      </c>
      <c r="M364" s="36">
        <f>SUMIFS(Tabla_Pagos[IMPORTE ABONADO],Tabla_Pagos[FECHA DE ABONO],"&gt;0",Tabla_Pagos[NRO DOC],B364)</f>
        <v>487900</v>
      </c>
      <c r="N364" s="36">
        <f t="shared" si="29"/>
        <v>0</v>
      </c>
      <c r="O364" s="22" cm="1">
        <f t="array" ref="O364">MAX(IF((Tabla_Pagos[NRO DOC]=B364)*(Tabla_Pagos[IMPORTE ABONADO]&gt;0),Tabla_Pagos[FECHA DE ABONO]))</f>
        <v>45842</v>
      </c>
    </row>
    <row r="365" spans="2:15" ht="21" customHeight="1" x14ac:dyDescent="0.25">
      <c r="B365" s="39">
        <v>1268</v>
      </c>
      <c r="C365" s="20">
        <v>45821</v>
      </c>
      <c r="D365" s="40" t="s">
        <v>40</v>
      </c>
      <c r="E365" s="37" t="str">
        <f>IFERROR(VLOOKUP(D365,CLIENTES!$B$12:$G$2602,2,FALSE),"")</f>
        <v>INGENIERIA Y SERVICIOS TERRACOP SPA</v>
      </c>
      <c r="F365" s="31">
        <v>374850</v>
      </c>
      <c r="G365" s="41" t="s">
        <v>101</v>
      </c>
      <c r="H365" s="26">
        <v>0</v>
      </c>
      <c r="I365" s="21" t="str">
        <f t="shared" si="25"/>
        <v>Contado</v>
      </c>
      <c r="J365" s="22">
        <f t="shared" si="26"/>
        <v>45821</v>
      </c>
      <c r="K365" s="27">
        <f t="shared" ca="1" si="27"/>
        <v>0</v>
      </c>
      <c r="L365" s="23" t="str">
        <f t="shared" si="28"/>
        <v>Pagado</v>
      </c>
      <c r="M365" s="36">
        <f>SUMIFS(Tabla_Pagos[IMPORTE ABONADO],Tabla_Pagos[FECHA DE ABONO],"&gt;0",Tabla_Pagos[NRO DOC],B365)</f>
        <v>374850</v>
      </c>
      <c r="N365" s="36">
        <f t="shared" si="29"/>
        <v>0</v>
      </c>
      <c r="O365" s="22" cm="1">
        <f t="array" ref="O365">MAX(IF((Tabla_Pagos[NRO DOC]=B365)*(Tabla_Pagos[IMPORTE ABONADO]&gt;0),Tabla_Pagos[FECHA DE ABONO]))</f>
        <v>45821</v>
      </c>
    </row>
    <row r="366" spans="2:15" ht="21" customHeight="1" x14ac:dyDescent="0.25">
      <c r="B366" s="39">
        <v>1269</v>
      </c>
      <c r="C366" s="20">
        <v>45821</v>
      </c>
      <c r="D366" s="40" t="s">
        <v>60</v>
      </c>
      <c r="E366" s="37" t="str">
        <f>IFERROR(VLOOKUP(D366,CLIENTES!$B$12:$G$2602,2,FALSE),"")</f>
        <v>CENTRO DE MANTENIMIENTO AUTOMOTRIZ Y MAQUINARIA SPA</v>
      </c>
      <c r="F366" s="31">
        <v>819434</v>
      </c>
      <c r="G366" s="41" t="s">
        <v>101</v>
      </c>
      <c r="H366" s="26">
        <v>30</v>
      </c>
      <c r="I366" s="21" t="str">
        <f t="shared" si="25"/>
        <v>Crédito</v>
      </c>
      <c r="J366" s="22">
        <f t="shared" si="26"/>
        <v>45851</v>
      </c>
      <c r="K366" s="27">
        <f t="shared" ca="1" si="27"/>
        <v>0</v>
      </c>
      <c r="L366" s="23" t="str">
        <f t="shared" si="28"/>
        <v>Pagado</v>
      </c>
      <c r="M366" s="36">
        <f>SUMIFS(Tabla_Pagos[IMPORTE ABONADO],Tabla_Pagos[FECHA DE ABONO],"&gt;0",Tabla_Pagos[NRO DOC],B366)</f>
        <v>819434</v>
      </c>
      <c r="N366" s="36">
        <f t="shared" si="29"/>
        <v>0</v>
      </c>
      <c r="O366" s="22" cm="1">
        <f t="array" ref="O366">MAX(IF((Tabla_Pagos[NRO DOC]=B366)*(Tabla_Pagos[IMPORTE ABONADO]&gt;0),Tabla_Pagos[FECHA DE ABONO]))</f>
        <v>45842</v>
      </c>
    </row>
    <row r="367" spans="2:15" ht="21" customHeight="1" x14ac:dyDescent="0.25">
      <c r="B367" s="39">
        <v>1272</v>
      </c>
      <c r="C367" s="20">
        <v>45822</v>
      </c>
      <c r="D367" s="40" t="s">
        <v>321</v>
      </c>
      <c r="E367" s="37" t="str">
        <f>IFERROR(VLOOKUP(D367,CLIENTES!$B$12:$G$2602,2,FALSE),"")</f>
        <v>DISTRIBUIDORA Y COMERCIALIZADORA DE PRODUCTOS CONGELADOS VICTOR MANUEL</v>
      </c>
      <c r="F367" s="31">
        <v>17850</v>
      </c>
      <c r="G367" s="41" t="s">
        <v>101</v>
      </c>
      <c r="H367" s="26">
        <v>0</v>
      </c>
      <c r="I367" s="21" t="str">
        <f t="shared" si="25"/>
        <v>Contado</v>
      </c>
      <c r="J367" s="22">
        <f t="shared" si="26"/>
        <v>45822</v>
      </c>
      <c r="K367" s="27">
        <f t="shared" ca="1" si="27"/>
        <v>0</v>
      </c>
      <c r="L367" s="23" t="str">
        <f t="shared" si="28"/>
        <v>Pagado</v>
      </c>
      <c r="M367" s="36">
        <f>SUMIFS(Tabla_Pagos[IMPORTE ABONADO],Tabla_Pagos[FECHA DE ABONO],"&gt;0",Tabla_Pagos[NRO DOC],B367)</f>
        <v>17850</v>
      </c>
      <c r="N367" s="36">
        <f t="shared" si="29"/>
        <v>0</v>
      </c>
      <c r="O367" s="22" cm="1">
        <f t="array" ref="O367">MAX(IF((Tabla_Pagos[NRO DOC]=B367)*(Tabla_Pagos[IMPORTE ABONADO]&gt;0),Tabla_Pagos[FECHA DE ABONO]))</f>
        <v>45822</v>
      </c>
    </row>
    <row r="368" spans="2:15" ht="21" customHeight="1" x14ac:dyDescent="0.25">
      <c r="B368" s="39">
        <v>1273</v>
      </c>
      <c r="C368" s="20">
        <v>45825</v>
      </c>
      <c r="D368" s="40" t="s">
        <v>322</v>
      </c>
      <c r="E368" s="37" t="str">
        <f>IFERROR(VLOOKUP(D368,CLIENTES!$B$12:$G$2602,2,FALSE),"")</f>
        <v>PRO DRILLING S.A.</v>
      </c>
      <c r="F368" s="31">
        <v>47600</v>
      </c>
      <c r="G368" s="41" t="s">
        <v>101</v>
      </c>
      <c r="H368" s="26">
        <v>30</v>
      </c>
      <c r="I368" s="21" t="str">
        <f t="shared" si="25"/>
        <v>Crédito</v>
      </c>
      <c r="J368" s="22">
        <f t="shared" si="26"/>
        <v>45855</v>
      </c>
      <c r="K368" s="27">
        <f t="shared" ca="1" si="27"/>
        <v>0</v>
      </c>
      <c r="L368" s="23" t="str">
        <f t="shared" si="28"/>
        <v>Pagado</v>
      </c>
      <c r="M368" s="36">
        <f>SUMIFS(Tabla_Pagos[IMPORTE ABONADO],Tabla_Pagos[FECHA DE ABONO],"&gt;0",Tabla_Pagos[NRO DOC],B368)</f>
        <v>47600</v>
      </c>
      <c r="N368" s="36">
        <f t="shared" si="29"/>
        <v>0</v>
      </c>
      <c r="O368" s="22" cm="1">
        <f t="array" ref="O368">MAX(IF((Tabla_Pagos[NRO DOC]=B368)*(Tabla_Pagos[IMPORTE ABONADO]&gt;0),Tabla_Pagos[FECHA DE ABONO]))</f>
        <v>45825</v>
      </c>
    </row>
    <row r="369" spans="2:15" ht="21" customHeight="1" x14ac:dyDescent="0.25">
      <c r="B369" s="39">
        <v>1274</v>
      </c>
      <c r="C369" s="20">
        <v>45825</v>
      </c>
      <c r="D369" s="40" t="s">
        <v>106</v>
      </c>
      <c r="E369" s="37" t="str">
        <f>IFERROR(VLOOKUP(D369,CLIENTES!$B$12:$G$2602,2,FALSE),"")</f>
        <v>COMERCIAL SERPAN SPA</v>
      </c>
      <c r="F369" s="31">
        <v>11900</v>
      </c>
      <c r="G369" s="41" t="s">
        <v>101</v>
      </c>
      <c r="H369" s="26">
        <v>30</v>
      </c>
      <c r="I369" s="21" t="str">
        <f t="shared" si="25"/>
        <v>Crédito</v>
      </c>
      <c r="J369" s="22">
        <f t="shared" si="26"/>
        <v>45855</v>
      </c>
      <c r="K369" s="27">
        <f t="shared" ca="1" si="27"/>
        <v>0</v>
      </c>
      <c r="L369" s="23" t="str">
        <f t="shared" si="28"/>
        <v>Pagado</v>
      </c>
      <c r="M369" s="36">
        <f>SUMIFS(Tabla_Pagos[IMPORTE ABONADO],Tabla_Pagos[FECHA DE ABONO],"&gt;0",Tabla_Pagos[NRO DOC],B369)</f>
        <v>11900</v>
      </c>
      <c r="N369" s="36">
        <f t="shared" si="29"/>
        <v>0</v>
      </c>
      <c r="O369" s="22" cm="1">
        <f t="array" ref="O369">MAX(IF((Tabla_Pagos[NRO DOC]=B369)*(Tabla_Pagos[IMPORTE ABONADO]&gt;0),Tabla_Pagos[FECHA DE ABONO]))</f>
        <v>45862</v>
      </c>
    </row>
    <row r="370" spans="2:15" ht="21" customHeight="1" x14ac:dyDescent="0.25">
      <c r="B370" s="39">
        <v>1275</v>
      </c>
      <c r="C370" s="20">
        <v>45825</v>
      </c>
      <c r="D370" s="40" t="s">
        <v>323</v>
      </c>
      <c r="E370" s="37" t="str">
        <f>IFERROR(VLOOKUP(D370,CLIENTES!$B$12:$G$2602,2,FALSE),"")</f>
        <v>TRANSPORTES Y ARRIENDOS VM LIMITADA</v>
      </c>
      <c r="F370" s="31">
        <v>409360</v>
      </c>
      <c r="G370" s="41" t="s">
        <v>101</v>
      </c>
      <c r="H370" s="26">
        <v>0</v>
      </c>
      <c r="I370" s="21" t="str">
        <f t="shared" si="25"/>
        <v>Contado</v>
      </c>
      <c r="J370" s="22">
        <f t="shared" si="26"/>
        <v>45825</v>
      </c>
      <c r="K370" s="27">
        <f t="shared" ca="1" si="27"/>
        <v>0</v>
      </c>
      <c r="L370" s="23" t="str">
        <f t="shared" si="28"/>
        <v>Pagado</v>
      </c>
      <c r="M370" s="36">
        <f>SUMIFS(Tabla_Pagos[IMPORTE ABONADO],Tabla_Pagos[FECHA DE ABONO],"&gt;0",Tabla_Pagos[NRO DOC],B370)</f>
        <v>409360</v>
      </c>
      <c r="N370" s="36">
        <f t="shared" si="29"/>
        <v>0</v>
      </c>
      <c r="O370" s="22" cm="1">
        <f t="array" ref="O370">MAX(IF((Tabla_Pagos[NRO DOC]=B370)*(Tabla_Pagos[IMPORTE ABONADO]&gt;0),Tabla_Pagos[FECHA DE ABONO]))</f>
        <v>45825</v>
      </c>
    </row>
    <row r="371" spans="2:15" ht="21" customHeight="1" x14ac:dyDescent="0.25">
      <c r="B371" s="39">
        <v>1276</v>
      </c>
      <c r="C371" s="20">
        <v>45825</v>
      </c>
      <c r="D371" s="40" t="s">
        <v>324</v>
      </c>
      <c r="E371" s="37" t="str">
        <f>IFERROR(VLOOKUP(D371,CLIENTES!$B$12:$G$2602,2,FALSE),"")</f>
        <v>AS PROTECCION SPA</v>
      </c>
      <c r="F371" s="31">
        <v>261800</v>
      </c>
      <c r="G371" s="41" t="s">
        <v>101</v>
      </c>
      <c r="H371" s="26">
        <v>0</v>
      </c>
      <c r="I371" s="21" t="str">
        <f t="shared" si="25"/>
        <v>Contado</v>
      </c>
      <c r="J371" s="22">
        <f t="shared" si="26"/>
        <v>45825</v>
      </c>
      <c r="K371" s="27">
        <f t="shared" ca="1" si="27"/>
        <v>0</v>
      </c>
      <c r="L371" s="23" t="str">
        <f t="shared" si="28"/>
        <v>Pagado</v>
      </c>
      <c r="M371" s="36">
        <f>SUMIFS(Tabla_Pagos[IMPORTE ABONADO],Tabla_Pagos[FECHA DE ABONO],"&gt;0",Tabla_Pagos[NRO DOC],B371)</f>
        <v>261800</v>
      </c>
      <c r="N371" s="36">
        <f t="shared" si="29"/>
        <v>0</v>
      </c>
      <c r="O371" s="22" cm="1">
        <f t="array" ref="O371">MAX(IF((Tabla_Pagos[NRO DOC]=B371)*(Tabla_Pagos[IMPORTE ABONADO]&gt;0),Tabla_Pagos[FECHA DE ABONO]))</f>
        <v>45825</v>
      </c>
    </row>
    <row r="372" spans="2:15" ht="21" customHeight="1" x14ac:dyDescent="0.25">
      <c r="B372" s="39">
        <v>1277</v>
      </c>
      <c r="C372" s="20">
        <v>45826</v>
      </c>
      <c r="D372" s="40" t="s">
        <v>325</v>
      </c>
      <c r="E372" s="37" t="str">
        <f>IFERROR(VLOOKUP(D372,CLIENTES!$B$12:$G$2602,2,FALSE),"")</f>
        <v>INVERSIONES VIALUM SPA</v>
      </c>
      <c r="F372" s="31">
        <v>19201</v>
      </c>
      <c r="G372" s="41" t="s">
        <v>101</v>
      </c>
      <c r="H372" s="26">
        <v>0</v>
      </c>
      <c r="I372" s="21" t="str">
        <f t="shared" si="25"/>
        <v>Contado</v>
      </c>
      <c r="J372" s="22">
        <f t="shared" si="26"/>
        <v>45826</v>
      </c>
      <c r="K372" s="27">
        <f t="shared" ca="1" si="27"/>
        <v>0</v>
      </c>
      <c r="L372" s="23" t="str">
        <f t="shared" si="28"/>
        <v>Pagado</v>
      </c>
      <c r="M372" s="36">
        <f>SUMIFS(Tabla_Pagos[IMPORTE ABONADO],Tabla_Pagos[FECHA DE ABONO],"&gt;0",Tabla_Pagos[NRO DOC],B372)</f>
        <v>19201</v>
      </c>
      <c r="N372" s="36">
        <f t="shared" si="29"/>
        <v>0</v>
      </c>
      <c r="O372" s="22" cm="1">
        <f t="array" ref="O372">MAX(IF((Tabla_Pagos[NRO DOC]=B372)*(Tabla_Pagos[IMPORTE ABONADO]&gt;0),Tabla_Pagos[FECHA DE ABONO]))</f>
        <v>45826</v>
      </c>
    </row>
    <row r="373" spans="2:15" ht="21" customHeight="1" x14ac:dyDescent="0.25">
      <c r="B373" s="39">
        <v>1278</v>
      </c>
      <c r="C373" s="20">
        <v>45826</v>
      </c>
      <c r="D373" s="40" t="s">
        <v>326</v>
      </c>
      <c r="E373" s="37" t="str">
        <f>IFERROR(VLOOKUP(D373,CLIENTES!$B$12:$G$2602,2,FALSE),"")</f>
        <v>ANA SOLEDAD ALFARO ALCOTA</v>
      </c>
      <c r="F373" s="31">
        <v>40001</v>
      </c>
      <c r="G373" s="41" t="s">
        <v>101</v>
      </c>
      <c r="H373" s="26">
        <v>0</v>
      </c>
      <c r="I373" s="21" t="str">
        <f t="shared" si="25"/>
        <v>Contado</v>
      </c>
      <c r="J373" s="22">
        <f t="shared" si="26"/>
        <v>45826</v>
      </c>
      <c r="K373" s="27">
        <f t="shared" ca="1" si="27"/>
        <v>0</v>
      </c>
      <c r="L373" s="23" t="str">
        <f t="shared" si="28"/>
        <v>Pagado</v>
      </c>
      <c r="M373" s="36">
        <f>SUMIFS(Tabla_Pagos[IMPORTE ABONADO],Tabla_Pagos[FECHA DE ABONO],"&gt;0",Tabla_Pagos[NRO DOC],B373)</f>
        <v>40001</v>
      </c>
      <c r="N373" s="36">
        <f t="shared" si="29"/>
        <v>0</v>
      </c>
      <c r="O373" s="22" cm="1">
        <f t="array" ref="O373">MAX(IF((Tabla_Pagos[NRO DOC]=B373)*(Tabla_Pagos[IMPORTE ABONADO]&gt;0),Tabla_Pagos[FECHA DE ABONO]))</f>
        <v>45826</v>
      </c>
    </row>
    <row r="374" spans="2:15" ht="21" customHeight="1" x14ac:dyDescent="0.25">
      <c r="B374" s="39">
        <v>1279</v>
      </c>
      <c r="C374" s="20">
        <v>45827</v>
      </c>
      <c r="D374" s="40" t="s">
        <v>327</v>
      </c>
      <c r="E374" s="37" t="str">
        <f>IFERROR(VLOOKUP(D374,CLIENTES!$B$12:$G$2602,2,FALSE),"")</f>
        <v>INVERSIONES CORTES BUSTOS LIMITADA</v>
      </c>
      <c r="F374" s="31">
        <v>545020</v>
      </c>
      <c r="G374" s="41" t="s">
        <v>101</v>
      </c>
      <c r="H374" s="26">
        <v>0</v>
      </c>
      <c r="I374" s="21" t="str">
        <f t="shared" si="25"/>
        <v>Contado</v>
      </c>
      <c r="J374" s="22">
        <f t="shared" si="26"/>
        <v>45827</v>
      </c>
      <c r="K374" s="27">
        <f t="shared" ca="1" si="27"/>
        <v>0</v>
      </c>
      <c r="L374" s="23" t="str">
        <f t="shared" si="28"/>
        <v>Pagado</v>
      </c>
      <c r="M374" s="36">
        <f>SUMIFS(Tabla_Pagos[IMPORTE ABONADO],Tabla_Pagos[FECHA DE ABONO],"&gt;0",Tabla_Pagos[NRO DOC],B374)</f>
        <v>545020</v>
      </c>
      <c r="N374" s="36">
        <f t="shared" si="29"/>
        <v>0</v>
      </c>
      <c r="O374" s="22" cm="1">
        <f t="array" ref="O374">MAX(IF((Tabla_Pagos[NRO DOC]=B374)*(Tabla_Pagos[IMPORTE ABONADO]&gt;0),Tabla_Pagos[FECHA DE ABONO]))</f>
        <v>45827</v>
      </c>
    </row>
    <row r="375" spans="2:15" ht="21" customHeight="1" x14ac:dyDescent="0.25">
      <c r="B375" s="39">
        <v>1280</v>
      </c>
      <c r="C375" s="20">
        <v>45827</v>
      </c>
      <c r="D375" s="40" t="s">
        <v>322</v>
      </c>
      <c r="E375" s="37" t="str">
        <f>IFERROR(VLOOKUP(D375,CLIENTES!$B$12:$G$2602,2,FALSE),"")</f>
        <v>PRO DRILLING S.A.</v>
      </c>
      <c r="F375" s="31">
        <v>47600</v>
      </c>
      <c r="G375" s="41" t="s">
        <v>101</v>
      </c>
      <c r="H375" s="26">
        <v>0</v>
      </c>
      <c r="I375" s="21" t="str">
        <f t="shared" si="25"/>
        <v>Contado</v>
      </c>
      <c r="J375" s="22">
        <f t="shared" si="26"/>
        <v>45827</v>
      </c>
      <c r="K375" s="27">
        <f t="shared" ca="1" si="27"/>
        <v>0</v>
      </c>
      <c r="L375" s="23" t="str">
        <f t="shared" si="28"/>
        <v>Pagado</v>
      </c>
      <c r="M375" s="36">
        <f>SUMIFS(Tabla_Pagos[IMPORTE ABONADO],Tabla_Pagos[FECHA DE ABONO],"&gt;0",Tabla_Pagos[NRO DOC],B375)</f>
        <v>47600</v>
      </c>
      <c r="N375" s="36">
        <f t="shared" si="29"/>
        <v>0</v>
      </c>
      <c r="O375" s="22" cm="1">
        <f t="array" ref="O375">MAX(IF((Tabla_Pagos[NRO DOC]=B375)*(Tabla_Pagos[IMPORTE ABONADO]&gt;0),Tabla_Pagos[FECHA DE ABONO]))</f>
        <v>45827</v>
      </c>
    </row>
    <row r="376" spans="2:15" ht="21" customHeight="1" x14ac:dyDescent="0.25">
      <c r="B376" s="39">
        <v>1281</v>
      </c>
      <c r="C376" s="20">
        <v>45827</v>
      </c>
      <c r="D376" s="40" t="s">
        <v>311</v>
      </c>
      <c r="E376" s="37" t="str">
        <f>IFERROR(VLOOKUP(D376,CLIENTES!$B$12:$G$2602,2,FALSE),"")</f>
        <v>SOCIEDAD COMERCIALIZADORA Y DISTRIBUIDORA TRES VALLES SPA</v>
      </c>
      <c r="F376" s="31">
        <v>55001</v>
      </c>
      <c r="G376" s="41" t="s">
        <v>101</v>
      </c>
      <c r="H376" s="26">
        <v>0</v>
      </c>
      <c r="I376" s="21" t="str">
        <f t="shared" si="25"/>
        <v>Contado</v>
      </c>
      <c r="J376" s="22">
        <f t="shared" si="26"/>
        <v>45827</v>
      </c>
      <c r="K376" s="27">
        <f t="shared" ca="1" si="27"/>
        <v>0</v>
      </c>
      <c r="L376" s="23" t="str">
        <f t="shared" si="28"/>
        <v>Pagado</v>
      </c>
      <c r="M376" s="36">
        <f>SUMIFS(Tabla_Pagos[IMPORTE ABONADO],Tabla_Pagos[FECHA DE ABONO],"&gt;0",Tabla_Pagos[NRO DOC],B376)</f>
        <v>55001</v>
      </c>
      <c r="N376" s="36">
        <f t="shared" si="29"/>
        <v>0</v>
      </c>
      <c r="O376" s="22" cm="1">
        <f t="array" ref="O376">MAX(IF((Tabla_Pagos[NRO DOC]=B376)*(Tabla_Pagos[IMPORTE ABONADO]&gt;0),Tabla_Pagos[FECHA DE ABONO]))</f>
        <v>45827</v>
      </c>
    </row>
    <row r="377" spans="2:15" ht="21" customHeight="1" x14ac:dyDescent="0.25">
      <c r="B377" s="39">
        <v>1282</v>
      </c>
      <c r="C377" s="20">
        <v>45828</v>
      </c>
      <c r="D377" s="40" t="s">
        <v>63</v>
      </c>
      <c r="E377" s="37" t="str">
        <f>IFERROR(VLOOKUP(D377,CLIENTES!$B$12:$G$2602,2,FALSE),"")</f>
        <v>MULTISERVICIOS SANABRIA SPA</v>
      </c>
      <c r="F377" s="31">
        <v>71400</v>
      </c>
      <c r="G377" s="41" t="s">
        <v>101</v>
      </c>
      <c r="H377" s="26">
        <v>0</v>
      </c>
      <c r="I377" s="21" t="str">
        <f t="shared" si="25"/>
        <v>Contado</v>
      </c>
      <c r="J377" s="22">
        <f t="shared" si="26"/>
        <v>45828</v>
      </c>
      <c r="K377" s="27">
        <f t="shared" ca="1" si="27"/>
        <v>0</v>
      </c>
      <c r="L377" s="23" t="str">
        <f t="shared" si="28"/>
        <v>Pagado</v>
      </c>
      <c r="M377" s="36">
        <f>SUMIFS(Tabla_Pagos[IMPORTE ABONADO],Tabla_Pagos[FECHA DE ABONO],"&gt;0",Tabla_Pagos[NRO DOC],B377)</f>
        <v>71400</v>
      </c>
      <c r="N377" s="36">
        <f t="shared" si="29"/>
        <v>0</v>
      </c>
      <c r="O377" s="22" cm="1">
        <f t="array" ref="O377">MAX(IF((Tabla_Pagos[NRO DOC]=B377)*(Tabla_Pagos[IMPORTE ABONADO]&gt;0),Tabla_Pagos[FECHA DE ABONO]))</f>
        <v>45828</v>
      </c>
    </row>
    <row r="378" spans="2:15" ht="21" customHeight="1" x14ac:dyDescent="0.25">
      <c r="B378" s="39">
        <v>1283</v>
      </c>
      <c r="C378" s="20">
        <v>45828</v>
      </c>
      <c r="D378" s="40" t="s">
        <v>63</v>
      </c>
      <c r="E378" s="37" t="str">
        <f>IFERROR(VLOOKUP(D378,CLIENTES!$B$12:$G$2602,2,FALSE),"")</f>
        <v>MULTISERVICIOS SANABRIA SPA</v>
      </c>
      <c r="F378" s="31">
        <v>71400</v>
      </c>
      <c r="G378" s="41" t="s">
        <v>101</v>
      </c>
      <c r="H378" s="26">
        <v>0</v>
      </c>
      <c r="I378" s="21" t="str">
        <f t="shared" si="25"/>
        <v>Contado</v>
      </c>
      <c r="J378" s="22">
        <f t="shared" si="26"/>
        <v>45828</v>
      </c>
      <c r="K378" s="27">
        <f t="shared" ca="1" si="27"/>
        <v>0</v>
      </c>
      <c r="L378" s="23" t="str">
        <f t="shared" si="28"/>
        <v>Pagado</v>
      </c>
      <c r="M378" s="36">
        <f>SUMIFS(Tabla_Pagos[IMPORTE ABONADO],Tabla_Pagos[FECHA DE ABONO],"&gt;0",Tabla_Pagos[NRO DOC],B378)</f>
        <v>71400</v>
      </c>
      <c r="N378" s="36">
        <f t="shared" si="29"/>
        <v>0</v>
      </c>
      <c r="O378" s="22" cm="1">
        <f t="array" ref="O378">MAX(IF((Tabla_Pagos[NRO DOC]=B378)*(Tabla_Pagos[IMPORTE ABONADO]&gt;0),Tabla_Pagos[FECHA DE ABONO]))</f>
        <v>45828</v>
      </c>
    </row>
    <row r="379" spans="2:15" ht="21" customHeight="1" x14ac:dyDescent="0.25">
      <c r="B379" s="39">
        <v>1284</v>
      </c>
      <c r="C379" s="20">
        <v>45831</v>
      </c>
      <c r="D379" s="40" t="s">
        <v>350</v>
      </c>
      <c r="E379" s="37" t="str">
        <f>IFERROR(VLOOKUP(D379,CLIENTES!$B$12:$G$2602,2,FALSE),"")</f>
        <v>MINERA SAN FIERRO CHILE LIMITADA</v>
      </c>
      <c r="F379" s="31">
        <v>20000</v>
      </c>
      <c r="G379" s="41" t="s">
        <v>101</v>
      </c>
      <c r="H379" s="26">
        <v>0</v>
      </c>
      <c r="I379" s="21" t="str">
        <f t="shared" si="25"/>
        <v>Contado</v>
      </c>
      <c r="J379" s="22">
        <f t="shared" si="26"/>
        <v>45831</v>
      </c>
      <c r="K379" s="27">
        <f t="shared" ca="1" si="27"/>
        <v>0</v>
      </c>
      <c r="L379" s="23" t="str">
        <f t="shared" si="28"/>
        <v>Pagado</v>
      </c>
      <c r="M379" s="36">
        <f>SUMIFS(Tabla_Pagos[IMPORTE ABONADO],Tabla_Pagos[FECHA DE ABONO],"&gt;0",Tabla_Pagos[NRO DOC],B379)</f>
        <v>20000</v>
      </c>
      <c r="N379" s="36">
        <f t="shared" si="29"/>
        <v>0</v>
      </c>
      <c r="O379" s="22" cm="1">
        <f t="array" ref="O379">MAX(IF((Tabla_Pagos[NRO DOC]=B379)*(Tabla_Pagos[IMPORTE ABONADO]&gt;0),Tabla_Pagos[FECHA DE ABONO]))</f>
        <v>45831</v>
      </c>
    </row>
    <row r="380" spans="2:15" ht="21" customHeight="1" x14ac:dyDescent="0.25">
      <c r="B380" s="39">
        <v>1285</v>
      </c>
      <c r="C380" s="20">
        <v>45831</v>
      </c>
      <c r="D380" s="40" t="s">
        <v>350</v>
      </c>
      <c r="E380" s="37" t="str">
        <f>IFERROR(VLOOKUP(D380,CLIENTES!$B$12:$G$2602,2,FALSE),"")</f>
        <v>MINERA SAN FIERRO CHILE LIMITADA</v>
      </c>
      <c r="F380" s="31">
        <v>15000</v>
      </c>
      <c r="G380" s="41" t="s">
        <v>101</v>
      </c>
      <c r="H380" s="26">
        <v>0</v>
      </c>
      <c r="I380" s="21" t="str">
        <f t="shared" si="25"/>
        <v>Contado</v>
      </c>
      <c r="J380" s="22">
        <f t="shared" si="26"/>
        <v>45831</v>
      </c>
      <c r="K380" s="27">
        <f t="shared" ca="1" si="27"/>
        <v>0</v>
      </c>
      <c r="L380" s="23" t="str">
        <f t="shared" si="28"/>
        <v>Pagado</v>
      </c>
      <c r="M380" s="36">
        <f>SUMIFS(Tabla_Pagos[IMPORTE ABONADO],Tabla_Pagos[FECHA DE ABONO],"&gt;0",Tabla_Pagos[NRO DOC],B380)</f>
        <v>15000</v>
      </c>
      <c r="N380" s="36">
        <f t="shared" si="29"/>
        <v>0</v>
      </c>
      <c r="O380" s="22" cm="1">
        <f t="array" ref="O380">MAX(IF((Tabla_Pagos[NRO DOC]=B380)*(Tabla_Pagos[IMPORTE ABONADO]&gt;0),Tabla_Pagos[FECHA DE ABONO]))</f>
        <v>45831</v>
      </c>
    </row>
    <row r="381" spans="2:15" ht="21" customHeight="1" x14ac:dyDescent="0.25">
      <c r="B381" s="39">
        <v>1286</v>
      </c>
      <c r="C381" s="20">
        <v>45831</v>
      </c>
      <c r="D381" s="40" t="s">
        <v>105</v>
      </c>
      <c r="E381" s="37" t="str">
        <f>IFERROR(VLOOKUP(D381,CLIENTES!$B$12:$G$2602,2,FALSE),"")</f>
        <v>INGENIERIA C Y G LIMITADA</v>
      </c>
      <c r="F381" s="31">
        <v>243950</v>
      </c>
      <c r="G381" s="41" t="s">
        <v>101</v>
      </c>
      <c r="H381" s="26">
        <v>0</v>
      </c>
      <c r="I381" s="21" t="str">
        <f t="shared" si="25"/>
        <v>Contado</v>
      </c>
      <c r="J381" s="22">
        <f t="shared" si="26"/>
        <v>45831</v>
      </c>
      <c r="K381" s="27">
        <f t="shared" ca="1" si="27"/>
        <v>0</v>
      </c>
      <c r="L381" s="23" t="str">
        <f t="shared" si="28"/>
        <v>Pagado</v>
      </c>
      <c r="M381" s="36">
        <f>SUMIFS(Tabla_Pagos[IMPORTE ABONADO],Tabla_Pagos[FECHA DE ABONO],"&gt;0",Tabla_Pagos[NRO DOC],B381)</f>
        <v>243950</v>
      </c>
      <c r="N381" s="36">
        <f t="shared" si="29"/>
        <v>0</v>
      </c>
      <c r="O381" s="22" cm="1">
        <f t="array" ref="O381">MAX(IF((Tabla_Pagos[NRO DOC]=B381)*(Tabla_Pagos[IMPORTE ABONADO]&gt;0),Tabla_Pagos[FECHA DE ABONO]))</f>
        <v>45831</v>
      </c>
    </row>
    <row r="382" spans="2:15" ht="21" customHeight="1" x14ac:dyDescent="0.25">
      <c r="B382" s="39">
        <v>1287</v>
      </c>
      <c r="C382" s="20">
        <v>45831</v>
      </c>
      <c r="D382" s="40" t="s">
        <v>60</v>
      </c>
      <c r="E382" s="37" t="str">
        <f>IFERROR(VLOOKUP(D382,CLIENTES!$B$12:$G$2602,2,FALSE),"")</f>
        <v>CENTRO DE MANTENIMIENTO AUTOMOTRIZ Y MAQUINARIA SPA</v>
      </c>
      <c r="F382" s="31">
        <v>226100</v>
      </c>
      <c r="G382" s="41" t="s">
        <v>101</v>
      </c>
      <c r="H382" s="26">
        <v>30</v>
      </c>
      <c r="I382" s="21" t="str">
        <f t="shared" si="25"/>
        <v>Crédito</v>
      </c>
      <c r="J382" s="22">
        <f t="shared" si="26"/>
        <v>45861</v>
      </c>
      <c r="K382" s="27">
        <f t="shared" ca="1" si="27"/>
        <v>0</v>
      </c>
      <c r="L382" s="23" t="str">
        <f t="shared" si="28"/>
        <v>Pagado</v>
      </c>
      <c r="M382" s="36">
        <f>SUMIFS(Tabla_Pagos[IMPORTE ABONADO],Tabla_Pagos[FECHA DE ABONO],"&gt;0",Tabla_Pagos[NRO DOC],B382)</f>
        <v>226100</v>
      </c>
      <c r="N382" s="36">
        <f t="shared" si="29"/>
        <v>0</v>
      </c>
      <c r="O382" s="22" cm="1">
        <f t="array" ref="O382">MAX(IF((Tabla_Pagos[NRO DOC]=B382)*(Tabla_Pagos[IMPORTE ABONADO]&gt;0),Tabla_Pagos[FECHA DE ABONO]))</f>
        <v>45842</v>
      </c>
    </row>
    <row r="383" spans="2:15" ht="21" customHeight="1" x14ac:dyDescent="0.25">
      <c r="B383" s="39">
        <v>1289</v>
      </c>
      <c r="C383" s="20">
        <v>45831</v>
      </c>
      <c r="D383" s="40" t="s">
        <v>351</v>
      </c>
      <c r="E383" s="37" t="str">
        <f>IFERROR(VLOOKUP(D383,CLIENTES!$B$12:$G$2602,2,FALSE),"")</f>
        <v>TURBOMAQ SPA</v>
      </c>
      <c r="F383" s="31">
        <v>83300</v>
      </c>
      <c r="G383" s="41" t="s">
        <v>101</v>
      </c>
      <c r="H383" s="26">
        <v>0</v>
      </c>
      <c r="I383" s="21" t="str">
        <f t="shared" si="25"/>
        <v>Contado</v>
      </c>
      <c r="J383" s="22">
        <f t="shared" si="26"/>
        <v>45831</v>
      </c>
      <c r="K383" s="27">
        <f t="shared" ca="1" si="27"/>
        <v>0</v>
      </c>
      <c r="L383" s="23" t="str">
        <f t="shared" si="28"/>
        <v>Pagado</v>
      </c>
      <c r="M383" s="36">
        <f>SUMIFS(Tabla_Pagos[IMPORTE ABONADO],Tabla_Pagos[FECHA DE ABONO],"&gt;0",Tabla_Pagos[NRO DOC],B383)</f>
        <v>83300</v>
      </c>
      <c r="N383" s="36">
        <f t="shared" si="29"/>
        <v>0</v>
      </c>
      <c r="O383" s="22" cm="1">
        <f t="array" ref="O383">MAX(IF((Tabla_Pagos[NRO DOC]=B383)*(Tabla_Pagos[IMPORTE ABONADO]&gt;0),Tabla_Pagos[FECHA DE ABONO]))</f>
        <v>45831</v>
      </c>
    </row>
    <row r="384" spans="2:15" ht="21" customHeight="1" x14ac:dyDescent="0.25">
      <c r="B384" s="39">
        <v>1290</v>
      </c>
      <c r="C384" s="20">
        <v>45831</v>
      </c>
      <c r="D384" s="40" t="s">
        <v>37</v>
      </c>
      <c r="E384" s="37" t="str">
        <f>IFERROR(VLOOKUP(D384,CLIENTES!$B$12:$G$2602,2,FALSE),"")</f>
        <v>AILUV SPA</v>
      </c>
      <c r="F384" s="31">
        <v>83300</v>
      </c>
      <c r="G384" s="41" t="s">
        <v>101</v>
      </c>
      <c r="H384" s="26">
        <v>0</v>
      </c>
      <c r="I384" s="21" t="str">
        <f t="shared" si="25"/>
        <v>Contado</v>
      </c>
      <c r="J384" s="22">
        <f t="shared" si="26"/>
        <v>45831</v>
      </c>
      <c r="K384" s="27">
        <f t="shared" ca="1" si="27"/>
        <v>0</v>
      </c>
      <c r="L384" s="23" t="str">
        <f t="shared" si="28"/>
        <v>Pagado</v>
      </c>
      <c r="M384" s="36">
        <f>SUMIFS(Tabla_Pagos[IMPORTE ABONADO],Tabla_Pagos[FECHA DE ABONO],"&gt;0",Tabla_Pagos[NRO DOC],B384)</f>
        <v>83300</v>
      </c>
      <c r="N384" s="36">
        <f t="shared" si="29"/>
        <v>0</v>
      </c>
      <c r="O384" s="22" cm="1">
        <f t="array" ref="O384">MAX(IF((Tabla_Pagos[NRO DOC]=B384)*(Tabla_Pagos[IMPORTE ABONADO]&gt;0),Tabla_Pagos[FECHA DE ABONO]))</f>
        <v>45831</v>
      </c>
    </row>
    <row r="385" spans="2:15" ht="21" customHeight="1" x14ac:dyDescent="0.25">
      <c r="B385" s="39">
        <v>1291</v>
      </c>
      <c r="C385" s="20">
        <v>45831</v>
      </c>
      <c r="D385" s="40" t="s">
        <v>60</v>
      </c>
      <c r="E385" s="37" t="str">
        <f>IFERROR(VLOOKUP(D385,CLIENTES!$B$12:$G$2602,2,FALSE),"")</f>
        <v>CENTRO DE MANTENIMIENTO AUTOMOTRIZ Y MAQUINARIA SPA</v>
      </c>
      <c r="F385" s="31">
        <v>23800</v>
      </c>
      <c r="G385" s="41" t="s">
        <v>101</v>
      </c>
      <c r="H385" s="26">
        <v>0</v>
      </c>
      <c r="I385" s="21" t="str">
        <f t="shared" si="25"/>
        <v>Contado</v>
      </c>
      <c r="J385" s="22">
        <f t="shared" si="26"/>
        <v>45831</v>
      </c>
      <c r="K385" s="27">
        <f t="shared" ca="1" si="27"/>
        <v>0</v>
      </c>
      <c r="L385" s="23" t="str">
        <f t="shared" si="28"/>
        <v>Pagado</v>
      </c>
      <c r="M385" s="36">
        <f>SUMIFS(Tabla_Pagos[IMPORTE ABONADO],Tabla_Pagos[FECHA DE ABONO],"&gt;0",Tabla_Pagos[NRO DOC],B385)</f>
        <v>23800</v>
      </c>
      <c r="N385" s="36">
        <f t="shared" si="29"/>
        <v>0</v>
      </c>
      <c r="O385" s="22" cm="1">
        <f t="array" ref="O385">MAX(IF((Tabla_Pagos[NRO DOC]=B385)*(Tabla_Pagos[IMPORTE ABONADO]&gt;0),Tabla_Pagos[FECHA DE ABONO]))</f>
        <v>45831</v>
      </c>
    </row>
    <row r="386" spans="2:15" ht="21" customHeight="1" x14ac:dyDescent="0.25">
      <c r="B386" s="39">
        <v>1292</v>
      </c>
      <c r="C386" s="20">
        <v>45832</v>
      </c>
      <c r="D386" s="40" t="s">
        <v>325</v>
      </c>
      <c r="E386" s="37" t="str">
        <f>IFERROR(VLOOKUP(D386,CLIENTES!$B$12:$G$2602,2,FALSE),"")</f>
        <v>INVERSIONES VIALUM SPA</v>
      </c>
      <c r="F386" s="31">
        <v>26400</v>
      </c>
      <c r="G386" s="41" t="s">
        <v>101</v>
      </c>
      <c r="H386" s="26">
        <v>0</v>
      </c>
      <c r="I386" s="21" t="str">
        <f t="shared" si="25"/>
        <v>Contado</v>
      </c>
      <c r="J386" s="22">
        <f t="shared" si="26"/>
        <v>45832</v>
      </c>
      <c r="K386" s="27">
        <f t="shared" ca="1" si="27"/>
        <v>0</v>
      </c>
      <c r="L386" s="23" t="str">
        <f t="shared" si="28"/>
        <v>Pagado</v>
      </c>
      <c r="M386" s="36">
        <f>SUMIFS(Tabla_Pagos[IMPORTE ABONADO],Tabla_Pagos[FECHA DE ABONO],"&gt;0",Tabla_Pagos[NRO DOC],B386)</f>
        <v>26400</v>
      </c>
      <c r="N386" s="36">
        <f t="shared" si="29"/>
        <v>0</v>
      </c>
      <c r="O386" s="22" cm="1">
        <f t="array" ref="O386">MAX(IF((Tabla_Pagos[NRO DOC]=B386)*(Tabla_Pagos[IMPORTE ABONADO]&gt;0),Tabla_Pagos[FECHA DE ABONO]))</f>
        <v>45832</v>
      </c>
    </row>
    <row r="387" spans="2:15" ht="21" customHeight="1" x14ac:dyDescent="0.25">
      <c r="B387" s="39">
        <v>1293</v>
      </c>
      <c r="C387" s="20">
        <v>45832</v>
      </c>
      <c r="D387" s="40" t="s">
        <v>168</v>
      </c>
      <c r="E387" s="37" t="str">
        <f>IFERROR(VLOOKUP(D387,CLIENTES!$B$12:$G$2602,2,FALSE),"")</f>
        <v>CENTRO DE RECICLAJE DEL NORTE LIMITADA</v>
      </c>
      <c r="F387" s="31">
        <v>416500</v>
      </c>
      <c r="G387" s="41" t="s">
        <v>101</v>
      </c>
      <c r="H387" s="26">
        <v>0</v>
      </c>
      <c r="I387" s="21" t="str">
        <f t="shared" si="25"/>
        <v>Contado</v>
      </c>
      <c r="J387" s="22">
        <f t="shared" si="26"/>
        <v>45832</v>
      </c>
      <c r="K387" s="27">
        <f t="shared" ca="1" si="27"/>
        <v>0</v>
      </c>
      <c r="L387" s="23" t="str">
        <f t="shared" si="28"/>
        <v>Pagado</v>
      </c>
      <c r="M387" s="36">
        <f>SUMIFS(Tabla_Pagos[IMPORTE ABONADO],Tabla_Pagos[FECHA DE ABONO],"&gt;0",Tabla_Pagos[NRO DOC],B387)</f>
        <v>416500</v>
      </c>
      <c r="N387" s="36">
        <f t="shared" si="29"/>
        <v>0</v>
      </c>
      <c r="O387" s="22" cm="1">
        <f t="array" ref="O387">MAX(IF((Tabla_Pagos[NRO DOC]=B387)*(Tabla_Pagos[IMPORTE ABONADO]&gt;0),Tabla_Pagos[FECHA DE ABONO]))</f>
        <v>45832</v>
      </c>
    </row>
    <row r="388" spans="2:15" ht="21" customHeight="1" x14ac:dyDescent="0.25">
      <c r="B388" s="39">
        <v>1294</v>
      </c>
      <c r="C388" s="20">
        <v>45832</v>
      </c>
      <c r="D388" s="40" t="s">
        <v>352</v>
      </c>
      <c r="E388" s="37" t="str">
        <f>IFERROR(VLOOKUP(D388,CLIENTES!$B$12:$G$2602,2,FALSE),"")</f>
        <v>MAFA COMERCIAL SPA</v>
      </c>
      <c r="F388" s="31">
        <v>53550</v>
      </c>
      <c r="G388" s="41" t="s">
        <v>101</v>
      </c>
      <c r="H388" s="26">
        <v>0</v>
      </c>
      <c r="I388" s="21" t="str">
        <f t="shared" si="25"/>
        <v>Contado</v>
      </c>
      <c r="J388" s="22">
        <f t="shared" si="26"/>
        <v>45832</v>
      </c>
      <c r="K388" s="27">
        <f t="shared" ca="1" si="27"/>
        <v>0</v>
      </c>
      <c r="L388" s="23" t="str">
        <f t="shared" si="28"/>
        <v>Pagado</v>
      </c>
      <c r="M388" s="36">
        <f>SUMIFS(Tabla_Pagos[IMPORTE ABONADO],Tabla_Pagos[FECHA DE ABONO],"&gt;0",Tabla_Pagos[NRO DOC],B388)</f>
        <v>53550</v>
      </c>
      <c r="N388" s="36">
        <f t="shared" si="29"/>
        <v>0</v>
      </c>
      <c r="O388" s="22" cm="1">
        <f t="array" ref="O388">MAX(IF((Tabla_Pagos[NRO DOC]=B388)*(Tabla_Pagos[IMPORTE ABONADO]&gt;0),Tabla_Pagos[FECHA DE ABONO]))</f>
        <v>45832</v>
      </c>
    </row>
    <row r="389" spans="2:15" ht="21" customHeight="1" x14ac:dyDescent="0.25">
      <c r="B389" s="39">
        <v>1295</v>
      </c>
      <c r="C389" s="20">
        <v>45833</v>
      </c>
      <c r="D389" s="40" t="s">
        <v>172</v>
      </c>
      <c r="E389" s="37" t="str">
        <f>IFERROR(VLOOKUP(D389,CLIENTES!$B$12:$G$2602,2,FALSE),"")</f>
        <v>JP ELECTRONIC SOCIEDAD ANONIMA</v>
      </c>
      <c r="F389" s="31">
        <v>238000</v>
      </c>
      <c r="G389" s="41" t="s">
        <v>101</v>
      </c>
      <c r="H389" s="26">
        <v>0</v>
      </c>
      <c r="I389" s="21" t="str">
        <f t="shared" si="25"/>
        <v>Contado</v>
      </c>
      <c r="J389" s="22">
        <f t="shared" si="26"/>
        <v>45833</v>
      </c>
      <c r="K389" s="27">
        <f t="shared" ca="1" si="27"/>
        <v>0</v>
      </c>
      <c r="L389" s="23" t="str">
        <f t="shared" si="28"/>
        <v>Pagado</v>
      </c>
      <c r="M389" s="36">
        <f>SUMIFS(Tabla_Pagos[IMPORTE ABONADO],Tabla_Pagos[FECHA DE ABONO],"&gt;0",Tabla_Pagos[NRO DOC],B389)</f>
        <v>238000</v>
      </c>
      <c r="N389" s="36">
        <f t="shared" si="29"/>
        <v>0</v>
      </c>
      <c r="O389" s="22" cm="1">
        <f t="array" ref="O389">MAX(IF((Tabla_Pagos[NRO DOC]=B389)*(Tabla_Pagos[IMPORTE ABONADO]&gt;0),Tabla_Pagos[FECHA DE ABONO]))</f>
        <v>45833</v>
      </c>
    </row>
    <row r="390" spans="2:15" ht="21" customHeight="1" x14ac:dyDescent="0.25">
      <c r="B390" s="39">
        <v>1296</v>
      </c>
      <c r="C390" s="20">
        <v>45833</v>
      </c>
      <c r="D390" s="40" t="s">
        <v>353</v>
      </c>
      <c r="E390" s="37" t="str">
        <f>IFERROR(VLOOKUP(D390,CLIENTES!$B$12:$G$2602,2,FALSE),"")</f>
        <v>MAESTRANZA INDUSTRIAL MASIMAR  SPA</v>
      </c>
      <c r="F390" s="31">
        <v>47600</v>
      </c>
      <c r="G390" s="41" t="s">
        <v>101</v>
      </c>
      <c r="H390" s="26">
        <v>0</v>
      </c>
      <c r="I390" s="21" t="str">
        <f t="shared" si="25"/>
        <v>Contado</v>
      </c>
      <c r="J390" s="22">
        <f t="shared" si="26"/>
        <v>45833</v>
      </c>
      <c r="K390" s="27">
        <f t="shared" ca="1" si="27"/>
        <v>0</v>
      </c>
      <c r="L390" s="23" t="str">
        <f t="shared" si="28"/>
        <v>Pagado</v>
      </c>
      <c r="M390" s="36">
        <f>SUMIFS(Tabla_Pagos[IMPORTE ABONADO],Tabla_Pagos[FECHA DE ABONO],"&gt;0",Tabla_Pagos[NRO DOC],B390)</f>
        <v>47600</v>
      </c>
      <c r="N390" s="36">
        <f t="shared" si="29"/>
        <v>0</v>
      </c>
      <c r="O390" s="22" cm="1">
        <f t="array" ref="O390">MAX(IF((Tabla_Pagos[NRO DOC]=B390)*(Tabla_Pagos[IMPORTE ABONADO]&gt;0),Tabla_Pagos[FECHA DE ABONO]))</f>
        <v>45833</v>
      </c>
    </row>
    <row r="391" spans="2:15" ht="21" customHeight="1" x14ac:dyDescent="0.25">
      <c r="B391" s="39">
        <v>1297</v>
      </c>
      <c r="C391" s="20">
        <v>45833</v>
      </c>
      <c r="D391" s="40" t="s">
        <v>352</v>
      </c>
      <c r="E391" s="37" t="str">
        <f>IFERROR(VLOOKUP(D391,CLIENTES!$B$12:$G$2602,2,FALSE),"")</f>
        <v>MAFA COMERCIAL SPA</v>
      </c>
      <c r="F391" s="31">
        <v>12495</v>
      </c>
      <c r="G391" s="41" t="s">
        <v>101</v>
      </c>
      <c r="H391" s="26">
        <v>0</v>
      </c>
      <c r="I391" s="21" t="str">
        <f t="shared" si="25"/>
        <v>Contado</v>
      </c>
      <c r="J391" s="22">
        <f t="shared" si="26"/>
        <v>45833</v>
      </c>
      <c r="K391" s="27">
        <f t="shared" ca="1" si="27"/>
        <v>0</v>
      </c>
      <c r="L391" s="23" t="str">
        <f t="shared" si="28"/>
        <v>Pagado</v>
      </c>
      <c r="M391" s="36">
        <f>SUMIFS(Tabla_Pagos[IMPORTE ABONADO],Tabla_Pagos[FECHA DE ABONO],"&gt;0",Tabla_Pagos[NRO DOC],B391)</f>
        <v>12495</v>
      </c>
      <c r="N391" s="36">
        <f t="shared" si="29"/>
        <v>0</v>
      </c>
      <c r="O391" s="22" cm="1">
        <f t="array" ref="O391">MAX(IF((Tabla_Pagos[NRO DOC]=B391)*(Tabla_Pagos[IMPORTE ABONADO]&gt;0),Tabla_Pagos[FECHA DE ABONO]))</f>
        <v>45833</v>
      </c>
    </row>
    <row r="392" spans="2:15" ht="21" customHeight="1" x14ac:dyDescent="0.25">
      <c r="B392" s="39">
        <v>1298</v>
      </c>
      <c r="C392" s="20">
        <v>45833</v>
      </c>
      <c r="D392" s="40" t="s">
        <v>44</v>
      </c>
      <c r="E392" s="37" t="str">
        <f>IFERROR(VLOOKUP(D392,CLIENTES!$B$12:$G$2602,2,FALSE),"")</f>
        <v>SKC RED SPA</v>
      </c>
      <c r="F392" s="31">
        <v>499800</v>
      </c>
      <c r="G392" s="41" t="s">
        <v>101</v>
      </c>
      <c r="H392" s="26">
        <v>30</v>
      </c>
      <c r="I392" s="21" t="str">
        <f t="shared" si="25"/>
        <v>Crédito</v>
      </c>
      <c r="J392" s="22">
        <f t="shared" si="26"/>
        <v>45863</v>
      </c>
      <c r="K392" s="27">
        <f t="shared" ca="1" si="27"/>
        <v>0</v>
      </c>
      <c r="L392" s="23" t="str">
        <f t="shared" si="28"/>
        <v>Pagado</v>
      </c>
      <c r="M392" s="36">
        <f>SUMIFS(Tabla_Pagos[IMPORTE ABONADO],Tabla_Pagos[FECHA DE ABONO],"&gt;0",Tabla_Pagos[NRO DOC],B392)</f>
        <v>499800</v>
      </c>
      <c r="N392" s="36">
        <f t="shared" si="29"/>
        <v>0</v>
      </c>
      <c r="O392" s="22" cm="1">
        <f t="array" ref="O392">MAX(IF((Tabla_Pagos[NRO DOC]=B392)*(Tabla_Pagos[IMPORTE ABONADO]&gt;0),Tabla_Pagos[FECHA DE ABONO]))</f>
        <v>45863</v>
      </c>
    </row>
    <row r="393" spans="2:15" ht="21" customHeight="1" x14ac:dyDescent="0.25">
      <c r="B393" s="39">
        <v>1299</v>
      </c>
      <c r="C393" s="20">
        <v>45833</v>
      </c>
      <c r="D393" s="40" t="s">
        <v>44</v>
      </c>
      <c r="E393" s="37" t="str">
        <f>IFERROR(VLOOKUP(D393,CLIENTES!$B$12:$G$2602,2,FALSE),"")</f>
        <v>SKC RED SPA</v>
      </c>
      <c r="F393" s="31">
        <v>17850</v>
      </c>
      <c r="G393" s="41" t="s">
        <v>101</v>
      </c>
      <c r="H393" s="26">
        <v>30</v>
      </c>
      <c r="I393" s="21" t="str">
        <f t="shared" si="25"/>
        <v>Crédito</v>
      </c>
      <c r="J393" s="22">
        <f t="shared" si="26"/>
        <v>45863</v>
      </c>
      <c r="K393" s="27">
        <f t="shared" ca="1" si="27"/>
        <v>0</v>
      </c>
      <c r="L393" s="23" t="str">
        <f t="shared" si="28"/>
        <v>Pagado</v>
      </c>
      <c r="M393" s="36">
        <f>SUMIFS(Tabla_Pagos[IMPORTE ABONADO],Tabla_Pagos[FECHA DE ABONO],"&gt;0",Tabla_Pagos[NRO DOC],B393)</f>
        <v>17850</v>
      </c>
      <c r="N393" s="36">
        <f t="shared" si="29"/>
        <v>0</v>
      </c>
      <c r="O393" s="22" cm="1">
        <f t="array" ref="O393">MAX(IF((Tabla_Pagos[NRO DOC]=B393)*(Tabla_Pagos[IMPORTE ABONADO]&gt;0),Tabla_Pagos[FECHA DE ABONO]))</f>
        <v>45863</v>
      </c>
    </row>
    <row r="394" spans="2:15" ht="21" customHeight="1" x14ac:dyDescent="0.25">
      <c r="B394" s="39">
        <v>1300</v>
      </c>
      <c r="C394" s="20">
        <v>45833</v>
      </c>
      <c r="D394" s="40" t="s">
        <v>354</v>
      </c>
      <c r="E394" s="37" t="str">
        <f>IFERROR(VLOOKUP(D394,CLIENTES!$B$12:$G$2602,2,FALSE),"")</f>
        <v>J2 PUBLICIDAD SPA</v>
      </c>
      <c r="F394" s="31">
        <v>226100</v>
      </c>
      <c r="G394" s="41" t="s">
        <v>101</v>
      </c>
      <c r="H394" s="26">
        <v>30</v>
      </c>
      <c r="I394" s="21" t="str">
        <f t="shared" si="25"/>
        <v>Crédito</v>
      </c>
      <c r="J394" s="22">
        <f t="shared" si="26"/>
        <v>45863</v>
      </c>
      <c r="K394" s="27">
        <f t="shared" ca="1" si="27"/>
        <v>0</v>
      </c>
      <c r="L394" s="23" t="str">
        <f t="shared" si="28"/>
        <v>Pagado</v>
      </c>
      <c r="M394" s="36">
        <f>SUMIFS(Tabla_Pagos[IMPORTE ABONADO],Tabla_Pagos[FECHA DE ABONO],"&gt;0",Tabla_Pagos[NRO DOC],B394)</f>
        <v>226100</v>
      </c>
      <c r="N394" s="36">
        <f t="shared" si="29"/>
        <v>0</v>
      </c>
      <c r="O394" s="22" cm="1">
        <f t="array" ref="O394">MAX(IF((Tabla_Pagos[NRO DOC]=B394)*(Tabla_Pagos[IMPORTE ABONADO]&gt;0),Tabla_Pagos[FECHA DE ABONO]))</f>
        <v>45833</v>
      </c>
    </row>
    <row r="395" spans="2:15" ht="21" customHeight="1" x14ac:dyDescent="0.25">
      <c r="B395" s="39">
        <v>1301</v>
      </c>
      <c r="C395" s="20">
        <v>45833</v>
      </c>
      <c r="D395" s="40" t="s">
        <v>60</v>
      </c>
      <c r="E395" s="37" t="str">
        <f>IFERROR(VLOOKUP(D395,CLIENTES!$B$12:$G$2602,2,FALSE),"")</f>
        <v>CENTRO DE MANTENIMIENTO AUTOMOTRIZ Y MAQUINARIA SPA</v>
      </c>
      <c r="F395" s="31">
        <v>226100</v>
      </c>
      <c r="G395" s="41" t="s">
        <v>101</v>
      </c>
      <c r="H395" s="26">
        <v>30</v>
      </c>
      <c r="I395" s="21" t="str">
        <f t="shared" si="25"/>
        <v>Crédito</v>
      </c>
      <c r="J395" s="22">
        <f t="shared" si="26"/>
        <v>45863</v>
      </c>
      <c r="K395" s="27">
        <f t="shared" ca="1" si="27"/>
        <v>0</v>
      </c>
      <c r="L395" s="23" t="str">
        <f t="shared" si="28"/>
        <v>Pagado</v>
      </c>
      <c r="M395" s="36">
        <f>SUMIFS(Tabla_Pagos[IMPORTE ABONADO],Tabla_Pagos[FECHA DE ABONO],"&gt;0",Tabla_Pagos[NRO DOC],B395)</f>
        <v>226100</v>
      </c>
      <c r="N395" s="36">
        <f t="shared" si="29"/>
        <v>0</v>
      </c>
      <c r="O395" s="22" cm="1">
        <f t="array" ref="O395">MAX(IF((Tabla_Pagos[NRO DOC]=B395)*(Tabla_Pagos[IMPORTE ABONADO]&gt;0),Tabla_Pagos[FECHA DE ABONO]))</f>
        <v>45842</v>
      </c>
    </row>
    <row r="396" spans="2:15" ht="21" customHeight="1" x14ac:dyDescent="0.25">
      <c r="B396" s="39">
        <v>1302</v>
      </c>
      <c r="C396" s="20">
        <v>45835</v>
      </c>
      <c r="D396" s="40" t="s">
        <v>40</v>
      </c>
      <c r="E396" s="37" t="str">
        <f>IFERROR(VLOOKUP(D396,CLIENTES!$B$12:$G$2602,2,FALSE),"")</f>
        <v>INGENIERIA Y SERVICIOS TERRACOP SPA</v>
      </c>
      <c r="F396" s="31">
        <v>208250</v>
      </c>
      <c r="G396" s="41" t="s">
        <v>101</v>
      </c>
      <c r="H396" s="26">
        <v>0</v>
      </c>
      <c r="I396" s="21" t="str">
        <f t="shared" ref="I396:I459" si="30">IF(H396="","",IF(H396=0,"Contado","Crédito"))</f>
        <v>Contado</v>
      </c>
      <c r="J396" s="22">
        <f t="shared" ref="J396:J459" si="31">IF(I396="","",C396+H396)</f>
        <v>45835</v>
      </c>
      <c r="K396" s="27">
        <f t="shared" ref="K396:K459" ca="1" si="32">IFERROR(IF(B396="","",IF(N396=0,0,J396-TODAY())),"")</f>
        <v>0</v>
      </c>
      <c r="L396" s="23" t="str">
        <f t="shared" ref="L396:L459" si="33">IF(I396="","",IF(N396=0,"Pagado",IF(K396&lt;0,"Vencido","No vencido")))</f>
        <v>Pagado</v>
      </c>
      <c r="M396" s="36">
        <f>SUMIFS(Tabla_Pagos[IMPORTE ABONADO],Tabla_Pagos[FECHA DE ABONO],"&gt;0",Tabla_Pagos[NRO DOC],B396)</f>
        <v>208250</v>
      </c>
      <c r="N396" s="36">
        <f t="shared" ref="N396:N459" si="34">F396-M396</f>
        <v>0</v>
      </c>
      <c r="O396" s="22" cm="1">
        <f t="array" ref="O396">MAX(IF((Tabla_Pagos[NRO DOC]=B396)*(Tabla_Pagos[IMPORTE ABONADO]&gt;0),Tabla_Pagos[FECHA DE ABONO]))</f>
        <v>45835</v>
      </c>
    </row>
    <row r="397" spans="2:15" ht="21" customHeight="1" x14ac:dyDescent="0.25">
      <c r="B397" s="39">
        <v>1303</v>
      </c>
      <c r="C397" s="20">
        <v>45836</v>
      </c>
      <c r="D397" s="40" t="s">
        <v>254</v>
      </c>
      <c r="E397" s="37" t="str">
        <f>IFERROR(VLOOKUP(D397,CLIENTES!$B$12:$G$2602,2,FALSE),"")</f>
        <v>KRADE SPA</v>
      </c>
      <c r="F397" s="31">
        <v>392700</v>
      </c>
      <c r="G397" s="41" t="s">
        <v>101</v>
      </c>
      <c r="H397" s="26">
        <v>0</v>
      </c>
      <c r="I397" s="21" t="str">
        <f t="shared" si="30"/>
        <v>Contado</v>
      </c>
      <c r="J397" s="22">
        <f t="shared" si="31"/>
        <v>45836</v>
      </c>
      <c r="K397" s="27">
        <f t="shared" ca="1" si="32"/>
        <v>0</v>
      </c>
      <c r="L397" s="23" t="str">
        <f t="shared" si="33"/>
        <v>Pagado</v>
      </c>
      <c r="M397" s="36">
        <f>SUMIFS(Tabla_Pagos[IMPORTE ABONADO],Tabla_Pagos[FECHA DE ABONO],"&gt;0",Tabla_Pagos[NRO DOC],B397)</f>
        <v>392700</v>
      </c>
      <c r="N397" s="36">
        <f t="shared" si="34"/>
        <v>0</v>
      </c>
      <c r="O397" s="22" cm="1">
        <f t="array" ref="O397">MAX(IF((Tabla_Pagos[NRO DOC]=B397)*(Tabla_Pagos[IMPORTE ABONADO]&gt;0),Tabla_Pagos[FECHA DE ABONO]))</f>
        <v>45836</v>
      </c>
    </row>
    <row r="398" spans="2:15" ht="21" customHeight="1" x14ac:dyDescent="0.25">
      <c r="B398" s="39">
        <v>1304</v>
      </c>
      <c r="C398" s="20">
        <v>45836</v>
      </c>
      <c r="D398" s="40" t="s">
        <v>254</v>
      </c>
      <c r="E398" s="37" t="str">
        <f>IFERROR(VLOOKUP(D398,CLIENTES!$B$12:$G$2602,2,FALSE),"")</f>
        <v>KRADE SPA</v>
      </c>
      <c r="F398" s="31">
        <v>142800</v>
      </c>
      <c r="G398" s="41" t="s">
        <v>101</v>
      </c>
      <c r="H398" s="26">
        <v>0</v>
      </c>
      <c r="I398" s="21" t="str">
        <f t="shared" si="30"/>
        <v>Contado</v>
      </c>
      <c r="J398" s="22">
        <f t="shared" si="31"/>
        <v>45836</v>
      </c>
      <c r="K398" s="27">
        <f t="shared" ca="1" si="32"/>
        <v>0</v>
      </c>
      <c r="L398" s="23" t="str">
        <f t="shared" si="33"/>
        <v>Pagado</v>
      </c>
      <c r="M398" s="36">
        <f>SUMIFS(Tabla_Pagos[IMPORTE ABONADO],Tabla_Pagos[FECHA DE ABONO],"&gt;0",Tabla_Pagos[NRO DOC],B398)</f>
        <v>142800</v>
      </c>
      <c r="N398" s="36">
        <f t="shared" si="34"/>
        <v>0</v>
      </c>
      <c r="O398" s="22" cm="1">
        <f t="array" ref="O398">MAX(IF((Tabla_Pagos[NRO DOC]=B398)*(Tabla_Pagos[IMPORTE ABONADO]&gt;0),Tabla_Pagos[FECHA DE ABONO]))</f>
        <v>45836</v>
      </c>
    </row>
    <row r="399" spans="2:15" ht="21" customHeight="1" x14ac:dyDescent="0.25">
      <c r="B399" s="39">
        <v>1305</v>
      </c>
      <c r="C399" s="20">
        <v>45838</v>
      </c>
      <c r="D399" s="40" t="s">
        <v>355</v>
      </c>
      <c r="E399" s="37" t="str">
        <f>IFERROR(VLOOKUP(D399,CLIENTES!$B$12:$G$2602,2,FALSE),"")</f>
        <v>TRANSPORTES NORTE TRUCKS SPA</v>
      </c>
      <c r="F399" s="31">
        <v>35700</v>
      </c>
      <c r="G399" s="41" t="s">
        <v>101</v>
      </c>
      <c r="H399" s="26">
        <v>0</v>
      </c>
      <c r="I399" s="21" t="str">
        <f t="shared" si="30"/>
        <v>Contado</v>
      </c>
      <c r="J399" s="22">
        <f t="shared" si="31"/>
        <v>45838</v>
      </c>
      <c r="K399" s="27">
        <f t="shared" ca="1" si="32"/>
        <v>0</v>
      </c>
      <c r="L399" s="23" t="str">
        <f t="shared" si="33"/>
        <v>Pagado</v>
      </c>
      <c r="M399" s="36">
        <f>SUMIFS(Tabla_Pagos[IMPORTE ABONADO],Tabla_Pagos[FECHA DE ABONO],"&gt;0",Tabla_Pagos[NRO DOC],B399)</f>
        <v>35700</v>
      </c>
      <c r="N399" s="36">
        <f t="shared" si="34"/>
        <v>0</v>
      </c>
      <c r="O399" s="22" cm="1">
        <f t="array" ref="O399">MAX(IF((Tabla_Pagos[NRO DOC]=B399)*(Tabla_Pagos[IMPORTE ABONADO]&gt;0),Tabla_Pagos[FECHA DE ABONO]))</f>
        <v>45838</v>
      </c>
    </row>
    <row r="400" spans="2:15" ht="21" customHeight="1" x14ac:dyDescent="0.25">
      <c r="B400" s="39">
        <v>1306</v>
      </c>
      <c r="C400" s="20">
        <v>45838</v>
      </c>
      <c r="D400" s="40" t="s">
        <v>164</v>
      </c>
      <c r="E400" s="37" t="str">
        <f>IFERROR(VLOOKUP(D400,CLIENTES!$B$12:$G$2602,2,FALSE),"")</f>
        <v>JSTEC SPA</v>
      </c>
      <c r="F400" s="31">
        <v>785400</v>
      </c>
      <c r="G400" s="41" t="s">
        <v>134</v>
      </c>
      <c r="H400" s="26">
        <v>30</v>
      </c>
      <c r="I400" s="21" t="str">
        <f t="shared" si="30"/>
        <v>Crédito</v>
      </c>
      <c r="J400" s="22">
        <f t="shared" si="31"/>
        <v>45868</v>
      </c>
      <c r="K400" s="27">
        <f t="shared" ca="1" si="32"/>
        <v>0</v>
      </c>
      <c r="L400" s="23" t="str">
        <f t="shared" si="33"/>
        <v>Pagado</v>
      </c>
      <c r="M400" s="36">
        <f>SUMIFS(Tabla_Pagos[IMPORTE ABONADO],Tabla_Pagos[FECHA DE ABONO],"&gt;0",Tabla_Pagos[NRO DOC],B400)</f>
        <v>785400</v>
      </c>
      <c r="N400" s="36">
        <f t="shared" si="34"/>
        <v>0</v>
      </c>
      <c r="O400" s="22" cm="1">
        <f t="array" ref="O400">MAX(IF((Tabla_Pagos[NRO DOC]=B400)*(Tabla_Pagos[IMPORTE ABONADO]&gt;0),Tabla_Pagos[FECHA DE ABONO]))</f>
        <v>45842</v>
      </c>
    </row>
    <row r="401" spans="2:15" ht="21" customHeight="1" x14ac:dyDescent="0.25">
      <c r="B401" s="39">
        <v>1307</v>
      </c>
      <c r="C401" s="20">
        <v>45838</v>
      </c>
      <c r="D401" s="40" t="s">
        <v>354</v>
      </c>
      <c r="E401" s="37" t="str">
        <f>IFERROR(VLOOKUP(D401,CLIENTES!$B$12:$G$2602,2,FALSE),"")</f>
        <v>J2 PUBLICIDAD SPA</v>
      </c>
      <c r="F401" s="31">
        <v>648193</v>
      </c>
      <c r="G401" s="41" t="s">
        <v>101</v>
      </c>
      <c r="H401" s="26">
        <v>0</v>
      </c>
      <c r="I401" s="21" t="str">
        <f t="shared" si="30"/>
        <v>Contado</v>
      </c>
      <c r="J401" s="22">
        <f t="shared" si="31"/>
        <v>45838</v>
      </c>
      <c r="K401" s="27">
        <f t="shared" ca="1" si="32"/>
        <v>0</v>
      </c>
      <c r="L401" s="23" t="str">
        <f t="shared" si="33"/>
        <v>Pagado</v>
      </c>
      <c r="M401" s="36">
        <f>SUMIFS(Tabla_Pagos[IMPORTE ABONADO],Tabla_Pagos[FECHA DE ABONO],"&gt;0",Tabla_Pagos[NRO DOC],B401)</f>
        <v>648193</v>
      </c>
      <c r="N401" s="36">
        <f t="shared" si="34"/>
        <v>0</v>
      </c>
      <c r="O401" s="22" cm="1">
        <f t="array" ref="O401">MAX(IF((Tabla_Pagos[NRO DOC]=B401)*(Tabla_Pagos[IMPORTE ABONADO]&gt;0),Tabla_Pagos[FECHA DE ABONO]))</f>
        <v>45838</v>
      </c>
    </row>
    <row r="402" spans="2:15" ht="21" customHeight="1" x14ac:dyDescent="0.25">
      <c r="B402" s="39">
        <v>1308</v>
      </c>
      <c r="C402" s="20">
        <v>45838</v>
      </c>
      <c r="D402" s="40" t="s">
        <v>170</v>
      </c>
      <c r="E402" s="37" t="str">
        <f>IFERROR(VLOOKUP(D402,CLIENTES!$B$12:$G$2602,2,FALSE),"")</f>
        <v>RAMON ANGEL RIQUELME OLIVARES</v>
      </c>
      <c r="F402" s="31">
        <v>648193</v>
      </c>
      <c r="G402" s="41" t="s">
        <v>101</v>
      </c>
      <c r="H402" s="26">
        <v>0</v>
      </c>
      <c r="I402" s="21" t="str">
        <f t="shared" si="30"/>
        <v>Contado</v>
      </c>
      <c r="J402" s="22">
        <f t="shared" si="31"/>
        <v>45838</v>
      </c>
      <c r="K402" s="27">
        <f t="shared" ca="1" si="32"/>
        <v>0</v>
      </c>
      <c r="L402" s="23" t="str">
        <f t="shared" si="33"/>
        <v>Pagado</v>
      </c>
      <c r="M402" s="36">
        <f>SUMIFS(Tabla_Pagos[IMPORTE ABONADO],Tabla_Pagos[FECHA DE ABONO],"&gt;0",Tabla_Pagos[NRO DOC],B402)</f>
        <v>648193</v>
      </c>
      <c r="N402" s="36">
        <f t="shared" si="34"/>
        <v>0</v>
      </c>
      <c r="O402" s="22" cm="1">
        <f t="array" ref="O402">MAX(IF((Tabla_Pagos[NRO DOC]=B402)*(Tabla_Pagos[IMPORTE ABONADO]&gt;0),Tabla_Pagos[FECHA DE ABONO]))</f>
        <v>45838</v>
      </c>
    </row>
    <row r="403" spans="2:15" ht="21" customHeight="1" x14ac:dyDescent="0.25">
      <c r="B403" s="39">
        <v>1309</v>
      </c>
      <c r="C403" s="20">
        <v>45838</v>
      </c>
      <c r="D403" s="40" t="s">
        <v>356</v>
      </c>
      <c r="E403" s="37" t="str">
        <f>IFERROR(VLOOKUP(D403,CLIENTES!$B$12:$G$2602,2,FALSE),"")</f>
        <v>DEFENSA Y JUSTICIA ASESORÃAS JURÃDICAS LIMITADA</v>
      </c>
      <c r="F403" s="31">
        <v>60000</v>
      </c>
      <c r="G403" s="41" t="s">
        <v>101</v>
      </c>
      <c r="H403" s="26">
        <v>0</v>
      </c>
      <c r="I403" s="21" t="str">
        <f t="shared" si="30"/>
        <v>Contado</v>
      </c>
      <c r="J403" s="22">
        <f t="shared" si="31"/>
        <v>45838</v>
      </c>
      <c r="K403" s="27">
        <f t="shared" ca="1" si="32"/>
        <v>0</v>
      </c>
      <c r="L403" s="23" t="str">
        <f t="shared" si="33"/>
        <v>Pagado</v>
      </c>
      <c r="M403" s="36">
        <f>SUMIFS(Tabla_Pagos[IMPORTE ABONADO],Tabla_Pagos[FECHA DE ABONO],"&gt;0",Tabla_Pagos[NRO DOC],B403)</f>
        <v>60000</v>
      </c>
      <c r="N403" s="36">
        <f t="shared" si="34"/>
        <v>0</v>
      </c>
      <c r="O403" s="22" cm="1">
        <f t="array" ref="O403">MAX(IF((Tabla_Pagos[NRO DOC]=B403)*(Tabla_Pagos[IMPORTE ABONADO]&gt;0),Tabla_Pagos[FECHA DE ABONO]))</f>
        <v>45838</v>
      </c>
    </row>
    <row r="404" spans="2:15" ht="21" customHeight="1" x14ac:dyDescent="0.25">
      <c r="B404" s="39">
        <v>1310</v>
      </c>
      <c r="C404" s="20">
        <v>45838</v>
      </c>
      <c r="D404" s="40" t="s">
        <v>357</v>
      </c>
      <c r="E404" s="37" t="str">
        <f>IFERROR(VLOOKUP(D404,CLIENTES!$B$12:$G$2602,2,FALSE),"")</f>
        <v>MONTAJES LAM SPA</v>
      </c>
      <c r="F404" s="31">
        <v>107100</v>
      </c>
      <c r="G404" s="41" t="s">
        <v>101</v>
      </c>
      <c r="H404" s="26">
        <v>0</v>
      </c>
      <c r="I404" s="21" t="str">
        <f t="shared" si="30"/>
        <v>Contado</v>
      </c>
      <c r="J404" s="22">
        <f t="shared" si="31"/>
        <v>45838</v>
      </c>
      <c r="K404" s="27">
        <f t="shared" ca="1" si="32"/>
        <v>0</v>
      </c>
      <c r="L404" s="23" t="str">
        <f t="shared" si="33"/>
        <v>Pagado</v>
      </c>
      <c r="M404" s="36">
        <f>SUMIFS(Tabla_Pagos[IMPORTE ABONADO],Tabla_Pagos[FECHA DE ABONO],"&gt;0",Tabla_Pagos[NRO DOC],B404)</f>
        <v>107100</v>
      </c>
      <c r="N404" s="36">
        <f t="shared" si="34"/>
        <v>0</v>
      </c>
      <c r="O404" s="22" cm="1">
        <f t="array" ref="O404">MAX(IF((Tabla_Pagos[NRO DOC]=B404)*(Tabla_Pagos[IMPORTE ABONADO]&gt;0),Tabla_Pagos[FECHA DE ABONO]))</f>
        <v>45838</v>
      </c>
    </row>
    <row r="405" spans="2:15" ht="21" customHeight="1" x14ac:dyDescent="0.25">
      <c r="B405" s="39">
        <v>1311</v>
      </c>
      <c r="C405" s="20">
        <v>45839</v>
      </c>
      <c r="D405" s="40" t="s">
        <v>160</v>
      </c>
      <c r="E405" s="37" t="str">
        <f>IFERROR(VLOOKUP(D405,CLIENTES!$B$12:$G$2602,2,FALSE),"")</f>
        <v>AGRICOLA MILLAHUE LTDA</v>
      </c>
      <c r="F405" s="31">
        <v>20000</v>
      </c>
      <c r="G405" s="41" t="s">
        <v>101</v>
      </c>
      <c r="H405" s="26">
        <v>0</v>
      </c>
      <c r="I405" s="21" t="str">
        <f t="shared" si="30"/>
        <v>Contado</v>
      </c>
      <c r="J405" s="22">
        <f t="shared" si="31"/>
        <v>45839</v>
      </c>
      <c r="K405" s="27">
        <f t="shared" ca="1" si="32"/>
        <v>0</v>
      </c>
      <c r="L405" s="23" t="str">
        <f t="shared" si="33"/>
        <v>Pagado</v>
      </c>
      <c r="M405" s="36">
        <f>SUMIFS(Tabla_Pagos[IMPORTE ABONADO],Tabla_Pagos[FECHA DE ABONO],"&gt;0",Tabla_Pagos[NRO DOC],B405)</f>
        <v>20000</v>
      </c>
      <c r="N405" s="36">
        <f t="shared" si="34"/>
        <v>0</v>
      </c>
      <c r="O405" s="22" cm="1">
        <f t="array" ref="O405">MAX(IF((Tabla_Pagos[NRO DOC]=B405)*(Tabla_Pagos[IMPORTE ABONADO]&gt;0),Tabla_Pagos[FECHA DE ABONO]))</f>
        <v>45839</v>
      </c>
    </row>
    <row r="406" spans="2:15" ht="21" customHeight="1" x14ac:dyDescent="0.25">
      <c r="B406" s="39">
        <v>1312</v>
      </c>
      <c r="C406" s="20">
        <v>45839</v>
      </c>
      <c r="D406" s="40" t="s">
        <v>368</v>
      </c>
      <c r="E406" s="37" t="str">
        <f>IFERROR(VLOOKUP(D406,CLIENTES!$B$12:$G$2602,2,FALSE),"")</f>
        <v>SIDESA CHILE S.A.</v>
      </c>
      <c r="F406" s="31">
        <v>315350</v>
      </c>
      <c r="G406" s="41" t="s">
        <v>394</v>
      </c>
      <c r="H406" s="26">
        <v>30</v>
      </c>
      <c r="I406" s="21" t="str">
        <f t="shared" si="30"/>
        <v>Crédito</v>
      </c>
      <c r="J406" s="22">
        <f t="shared" si="31"/>
        <v>45869</v>
      </c>
      <c r="K406" s="27">
        <f t="shared" ca="1" si="32"/>
        <v>0</v>
      </c>
      <c r="L406" s="23" t="str">
        <f t="shared" si="33"/>
        <v>Pagado</v>
      </c>
      <c r="M406" s="36">
        <f>SUMIFS(Tabla_Pagos[IMPORTE ABONADO],Tabla_Pagos[FECHA DE ABONO],"&gt;0",Tabla_Pagos[NRO DOC],B406)</f>
        <v>315350</v>
      </c>
      <c r="N406" s="36">
        <f t="shared" si="34"/>
        <v>0</v>
      </c>
      <c r="O406" s="22" cm="1">
        <f t="array" ref="O406">MAX(IF((Tabla_Pagos[NRO DOC]=B406)*(Tabla_Pagos[IMPORTE ABONADO]&gt;0),Tabla_Pagos[FECHA DE ABONO]))</f>
        <v>45870</v>
      </c>
    </row>
    <row r="407" spans="2:15" ht="21" customHeight="1" x14ac:dyDescent="0.25">
      <c r="B407" s="39">
        <v>1313</v>
      </c>
      <c r="C407" s="20">
        <v>45839</v>
      </c>
      <c r="D407" s="40" t="s">
        <v>47</v>
      </c>
      <c r="E407" s="37" t="str">
        <f>IFERROR(VLOOKUP(D407,CLIENTES!$B$12:$G$2602,2,FALSE),"")</f>
        <v>PATAGONIA SERVICIOS SPA</v>
      </c>
      <c r="F407" s="31">
        <v>3153500</v>
      </c>
      <c r="G407" s="41" t="s">
        <v>134</v>
      </c>
      <c r="H407" s="26">
        <v>30</v>
      </c>
      <c r="I407" s="21" t="str">
        <f t="shared" si="30"/>
        <v>Crédito</v>
      </c>
      <c r="J407" s="22">
        <f t="shared" si="31"/>
        <v>45869</v>
      </c>
      <c r="K407" s="27">
        <f t="shared" ca="1" si="32"/>
        <v>0</v>
      </c>
      <c r="L407" s="23" t="str">
        <f t="shared" si="33"/>
        <v>Pagado</v>
      </c>
      <c r="M407" s="36">
        <f>SUMIFS(Tabla_Pagos[IMPORTE ABONADO],Tabla_Pagos[FECHA DE ABONO],"&gt;0",Tabla_Pagos[NRO DOC],B407)</f>
        <v>3153500</v>
      </c>
      <c r="N407" s="36">
        <f t="shared" si="34"/>
        <v>0</v>
      </c>
      <c r="O407" s="22" cm="1">
        <f t="array" ref="O407">MAX(IF((Tabla_Pagos[NRO DOC]=B407)*(Tabla_Pagos[IMPORTE ABONADO]&gt;0),Tabla_Pagos[FECHA DE ABONO]))</f>
        <v>45890</v>
      </c>
    </row>
    <row r="408" spans="2:15" ht="21" customHeight="1" x14ac:dyDescent="0.25">
      <c r="B408" s="39">
        <v>1314</v>
      </c>
      <c r="C408" s="20">
        <v>45839</v>
      </c>
      <c r="D408" s="40" t="s">
        <v>47</v>
      </c>
      <c r="E408" s="37" t="str">
        <f>IFERROR(VLOOKUP(D408,CLIENTES!$B$12:$G$2602,2,FALSE),"")</f>
        <v>PATAGONIA SERVICIOS SPA</v>
      </c>
      <c r="F408" s="31">
        <v>3153500</v>
      </c>
      <c r="G408" s="41" t="s">
        <v>134</v>
      </c>
      <c r="H408" s="26">
        <v>30</v>
      </c>
      <c r="I408" s="21" t="str">
        <f t="shared" si="30"/>
        <v>Crédito</v>
      </c>
      <c r="J408" s="22">
        <f t="shared" si="31"/>
        <v>45869</v>
      </c>
      <c r="K408" s="27">
        <f t="shared" ca="1" si="32"/>
        <v>0</v>
      </c>
      <c r="L408" s="23" t="str">
        <f t="shared" si="33"/>
        <v>Pagado</v>
      </c>
      <c r="M408" s="36">
        <f>SUMIFS(Tabla_Pagos[IMPORTE ABONADO],Tabla_Pagos[FECHA DE ABONO],"&gt;0",Tabla_Pagos[NRO DOC],B408)</f>
        <v>3153500</v>
      </c>
      <c r="N408" s="36">
        <f t="shared" si="34"/>
        <v>0</v>
      </c>
      <c r="O408" s="22" cm="1">
        <f t="array" ref="O408">MAX(IF((Tabla_Pagos[NRO DOC]=B408)*(Tabla_Pagos[IMPORTE ABONADO]&gt;0),Tabla_Pagos[FECHA DE ABONO]))</f>
        <v>45890</v>
      </c>
    </row>
    <row r="409" spans="2:15" ht="21" customHeight="1" x14ac:dyDescent="0.25">
      <c r="B409" s="39">
        <v>1315</v>
      </c>
      <c r="C409" s="20">
        <v>45839</v>
      </c>
      <c r="D409" s="40" t="s">
        <v>47</v>
      </c>
      <c r="E409" s="37" t="str">
        <f>IFERROR(VLOOKUP(D409,CLIENTES!$B$12:$G$2602,2,FALSE),"")</f>
        <v>PATAGONIA SERVICIOS SPA</v>
      </c>
      <c r="F409" s="31">
        <v>11138400</v>
      </c>
      <c r="G409" s="41" t="s">
        <v>101</v>
      </c>
      <c r="H409" s="26">
        <v>30</v>
      </c>
      <c r="I409" s="21" t="str">
        <f t="shared" si="30"/>
        <v>Crédito</v>
      </c>
      <c r="J409" s="22">
        <f t="shared" si="31"/>
        <v>45869</v>
      </c>
      <c r="K409" s="27">
        <f t="shared" ca="1" si="32"/>
        <v>0</v>
      </c>
      <c r="L409" s="23" t="str">
        <f t="shared" si="33"/>
        <v>Pagado</v>
      </c>
      <c r="M409" s="36">
        <f>SUMIFS(Tabla_Pagos[IMPORTE ABONADO],Tabla_Pagos[FECHA DE ABONO],"&gt;0",Tabla_Pagos[NRO DOC],B409)</f>
        <v>11138400</v>
      </c>
      <c r="N409" s="36">
        <f t="shared" si="34"/>
        <v>0</v>
      </c>
      <c r="O409" s="22" cm="1">
        <f t="array" ref="O409">MAX(IF((Tabla_Pagos[NRO DOC]=B409)*(Tabla_Pagos[IMPORTE ABONADO]&gt;0),Tabla_Pagos[FECHA DE ABONO]))</f>
        <v>45890</v>
      </c>
    </row>
    <row r="410" spans="2:15" ht="21" customHeight="1" x14ac:dyDescent="0.25">
      <c r="B410" s="39">
        <v>1316</v>
      </c>
      <c r="C410" s="20">
        <v>45840</v>
      </c>
      <c r="D410" s="40" t="s">
        <v>44</v>
      </c>
      <c r="E410" s="37" t="str">
        <f>IFERROR(VLOOKUP(D410,CLIENTES!$B$12:$G$2602,2,FALSE),"")</f>
        <v>SKC RED SPA</v>
      </c>
      <c r="F410" s="31">
        <v>77350</v>
      </c>
      <c r="G410" s="41" t="s">
        <v>101</v>
      </c>
      <c r="H410" s="26">
        <v>30</v>
      </c>
      <c r="I410" s="21" t="str">
        <f t="shared" si="30"/>
        <v>Crédito</v>
      </c>
      <c r="J410" s="22">
        <f t="shared" si="31"/>
        <v>45870</v>
      </c>
      <c r="K410" s="27">
        <f t="shared" ca="1" si="32"/>
        <v>0</v>
      </c>
      <c r="L410" s="23" t="str">
        <f t="shared" si="33"/>
        <v>Pagado</v>
      </c>
      <c r="M410" s="36">
        <f>SUMIFS(Tabla_Pagos[IMPORTE ABONADO],Tabla_Pagos[FECHA DE ABONO],"&gt;0",Tabla_Pagos[NRO DOC],B410)</f>
        <v>77350</v>
      </c>
      <c r="N410" s="36">
        <f t="shared" si="34"/>
        <v>0</v>
      </c>
      <c r="O410" s="22" cm="1">
        <f t="array" ref="O410">MAX(IF((Tabla_Pagos[NRO DOC]=B410)*(Tabla_Pagos[IMPORTE ABONADO]&gt;0),Tabla_Pagos[FECHA DE ABONO]))</f>
        <v>45873</v>
      </c>
    </row>
    <row r="411" spans="2:15" ht="21" customHeight="1" x14ac:dyDescent="0.25">
      <c r="B411" s="39">
        <v>1317</v>
      </c>
      <c r="C411" s="20">
        <v>45840</v>
      </c>
      <c r="D411" s="40" t="s">
        <v>106</v>
      </c>
      <c r="E411" s="37" t="str">
        <f>IFERROR(VLOOKUP(D411,CLIENTES!$B$12:$G$2602,2,FALSE),"")</f>
        <v>COMERCIAL SERPAN SPA</v>
      </c>
      <c r="F411" s="31">
        <v>11900</v>
      </c>
      <c r="G411" s="41" t="s">
        <v>101</v>
      </c>
      <c r="H411" s="26">
        <v>30</v>
      </c>
      <c r="I411" s="21" t="str">
        <f t="shared" si="30"/>
        <v>Crédito</v>
      </c>
      <c r="J411" s="22">
        <f t="shared" si="31"/>
        <v>45870</v>
      </c>
      <c r="K411" s="27">
        <f t="shared" ca="1" si="32"/>
        <v>0</v>
      </c>
      <c r="L411" s="23" t="str">
        <f t="shared" si="33"/>
        <v>Pagado</v>
      </c>
      <c r="M411" s="36">
        <f>SUMIFS(Tabla_Pagos[IMPORTE ABONADO],Tabla_Pagos[FECHA DE ABONO],"&gt;0",Tabla_Pagos[NRO DOC],B411)</f>
        <v>11900</v>
      </c>
      <c r="N411" s="36">
        <f t="shared" si="34"/>
        <v>0</v>
      </c>
      <c r="O411" s="22" cm="1">
        <f t="array" ref="O411">MAX(IF((Tabla_Pagos[NRO DOC]=B411)*(Tabla_Pagos[IMPORTE ABONADO]&gt;0),Tabla_Pagos[FECHA DE ABONO]))</f>
        <v>45877</v>
      </c>
    </row>
    <row r="412" spans="2:15" ht="21" customHeight="1" x14ac:dyDescent="0.25">
      <c r="B412" s="39">
        <v>1318</v>
      </c>
      <c r="C412" s="20">
        <v>45840</v>
      </c>
      <c r="D412" s="40" t="s">
        <v>367</v>
      </c>
      <c r="E412" s="37" t="str">
        <f>IFERROR(VLOOKUP(D412,CLIENTES!$B$12:$G$2602,2,FALSE),"")</f>
        <v>EL BAJON DE HOMERO SPA</v>
      </c>
      <c r="F412" s="31">
        <v>142800</v>
      </c>
      <c r="G412" s="41" t="s">
        <v>101</v>
      </c>
      <c r="H412" s="26">
        <v>0</v>
      </c>
      <c r="I412" s="21" t="str">
        <f t="shared" si="30"/>
        <v>Contado</v>
      </c>
      <c r="J412" s="22">
        <f t="shared" si="31"/>
        <v>45840</v>
      </c>
      <c r="K412" s="27">
        <f t="shared" ca="1" si="32"/>
        <v>0</v>
      </c>
      <c r="L412" s="23" t="str">
        <f t="shared" si="33"/>
        <v>Pagado</v>
      </c>
      <c r="M412" s="36">
        <f>SUMIFS(Tabla_Pagos[IMPORTE ABONADO],Tabla_Pagos[FECHA DE ABONO],"&gt;0",Tabla_Pagos[NRO DOC],B412)</f>
        <v>142800</v>
      </c>
      <c r="N412" s="36">
        <f t="shared" si="34"/>
        <v>0</v>
      </c>
      <c r="O412" s="22" cm="1">
        <f t="array" ref="O412">MAX(IF((Tabla_Pagos[NRO DOC]=B412)*(Tabla_Pagos[IMPORTE ABONADO]&gt;0),Tabla_Pagos[FECHA DE ABONO]))</f>
        <v>45840</v>
      </c>
    </row>
    <row r="413" spans="2:15" ht="21" customHeight="1" x14ac:dyDescent="0.25">
      <c r="B413" s="39">
        <v>1319</v>
      </c>
      <c r="C413" s="20">
        <v>45840</v>
      </c>
      <c r="D413" s="40" t="s">
        <v>48</v>
      </c>
      <c r="E413" s="37" t="str">
        <f>IFERROR(VLOOKUP(D413,CLIENTES!$B$12:$G$2602,2,FALSE),"")</f>
        <v>RESITER SERVICIOS GENERALES SPA</v>
      </c>
      <c r="F413" s="31">
        <v>23800</v>
      </c>
      <c r="G413" s="41" t="s">
        <v>101</v>
      </c>
      <c r="H413" s="26">
        <v>0</v>
      </c>
      <c r="I413" s="21" t="str">
        <f t="shared" si="30"/>
        <v>Contado</v>
      </c>
      <c r="J413" s="22">
        <f t="shared" si="31"/>
        <v>45840</v>
      </c>
      <c r="K413" s="27">
        <f t="shared" ca="1" si="32"/>
        <v>0</v>
      </c>
      <c r="L413" s="23" t="str">
        <f t="shared" si="33"/>
        <v>Pagado</v>
      </c>
      <c r="M413" s="36">
        <f>SUMIFS(Tabla_Pagos[IMPORTE ABONADO],Tabla_Pagos[FECHA DE ABONO],"&gt;0",Tabla_Pagos[NRO DOC],B413)</f>
        <v>23800</v>
      </c>
      <c r="N413" s="36">
        <f t="shared" si="34"/>
        <v>0</v>
      </c>
      <c r="O413" s="22" cm="1">
        <f t="array" ref="O413">MAX(IF((Tabla_Pagos[NRO DOC]=B413)*(Tabla_Pagos[IMPORTE ABONADO]&gt;0),Tabla_Pagos[FECHA DE ABONO]))</f>
        <v>45840</v>
      </c>
    </row>
    <row r="414" spans="2:15" ht="21" customHeight="1" x14ac:dyDescent="0.25">
      <c r="B414" s="39">
        <v>1320</v>
      </c>
      <c r="C414" s="20">
        <v>45842</v>
      </c>
      <c r="D414" s="40" t="s">
        <v>366</v>
      </c>
      <c r="E414" s="37" t="str">
        <f>IFERROR(VLOOKUP(D414,CLIENTES!$B$12:$G$2602,2,FALSE),"")</f>
        <v>SOCIEDAD RODERIK AVILA Y COMPANIA LIMITADA</v>
      </c>
      <c r="F414" s="31">
        <v>119000</v>
      </c>
      <c r="G414" s="41" t="s">
        <v>101</v>
      </c>
      <c r="H414" s="26">
        <v>0</v>
      </c>
      <c r="I414" s="21" t="str">
        <f t="shared" si="30"/>
        <v>Contado</v>
      </c>
      <c r="J414" s="22">
        <f t="shared" si="31"/>
        <v>45842</v>
      </c>
      <c r="K414" s="27">
        <f t="shared" ca="1" si="32"/>
        <v>0</v>
      </c>
      <c r="L414" s="23" t="str">
        <f t="shared" si="33"/>
        <v>Pagado</v>
      </c>
      <c r="M414" s="36">
        <f>SUMIFS(Tabla_Pagos[IMPORTE ABONADO],Tabla_Pagos[FECHA DE ABONO],"&gt;0",Tabla_Pagos[NRO DOC],B414)</f>
        <v>119000</v>
      </c>
      <c r="N414" s="36">
        <f t="shared" si="34"/>
        <v>0</v>
      </c>
      <c r="O414" s="22" cm="1">
        <f t="array" ref="O414">MAX(IF((Tabla_Pagos[NRO DOC]=B414)*(Tabla_Pagos[IMPORTE ABONADO]&gt;0),Tabla_Pagos[FECHA DE ABONO]))</f>
        <v>45842</v>
      </c>
    </row>
    <row r="415" spans="2:15" ht="21" customHeight="1" x14ac:dyDescent="0.25">
      <c r="B415" s="39">
        <v>1321</v>
      </c>
      <c r="C415" s="20">
        <v>45842</v>
      </c>
      <c r="D415" s="40" t="s">
        <v>372</v>
      </c>
      <c r="E415" s="37" t="str">
        <f>IFERROR(VLOOKUP(D415,CLIENTES!$B$12:$G$2602,2,FALSE),"")</f>
        <v>TRANSPORTES Y GRUAS LEYTON SPA</v>
      </c>
      <c r="F415" s="31">
        <v>42840</v>
      </c>
      <c r="G415" s="41" t="s">
        <v>101</v>
      </c>
      <c r="H415" s="26">
        <v>0</v>
      </c>
      <c r="I415" s="21" t="str">
        <f t="shared" si="30"/>
        <v>Contado</v>
      </c>
      <c r="J415" s="22">
        <f t="shared" si="31"/>
        <v>45842</v>
      </c>
      <c r="K415" s="27">
        <f t="shared" ca="1" si="32"/>
        <v>0</v>
      </c>
      <c r="L415" s="23" t="str">
        <f t="shared" si="33"/>
        <v>Pagado</v>
      </c>
      <c r="M415" s="36">
        <f>SUMIFS(Tabla_Pagos[IMPORTE ABONADO],Tabla_Pagos[FECHA DE ABONO],"&gt;0",Tabla_Pagos[NRO DOC],B415)</f>
        <v>42840</v>
      </c>
      <c r="N415" s="36">
        <f t="shared" si="34"/>
        <v>0</v>
      </c>
      <c r="O415" s="22" cm="1">
        <f t="array" ref="O415">MAX(IF((Tabla_Pagos[NRO DOC]=B415)*(Tabla_Pagos[IMPORTE ABONADO]&gt;0),Tabla_Pagos[FECHA DE ABONO]))</f>
        <v>45842</v>
      </c>
    </row>
    <row r="416" spans="2:15" ht="21" customHeight="1" x14ac:dyDescent="0.25">
      <c r="B416" s="39">
        <v>1322</v>
      </c>
      <c r="C416" s="20">
        <v>45842</v>
      </c>
      <c r="D416" s="40" t="s">
        <v>373</v>
      </c>
      <c r="E416" s="37" t="str">
        <f>IFERROR(VLOOKUP(D416,CLIENTES!$B$12:$G$2602,2,FALSE),"")</f>
        <v>MAJOR DRILLING CHILE S A</v>
      </c>
      <c r="F416" s="31">
        <v>41650</v>
      </c>
      <c r="G416" s="41" t="s">
        <v>101</v>
      </c>
      <c r="H416" s="26">
        <v>0</v>
      </c>
      <c r="I416" s="21" t="str">
        <f t="shared" si="30"/>
        <v>Contado</v>
      </c>
      <c r="J416" s="22">
        <f t="shared" si="31"/>
        <v>45842</v>
      </c>
      <c r="K416" s="27">
        <f t="shared" ca="1" si="32"/>
        <v>0</v>
      </c>
      <c r="L416" s="23" t="str">
        <f t="shared" si="33"/>
        <v>Pagado</v>
      </c>
      <c r="M416" s="36">
        <f>SUMIFS(Tabla_Pagos[IMPORTE ABONADO],Tabla_Pagos[FECHA DE ABONO],"&gt;0",Tabla_Pagos[NRO DOC],B416)</f>
        <v>41650</v>
      </c>
      <c r="N416" s="36">
        <f t="shared" si="34"/>
        <v>0</v>
      </c>
      <c r="O416" s="22" cm="1">
        <f t="array" ref="O416">MAX(IF((Tabla_Pagos[NRO DOC]=B416)*(Tabla_Pagos[IMPORTE ABONADO]&gt;0),Tabla_Pagos[FECHA DE ABONO]))</f>
        <v>45842</v>
      </c>
    </row>
    <row r="417" spans="2:15" ht="21" customHeight="1" x14ac:dyDescent="0.25">
      <c r="B417" s="39">
        <v>1323</v>
      </c>
      <c r="C417" s="20">
        <v>45843</v>
      </c>
      <c r="D417" s="40" t="s">
        <v>53</v>
      </c>
      <c r="E417" s="37" t="str">
        <f>IFERROR(VLOOKUP(D417,CLIENTES!$B$12:$G$2602,2,FALSE),"")</f>
        <v>SODIMAC S.A.</v>
      </c>
      <c r="F417" s="31">
        <v>1394085</v>
      </c>
      <c r="G417" s="41" t="s">
        <v>394</v>
      </c>
      <c r="H417" s="26">
        <v>30</v>
      </c>
      <c r="I417" s="21" t="str">
        <f t="shared" si="30"/>
        <v>Crédito</v>
      </c>
      <c r="J417" s="22">
        <f t="shared" si="31"/>
        <v>45873</v>
      </c>
      <c r="K417" s="27">
        <f t="shared" ca="1" si="32"/>
        <v>0</v>
      </c>
      <c r="L417" s="23" t="str">
        <f t="shared" si="33"/>
        <v>Pagado</v>
      </c>
      <c r="M417" s="36">
        <f>SUMIFS(Tabla_Pagos[IMPORTE ABONADO],Tabla_Pagos[FECHA DE ABONO],"&gt;0",Tabla_Pagos[NRO DOC],B417)</f>
        <v>1394085</v>
      </c>
      <c r="N417" s="36">
        <f t="shared" si="34"/>
        <v>0</v>
      </c>
      <c r="O417" s="22" cm="1">
        <f t="array" ref="O417">MAX(IF((Tabla_Pagos[NRO DOC]=B417)*(Tabla_Pagos[IMPORTE ABONADO]&gt;0),Tabla_Pagos[FECHA DE ABONO]))</f>
        <v>45873</v>
      </c>
    </row>
    <row r="418" spans="2:15" ht="21" customHeight="1" x14ac:dyDescent="0.25">
      <c r="B418" s="39">
        <v>1324</v>
      </c>
      <c r="C418" s="20">
        <v>45843</v>
      </c>
      <c r="D418" s="40" t="s">
        <v>53</v>
      </c>
      <c r="E418" s="37" t="str">
        <f>IFERROR(VLOOKUP(D418,CLIENTES!$B$12:$G$2602,2,FALSE),"")</f>
        <v>SODIMAC S.A.</v>
      </c>
      <c r="F418" s="31">
        <v>3633070</v>
      </c>
      <c r="G418" s="41" t="s">
        <v>394</v>
      </c>
      <c r="H418" s="26">
        <v>30</v>
      </c>
      <c r="I418" s="21" t="str">
        <f t="shared" si="30"/>
        <v>Crédito</v>
      </c>
      <c r="J418" s="22">
        <f t="shared" si="31"/>
        <v>45873</v>
      </c>
      <c r="K418" s="27">
        <f t="shared" ca="1" si="32"/>
        <v>0</v>
      </c>
      <c r="L418" s="23" t="str">
        <f t="shared" si="33"/>
        <v>Pagado</v>
      </c>
      <c r="M418" s="36">
        <f>SUMIFS(Tabla_Pagos[IMPORTE ABONADO],Tabla_Pagos[FECHA DE ABONO],"&gt;0",Tabla_Pagos[NRO DOC],B418)</f>
        <v>3633070</v>
      </c>
      <c r="N418" s="36">
        <f t="shared" si="34"/>
        <v>0</v>
      </c>
      <c r="O418" s="22" cm="1">
        <f t="array" ref="O418">MAX(IF((Tabla_Pagos[NRO DOC]=B418)*(Tabla_Pagos[IMPORTE ABONADO]&gt;0),Tabla_Pagos[FECHA DE ABONO]))</f>
        <v>45804</v>
      </c>
    </row>
    <row r="419" spans="2:15" ht="21" customHeight="1" x14ac:dyDescent="0.25">
      <c r="B419" s="39">
        <v>1325</v>
      </c>
      <c r="C419" s="20">
        <v>45843</v>
      </c>
      <c r="D419" s="40" t="s">
        <v>374</v>
      </c>
      <c r="E419" s="37" t="str">
        <f>IFERROR(VLOOKUP(D419,CLIENTES!$B$12:$G$2602,2,FALSE),"")</f>
        <v>ESLABÃ“N CAPACITACIÃ“N MAURICIO CASTRO LÃ“PEZ E.I.R.L.</v>
      </c>
      <c r="F419" s="31">
        <v>40001</v>
      </c>
      <c r="G419" s="41" t="s">
        <v>101</v>
      </c>
      <c r="H419" s="26">
        <v>0</v>
      </c>
      <c r="I419" s="21" t="str">
        <f t="shared" si="30"/>
        <v>Contado</v>
      </c>
      <c r="J419" s="22">
        <f t="shared" si="31"/>
        <v>45843</v>
      </c>
      <c r="K419" s="27">
        <f t="shared" ca="1" si="32"/>
        <v>0</v>
      </c>
      <c r="L419" s="23" t="str">
        <f t="shared" si="33"/>
        <v>Pagado</v>
      </c>
      <c r="M419" s="36">
        <f>SUMIFS(Tabla_Pagos[IMPORTE ABONADO],Tabla_Pagos[FECHA DE ABONO],"&gt;0",Tabla_Pagos[NRO DOC],B419)</f>
        <v>40001</v>
      </c>
      <c r="N419" s="36">
        <f t="shared" si="34"/>
        <v>0</v>
      </c>
      <c r="O419" s="22" cm="1">
        <f t="array" ref="O419">MAX(IF((Tabla_Pagos[NRO DOC]=B419)*(Tabla_Pagos[IMPORTE ABONADO]&gt;0),Tabla_Pagos[FECHA DE ABONO]))</f>
        <v>45843</v>
      </c>
    </row>
    <row r="420" spans="2:15" ht="21" customHeight="1" x14ac:dyDescent="0.25">
      <c r="B420" s="39">
        <v>1326</v>
      </c>
      <c r="C420" s="20">
        <v>45843</v>
      </c>
      <c r="D420" s="40" t="s">
        <v>375</v>
      </c>
      <c r="E420" s="37" t="str">
        <f>IFERROR(VLOOKUP(D420,CLIENTES!$B$12:$G$2602,2,FALSE),"")</f>
        <v>CENTRO DE GESTIÃ“N Y NEGOCIOS SPA</v>
      </c>
      <c r="F420" s="31">
        <v>45220</v>
      </c>
      <c r="G420" s="41" t="s">
        <v>101</v>
      </c>
      <c r="H420" s="26">
        <v>0</v>
      </c>
      <c r="I420" s="21" t="str">
        <f t="shared" si="30"/>
        <v>Contado</v>
      </c>
      <c r="J420" s="22">
        <f t="shared" si="31"/>
        <v>45843</v>
      </c>
      <c r="K420" s="27">
        <f t="shared" ca="1" si="32"/>
        <v>0</v>
      </c>
      <c r="L420" s="23" t="str">
        <f t="shared" si="33"/>
        <v>Pagado</v>
      </c>
      <c r="M420" s="36">
        <f>SUMIFS(Tabla_Pagos[IMPORTE ABONADO],Tabla_Pagos[FECHA DE ABONO],"&gt;0",Tabla_Pagos[NRO DOC],B420)</f>
        <v>45220</v>
      </c>
      <c r="N420" s="36">
        <f t="shared" si="34"/>
        <v>0</v>
      </c>
      <c r="O420" s="22" cm="1">
        <f t="array" ref="O420">MAX(IF((Tabla_Pagos[NRO DOC]=B420)*(Tabla_Pagos[IMPORTE ABONADO]&gt;0),Tabla_Pagos[FECHA DE ABONO]))</f>
        <v>45843</v>
      </c>
    </row>
    <row r="421" spans="2:15" ht="21" customHeight="1" x14ac:dyDescent="0.25">
      <c r="B421" s="39">
        <v>1327</v>
      </c>
      <c r="C421" s="20">
        <v>45843</v>
      </c>
      <c r="D421" s="40" t="s">
        <v>376</v>
      </c>
      <c r="E421" s="37" t="str">
        <f>IFERROR(VLOOKUP(D421,CLIENTES!$B$12:$G$2602,2,FALSE),"")</f>
        <v>ALEJANDRO SALVADOR ALQUINTA ALARCON</v>
      </c>
      <c r="F421" s="31">
        <v>35700</v>
      </c>
      <c r="G421" s="41" t="s">
        <v>101</v>
      </c>
      <c r="H421" s="26">
        <v>0</v>
      </c>
      <c r="I421" s="21" t="str">
        <f t="shared" si="30"/>
        <v>Contado</v>
      </c>
      <c r="J421" s="22">
        <f t="shared" si="31"/>
        <v>45843</v>
      </c>
      <c r="K421" s="27">
        <f t="shared" ca="1" si="32"/>
        <v>0</v>
      </c>
      <c r="L421" s="23" t="str">
        <f t="shared" si="33"/>
        <v>Pagado</v>
      </c>
      <c r="M421" s="36">
        <f>SUMIFS(Tabla_Pagos[IMPORTE ABONADO],Tabla_Pagos[FECHA DE ABONO],"&gt;0",Tabla_Pagos[NRO DOC],B421)</f>
        <v>35700</v>
      </c>
      <c r="N421" s="36">
        <f t="shared" si="34"/>
        <v>0</v>
      </c>
      <c r="O421" s="22" cm="1">
        <f t="array" ref="O421">MAX(IF((Tabla_Pagos[NRO DOC]=B421)*(Tabla_Pagos[IMPORTE ABONADO]&gt;0),Tabla_Pagos[FECHA DE ABONO]))</f>
        <v>45843</v>
      </c>
    </row>
    <row r="422" spans="2:15" ht="21" customHeight="1" x14ac:dyDescent="0.25">
      <c r="B422" s="39">
        <v>1328</v>
      </c>
      <c r="C422" s="20">
        <v>45845</v>
      </c>
      <c r="D422" s="40" t="s">
        <v>377</v>
      </c>
      <c r="E422" s="37" t="str">
        <f>IFERROR(VLOOKUP(D422,CLIENTES!$B$12:$G$2602,2,FALSE),"")</f>
        <v>IMPORTADORA Y COMERCIALIZADORA CARLOS PIZARRO E.I.R.L.</v>
      </c>
      <c r="F422" s="31">
        <v>48000</v>
      </c>
      <c r="G422" s="41" t="s">
        <v>101</v>
      </c>
      <c r="H422" s="26">
        <v>0</v>
      </c>
      <c r="I422" s="21" t="str">
        <f t="shared" si="30"/>
        <v>Contado</v>
      </c>
      <c r="J422" s="22">
        <f t="shared" si="31"/>
        <v>45845</v>
      </c>
      <c r="K422" s="27">
        <f t="shared" ca="1" si="32"/>
        <v>0</v>
      </c>
      <c r="L422" s="23" t="str">
        <f t="shared" si="33"/>
        <v>Pagado</v>
      </c>
      <c r="M422" s="36">
        <f>SUMIFS(Tabla_Pagos[IMPORTE ABONADO],Tabla_Pagos[FECHA DE ABONO],"&gt;0",Tabla_Pagos[NRO DOC],B422)</f>
        <v>48000</v>
      </c>
      <c r="N422" s="36">
        <f t="shared" si="34"/>
        <v>0</v>
      </c>
      <c r="O422" s="22" cm="1">
        <f t="array" ref="O422">MAX(IF((Tabla_Pagos[NRO DOC]=B422)*(Tabla_Pagos[IMPORTE ABONADO]&gt;0),Tabla_Pagos[FECHA DE ABONO]))</f>
        <v>45845</v>
      </c>
    </row>
    <row r="423" spans="2:15" ht="21" customHeight="1" x14ac:dyDescent="0.25">
      <c r="B423" s="39">
        <v>1329</v>
      </c>
      <c r="C423" s="20">
        <v>45845</v>
      </c>
      <c r="D423" s="40" t="s">
        <v>168</v>
      </c>
      <c r="E423" s="37" t="str">
        <f>IFERROR(VLOOKUP(D423,CLIENTES!$B$12:$G$2602,2,FALSE),"")</f>
        <v>CENTRO DE RECICLAJE DEL NORTE LIMITADA</v>
      </c>
      <c r="F423" s="31">
        <v>559300</v>
      </c>
      <c r="G423" s="41" t="s">
        <v>101</v>
      </c>
      <c r="H423" s="26">
        <v>30</v>
      </c>
      <c r="I423" s="21" t="str">
        <f t="shared" si="30"/>
        <v>Crédito</v>
      </c>
      <c r="J423" s="22">
        <f t="shared" si="31"/>
        <v>45875</v>
      </c>
      <c r="K423" s="27">
        <f t="shared" ca="1" si="32"/>
        <v>0</v>
      </c>
      <c r="L423" s="23" t="str">
        <f t="shared" si="33"/>
        <v>Pagado</v>
      </c>
      <c r="M423" s="36">
        <f>SUMIFS(Tabla_Pagos[IMPORTE ABONADO],Tabla_Pagos[FECHA DE ABONO],"&gt;0",Tabla_Pagos[NRO DOC],B423)</f>
        <v>559300</v>
      </c>
      <c r="N423" s="36">
        <f t="shared" si="34"/>
        <v>0</v>
      </c>
      <c r="O423" s="22" cm="1">
        <f t="array" ref="O423">MAX(IF((Tabla_Pagos[NRO DOC]=B423)*(Tabla_Pagos[IMPORTE ABONADO]&gt;0),Tabla_Pagos[FECHA DE ABONO]))</f>
        <v>45881</v>
      </c>
    </row>
    <row r="424" spans="2:15" ht="21" customHeight="1" x14ac:dyDescent="0.25">
      <c r="B424" s="39">
        <v>1330</v>
      </c>
      <c r="C424" s="20">
        <v>45845</v>
      </c>
      <c r="D424" s="40" t="s">
        <v>168</v>
      </c>
      <c r="E424" s="37" t="str">
        <f>IFERROR(VLOOKUP(D424,CLIENTES!$B$12:$G$2602,2,FALSE),"")</f>
        <v>CENTRO DE RECICLAJE DEL NORTE LIMITADA</v>
      </c>
      <c r="F424" s="31">
        <v>345100</v>
      </c>
      <c r="G424" s="41" t="s">
        <v>101</v>
      </c>
      <c r="H424" s="26">
        <v>30</v>
      </c>
      <c r="I424" s="21" t="str">
        <f t="shared" si="30"/>
        <v>Crédito</v>
      </c>
      <c r="J424" s="22">
        <f t="shared" si="31"/>
        <v>45875</v>
      </c>
      <c r="K424" s="27">
        <f t="shared" ca="1" si="32"/>
        <v>0</v>
      </c>
      <c r="L424" s="23" t="str">
        <f t="shared" si="33"/>
        <v>Pagado</v>
      </c>
      <c r="M424" s="36">
        <f>SUMIFS(Tabla_Pagos[IMPORTE ABONADO],Tabla_Pagos[FECHA DE ABONO],"&gt;0",Tabla_Pagos[NRO DOC],B424)</f>
        <v>345100</v>
      </c>
      <c r="N424" s="36">
        <f t="shared" si="34"/>
        <v>0</v>
      </c>
      <c r="O424" s="22" cm="1">
        <f t="array" ref="O424">MAX(IF((Tabla_Pagos[NRO DOC]=B424)*(Tabla_Pagos[IMPORTE ABONADO]&gt;0),Tabla_Pagos[FECHA DE ABONO]))</f>
        <v>45881</v>
      </c>
    </row>
    <row r="425" spans="2:15" ht="21" customHeight="1" x14ac:dyDescent="0.25">
      <c r="B425" s="39">
        <v>1331</v>
      </c>
      <c r="C425" s="20">
        <v>45846</v>
      </c>
      <c r="D425" s="40" t="s">
        <v>378</v>
      </c>
      <c r="E425" s="37" t="str">
        <f>IFERROR(VLOOKUP(D425,CLIENTES!$B$12:$G$2602,2,FALSE),"")</f>
        <v>RBM FIRE PROTECTION SPA</v>
      </c>
      <c r="F425" s="31">
        <v>59500</v>
      </c>
      <c r="G425" s="41" t="s">
        <v>101</v>
      </c>
      <c r="H425" s="26">
        <v>0</v>
      </c>
      <c r="I425" s="21" t="str">
        <f t="shared" si="30"/>
        <v>Contado</v>
      </c>
      <c r="J425" s="22">
        <f t="shared" si="31"/>
        <v>45846</v>
      </c>
      <c r="K425" s="27">
        <f t="shared" ca="1" si="32"/>
        <v>0</v>
      </c>
      <c r="L425" s="23" t="str">
        <f t="shared" si="33"/>
        <v>Pagado</v>
      </c>
      <c r="M425" s="36">
        <f>SUMIFS(Tabla_Pagos[IMPORTE ABONADO],Tabla_Pagos[FECHA DE ABONO],"&gt;0",Tabla_Pagos[NRO DOC],B425)</f>
        <v>59500</v>
      </c>
      <c r="N425" s="36">
        <f t="shared" si="34"/>
        <v>0</v>
      </c>
      <c r="O425" s="22" cm="1">
        <f t="array" ref="O425">MAX(IF((Tabla_Pagos[NRO DOC]=B425)*(Tabla_Pagos[IMPORTE ABONADO]&gt;0),Tabla_Pagos[FECHA DE ABONO]))</f>
        <v>45846</v>
      </c>
    </row>
    <row r="426" spans="2:15" ht="21" customHeight="1" x14ac:dyDescent="0.25">
      <c r="B426" s="39">
        <v>1332</v>
      </c>
      <c r="C426" s="20">
        <v>45846</v>
      </c>
      <c r="D426" s="40" t="s">
        <v>102</v>
      </c>
      <c r="E426" s="37" t="str">
        <f>IFERROR(VLOOKUP(D426,CLIENTES!$B$12:$G$2602,2,FALSE),"")</f>
        <v>CONSTRUCTORA CARLOS ALBERTO ANDRES ALBISTUR REYES E.I.R.L.</v>
      </c>
      <c r="F426" s="31">
        <v>249186</v>
      </c>
      <c r="G426" s="41" t="s">
        <v>101</v>
      </c>
      <c r="H426" s="26">
        <v>30</v>
      </c>
      <c r="I426" s="21" t="str">
        <f t="shared" si="30"/>
        <v>Crédito</v>
      </c>
      <c r="J426" s="22">
        <f t="shared" si="31"/>
        <v>45876</v>
      </c>
      <c r="K426" s="27">
        <f t="shared" ca="1" si="32"/>
        <v>0</v>
      </c>
      <c r="L426" s="23" t="str">
        <f t="shared" si="33"/>
        <v>Pagado</v>
      </c>
      <c r="M426" s="36">
        <f>SUMIFS(Tabla_Pagos[IMPORTE ABONADO],Tabla_Pagos[FECHA DE ABONO],"&gt;0",Tabla_Pagos[NRO DOC],B426)</f>
        <v>249186</v>
      </c>
      <c r="N426" s="36">
        <f t="shared" si="34"/>
        <v>0</v>
      </c>
      <c r="O426" s="22" cm="1">
        <f t="array" ref="O426">MAX(IF((Tabla_Pagos[NRO DOC]=B426)*(Tabla_Pagos[IMPORTE ABONADO]&gt;0),Tabla_Pagos[FECHA DE ABONO]))</f>
        <v>45859</v>
      </c>
    </row>
    <row r="427" spans="2:15" ht="21" customHeight="1" x14ac:dyDescent="0.25">
      <c r="B427" s="39">
        <v>1333</v>
      </c>
      <c r="C427" s="20">
        <v>45846</v>
      </c>
      <c r="D427" s="40" t="s">
        <v>379</v>
      </c>
      <c r="E427" s="37" t="str">
        <f>IFERROR(VLOOKUP(D427,CLIENTES!$B$12:$G$2602,2,FALSE),"")</f>
        <v>GRANDLEASING SPA</v>
      </c>
      <c r="F427" s="31">
        <v>177072</v>
      </c>
      <c r="G427" s="41" t="s">
        <v>101</v>
      </c>
      <c r="H427" s="26">
        <v>30</v>
      </c>
      <c r="I427" s="21" t="str">
        <f t="shared" si="30"/>
        <v>Crédito</v>
      </c>
      <c r="J427" s="22">
        <f t="shared" si="31"/>
        <v>45876</v>
      </c>
      <c r="K427" s="27">
        <f t="shared" ca="1" si="32"/>
        <v>0</v>
      </c>
      <c r="L427" s="23" t="str">
        <f t="shared" si="33"/>
        <v>Pagado</v>
      </c>
      <c r="M427" s="36">
        <f>SUMIFS(Tabla_Pagos[IMPORTE ABONADO],Tabla_Pagos[FECHA DE ABONO],"&gt;0",Tabla_Pagos[NRO DOC],B427)</f>
        <v>177072</v>
      </c>
      <c r="N427" s="36">
        <f t="shared" si="34"/>
        <v>0</v>
      </c>
      <c r="O427" s="22" cm="1">
        <f t="array" ref="O427">MAX(IF((Tabla_Pagos[NRO DOC]=B427)*(Tabla_Pagos[IMPORTE ABONADO]&gt;0),Tabla_Pagos[FECHA DE ABONO]))</f>
        <v>45874</v>
      </c>
    </row>
    <row r="428" spans="2:15" ht="21" customHeight="1" x14ac:dyDescent="0.25">
      <c r="B428" s="39">
        <v>1334</v>
      </c>
      <c r="C428" s="20">
        <v>45847</v>
      </c>
      <c r="D428" s="40" t="s">
        <v>388</v>
      </c>
      <c r="E428" s="37" t="str">
        <f>IFERROR(VLOOKUP(D428,CLIENTES!$B$12:$G$2602,2,FALSE),"")</f>
        <v>JEAN MAURICIO OLIVARES TOLEDO</v>
      </c>
      <c r="F428" s="31">
        <v>17850</v>
      </c>
      <c r="G428" s="41" t="s">
        <v>101</v>
      </c>
      <c r="H428" s="26">
        <v>0</v>
      </c>
      <c r="I428" s="21" t="str">
        <f t="shared" si="30"/>
        <v>Contado</v>
      </c>
      <c r="J428" s="22">
        <f t="shared" si="31"/>
        <v>45847</v>
      </c>
      <c r="K428" s="27">
        <f t="shared" ca="1" si="32"/>
        <v>0</v>
      </c>
      <c r="L428" s="23" t="str">
        <f t="shared" si="33"/>
        <v>Pagado</v>
      </c>
      <c r="M428" s="36">
        <f>SUMIFS(Tabla_Pagos[IMPORTE ABONADO],Tabla_Pagos[FECHA DE ABONO],"&gt;0",Tabla_Pagos[NRO DOC],B428)</f>
        <v>17850</v>
      </c>
      <c r="N428" s="36">
        <f t="shared" si="34"/>
        <v>0</v>
      </c>
      <c r="O428" s="22" cm="1">
        <f t="array" ref="O428">MAX(IF((Tabla_Pagos[NRO DOC]=B428)*(Tabla_Pagos[IMPORTE ABONADO]&gt;0),Tabla_Pagos[FECHA DE ABONO]))</f>
        <v>45847</v>
      </c>
    </row>
    <row r="429" spans="2:15" ht="21" customHeight="1" x14ac:dyDescent="0.25">
      <c r="B429" s="39">
        <v>1335</v>
      </c>
      <c r="C429" s="20">
        <v>45847</v>
      </c>
      <c r="D429" s="40" t="s">
        <v>311</v>
      </c>
      <c r="E429" s="37" t="str">
        <f>IFERROR(VLOOKUP(D429,CLIENTES!$B$12:$G$2602,2,FALSE),"")</f>
        <v>SOCIEDAD COMERCIALIZADORA Y DISTRIBUIDORA TRES VALLES SPA</v>
      </c>
      <c r="F429" s="31">
        <v>5950</v>
      </c>
      <c r="G429" s="41" t="s">
        <v>101</v>
      </c>
      <c r="H429" s="26">
        <v>0</v>
      </c>
      <c r="I429" s="21" t="str">
        <f t="shared" si="30"/>
        <v>Contado</v>
      </c>
      <c r="J429" s="22">
        <f t="shared" si="31"/>
        <v>45847</v>
      </c>
      <c r="K429" s="27">
        <f t="shared" ca="1" si="32"/>
        <v>0</v>
      </c>
      <c r="L429" s="23" t="str">
        <f t="shared" si="33"/>
        <v>Pagado</v>
      </c>
      <c r="M429" s="36">
        <f>SUMIFS(Tabla_Pagos[IMPORTE ABONADO],Tabla_Pagos[FECHA DE ABONO],"&gt;0",Tabla_Pagos[NRO DOC],B429)</f>
        <v>5950</v>
      </c>
      <c r="N429" s="36">
        <f t="shared" si="34"/>
        <v>0</v>
      </c>
      <c r="O429" s="22" cm="1">
        <f t="array" ref="O429">MAX(IF((Tabla_Pagos[NRO DOC]=B429)*(Tabla_Pagos[IMPORTE ABONADO]&gt;0),Tabla_Pagos[FECHA DE ABONO]))</f>
        <v>45847</v>
      </c>
    </row>
    <row r="430" spans="2:15" ht="21" customHeight="1" x14ac:dyDescent="0.25">
      <c r="B430" s="39">
        <v>1336</v>
      </c>
      <c r="C430" s="20">
        <v>45847</v>
      </c>
      <c r="D430" s="40" t="s">
        <v>35</v>
      </c>
      <c r="E430" s="37" t="str">
        <f>IFERROR(VLOOKUP(D430,CLIENTES!$B$12:$G$2602,2,FALSE),"")</f>
        <v>SERVICIOS INTEGRALES LA RIVERA SPA</v>
      </c>
      <c r="F430" s="31">
        <v>95200</v>
      </c>
      <c r="G430" s="41" t="s">
        <v>101</v>
      </c>
      <c r="H430" s="26">
        <v>0</v>
      </c>
      <c r="I430" s="21" t="str">
        <f t="shared" si="30"/>
        <v>Contado</v>
      </c>
      <c r="J430" s="22">
        <f t="shared" si="31"/>
        <v>45847</v>
      </c>
      <c r="K430" s="27">
        <f t="shared" ca="1" si="32"/>
        <v>0</v>
      </c>
      <c r="L430" s="23" t="str">
        <f t="shared" si="33"/>
        <v>Pagado</v>
      </c>
      <c r="M430" s="36">
        <f>SUMIFS(Tabla_Pagos[IMPORTE ABONADO],Tabla_Pagos[FECHA DE ABONO],"&gt;0",Tabla_Pagos[NRO DOC],B430)</f>
        <v>95200</v>
      </c>
      <c r="N430" s="36">
        <f t="shared" si="34"/>
        <v>0</v>
      </c>
      <c r="O430" s="22" cm="1">
        <f t="array" ref="O430">MAX(IF((Tabla_Pagos[NRO DOC]=B430)*(Tabla_Pagos[IMPORTE ABONADO]&gt;0),Tabla_Pagos[FECHA DE ABONO]))</f>
        <v>45847</v>
      </c>
    </row>
    <row r="431" spans="2:15" ht="21" customHeight="1" x14ac:dyDescent="0.25">
      <c r="B431" s="39">
        <v>1337</v>
      </c>
      <c r="C431" s="20">
        <v>45847</v>
      </c>
      <c r="D431" s="40" t="s">
        <v>389</v>
      </c>
      <c r="E431" s="37" t="str">
        <f>IFERROR(VLOOKUP(D431,CLIENTES!$B$12:$G$2602,2,FALSE),"")</f>
        <v>NEWTRANS LOGISTICS CHILE SPA</v>
      </c>
      <c r="F431" s="31">
        <v>15000</v>
      </c>
      <c r="G431" s="41" t="s">
        <v>101</v>
      </c>
      <c r="H431" s="26">
        <v>0</v>
      </c>
      <c r="I431" s="21" t="str">
        <f t="shared" si="30"/>
        <v>Contado</v>
      </c>
      <c r="J431" s="22">
        <f t="shared" si="31"/>
        <v>45847</v>
      </c>
      <c r="K431" s="27">
        <f t="shared" ca="1" si="32"/>
        <v>0</v>
      </c>
      <c r="L431" s="23" t="str">
        <f t="shared" si="33"/>
        <v>Pagado</v>
      </c>
      <c r="M431" s="36">
        <f>SUMIFS(Tabla_Pagos[IMPORTE ABONADO],Tabla_Pagos[FECHA DE ABONO],"&gt;0",Tabla_Pagos[NRO DOC],B431)</f>
        <v>15000</v>
      </c>
      <c r="N431" s="36">
        <f t="shared" si="34"/>
        <v>0</v>
      </c>
      <c r="O431" s="22" cm="1">
        <f t="array" ref="O431">MAX(IF((Tabla_Pagos[NRO DOC]=B431)*(Tabla_Pagos[IMPORTE ABONADO]&gt;0),Tabla_Pagos[FECHA DE ABONO]))</f>
        <v>45847</v>
      </c>
    </row>
    <row r="432" spans="2:15" ht="21" customHeight="1" x14ac:dyDescent="0.25">
      <c r="B432" s="39">
        <v>1338</v>
      </c>
      <c r="C432" s="20">
        <v>45847</v>
      </c>
      <c r="D432" s="40" t="s">
        <v>58</v>
      </c>
      <c r="E432" s="37" t="str">
        <f>IFERROR(VLOOKUP(D432,CLIENTES!$B$12:$G$2602,2,FALSE),"")</f>
        <v>ZACH PROYECTOS SA</v>
      </c>
      <c r="F432" s="31">
        <v>404600</v>
      </c>
      <c r="G432" s="41" t="s">
        <v>101</v>
      </c>
      <c r="H432" s="26">
        <v>30</v>
      </c>
      <c r="I432" s="21" t="str">
        <f t="shared" si="30"/>
        <v>Crédito</v>
      </c>
      <c r="J432" s="22">
        <f t="shared" si="31"/>
        <v>45877</v>
      </c>
      <c r="K432" s="27">
        <f t="shared" ca="1" si="32"/>
        <v>0</v>
      </c>
      <c r="L432" s="23" t="str">
        <f t="shared" si="33"/>
        <v>Pagado</v>
      </c>
      <c r="M432" s="36">
        <f>SUMIFS(Tabla_Pagos[IMPORTE ABONADO],Tabla_Pagos[FECHA DE ABONO],"&gt;0",Tabla_Pagos[NRO DOC],B432)</f>
        <v>404600</v>
      </c>
      <c r="N432" s="36">
        <f t="shared" si="34"/>
        <v>0</v>
      </c>
      <c r="O432" s="22" cm="1">
        <f t="array" ref="O432">MAX(IF((Tabla_Pagos[NRO DOC]=B432)*(Tabla_Pagos[IMPORTE ABONADO]&gt;0),Tabla_Pagos[FECHA DE ABONO]))</f>
        <v>45922</v>
      </c>
    </row>
    <row r="433" spans="2:15" ht="21" customHeight="1" x14ac:dyDescent="0.25">
      <c r="B433" s="39">
        <v>1339</v>
      </c>
      <c r="C433" s="20">
        <v>45847</v>
      </c>
      <c r="D433" s="40" t="s">
        <v>106</v>
      </c>
      <c r="E433" s="37" t="str">
        <f>IFERROR(VLOOKUP(D433,CLIENTES!$B$12:$G$2602,2,FALSE),"")</f>
        <v>COMERCIAL SERPAN SPA</v>
      </c>
      <c r="F433" s="31">
        <v>11900</v>
      </c>
      <c r="G433" s="41" t="s">
        <v>101</v>
      </c>
      <c r="H433" s="26">
        <v>30</v>
      </c>
      <c r="I433" s="21" t="str">
        <f t="shared" si="30"/>
        <v>Crédito</v>
      </c>
      <c r="J433" s="22">
        <f t="shared" si="31"/>
        <v>45877</v>
      </c>
      <c r="K433" s="27">
        <f t="shared" ca="1" si="32"/>
        <v>0</v>
      </c>
      <c r="L433" s="23" t="str">
        <f t="shared" si="33"/>
        <v>Pagado</v>
      </c>
      <c r="M433" s="36">
        <f>SUMIFS(Tabla_Pagos[IMPORTE ABONADO],Tabla_Pagos[FECHA DE ABONO],"&gt;0",Tabla_Pagos[NRO DOC],B433)</f>
        <v>11900</v>
      </c>
      <c r="N433" s="36">
        <f t="shared" si="34"/>
        <v>0</v>
      </c>
      <c r="O433" s="22" cm="1">
        <f t="array" ref="O433">MAX(IF((Tabla_Pagos[NRO DOC]=B433)*(Tabla_Pagos[IMPORTE ABONADO]&gt;0),Tabla_Pagos[FECHA DE ABONO]))</f>
        <v>45877</v>
      </c>
    </row>
    <row r="434" spans="2:15" ht="21" customHeight="1" x14ac:dyDescent="0.25">
      <c r="B434" s="39">
        <v>1340</v>
      </c>
      <c r="C434" s="20">
        <v>45847</v>
      </c>
      <c r="D434" s="40" t="s">
        <v>368</v>
      </c>
      <c r="E434" s="37" t="str">
        <f>IFERROR(VLOOKUP(D434,CLIENTES!$B$12:$G$2602,2,FALSE),"")</f>
        <v>SIDESA CHILE S.A.</v>
      </c>
      <c r="F434" s="31">
        <v>886550</v>
      </c>
      <c r="G434" s="41" t="s">
        <v>394</v>
      </c>
      <c r="H434" s="26">
        <v>30</v>
      </c>
      <c r="I434" s="21" t="str">
        <f t="shared" si="30"/>
        <v>Crédito</v>
      </c>
      <c r="J434" s="22">
        <f t="shared" si="31"/>
        <v>45877</v>
      </c>
      <c r="K434" s="27">
        <f t="shared" ca="1" si="32"/>
        <v>0</v>
      </c>
      <c r="L434" s="23" t="str">
        <f t="shared" si="33"/>
        <v>Pagado</v>
      </c>
      <c r="M434" s="36">
        <f>SUMIFS(Tabla_Pagos[IMPORTE ABONADO],Tabla_Pagos[FECHA DE ABONO],"&gt;0",Tabla_Pagos[NRO DOC],B434)</f>
        <v>886550</v>
      </c>
      <c r="N434" s="36">
        <f t="shared" si="34"/>
        <v>0</v>
      </c>
      <c r="O434" s="22" cm="1">
        <f t="array" ref="O434">MAX(IF((Tabla_Pagos[NRO DOC]=B434)*(Tabla_Pagos[IMPORTE ABONADO]&gt;0),Tabla_Pagos[FECHA DE ABONO]))</f>
        <v>45876</v>
      </c>
    </row>
    <row r="435" spans="2:15" ht="21" customHeight="1" x14ac:dyDescent="0.25">
      <c r="B435" s="39">
        <v>1341</v>
      </c>
      <c r="C435" s="20">
        <v>45847</v>
      </c>
      <c r="D435" s="40" t="s">
        <v>390</v>
      </c>
      <c r="E435" s="37" t="str">
        <f>IFERROR(VLOOKUP(D435,CLIENTES!$B$12:$G$2602,2,FALSE),"")</f>
        <v>CLARA ELENA GONZALEZ OCAYO</v>
      </c>
      <c r="F435" s="31">
        <v>261800</v>
      </c>
      <c r="G435" s="41" t="s">
        <v>101</v>
      </c>
      <c r="H435" s="26">
        <v>0</v>
      </c>
      <c r="I435" s="21" t="str">
        <f t="shared" si="30"/>
        <v>Contado</v>
      </c>
      <c r="J435" s="22">
        <f t="shared" si="31"/>
        <v>45847</v>
      </c>
      <c r="K435" s="27">
        <f t="shared" ca="1" si="32"/>
        <v>0</v>
      </c>
      <c r="L435" s="23" t="str">
        <f t="shared" si="33"/>
        <v>Pagado</v>
      </c>
      <c r="M435" s="36">
        <f>SUMIFS(Tabla_Pagos[IMPORTE ABONADO],Tabla_Pagos[FECHA DE ABONO],"&gt;0",Tabla_Pagos[NRO DOC],B435)</f>
        <v>261800</v>
      </c>
      <c r="N435" s="36">
        <f t="shared" si="34"/>
        <v>0</v>
      </c>
      <c r="O435" s="22" cm="1">
        <f t="array" ref="O435">MAX(IF((Tabla_Pagos[NRO DOC]=B435)*(Tabla_Pagos[IMPORTE ABONADO]&gt;0),Tabla_Pagos[FECHA DE ABONO]))</f>
        <v>45847</v>
      </c>
    </row>
    <row r="436" spans="2:15" ht="21" customHeight="1" x14ac:dyDescent="0.25">
      <c r="B436" s="39">
        <v>1342</v>
      </c>
      <c r="C436" s="20">
        <v>45848</v>
      </c>
      <c r="D436" s="40" t="s">
        <v>44</v>
      </c>
      <c r="E436" s="37" t="str">
        <f>IFERROR(VLOOKUP(D436,CLIENTES!$B$12:$G$2602,2,FALSE),"")</f>
        <v>SKC RED SPA</v>
      </c>
      <c r="F436" s="31">
        <v>190400</v>
      </c>
      <c r="G436" s="41" t="s">
        <v>101</v>
      </c>
      <c r="H436" s="26">
        <v>30</v>
      </c>
      <c r="I436" s="21" t="str">
        <f t="shared" si="30"/>
        <v>Crédito</v>
      </c>
      <c r="J436" s="22">
        <f t="shared" si="31"/>
        <v>45878</v>
      </c>
      <c r="K436" s="27">
        <f t="shared" ca="1" si="32"/>
        <v>0</v>
      </c>
      <c r="L436" s="23" t="str">
        <f t="shared" si="33"/>
        <v>Pagado</v>
      </c>
      <c r="M436" s="36">
        <f>SUMIFS(Tabla_Pagos[IMPORTE ABONADO],Tabla_Pagos[FECHA DE ABONO],"&gt;0",Tabla_Pagos[NRO DOC],B436)</f>
        <v>190400</v>
      </c>
      <c r="N436" s="36">
        <f t="shared" si="34"/>
        <v>0</v>
      </c>
      <c r="O436" s="22" cm="1">
        <f t="array" ref="O436">MAX(IF((Tabla_Pagos[NRO DOC]=B436)*(Tabla_Pagos[IMPORTE ABONADO]&gt;0),Tabla_Pagos[FECHA DE ABONO]))</f>
        <v>45877</v>
      </c>
    </row>
    <row r="437" spans="2:15" ht="21" customHeight="1" x14ac:dyDescent="0.25">
      <c r="B437" s="39">
        <v>1343</v>
      </c>
      <c r="C437" s="20">
        <v>45848</v>
      </c>
      <c r="D437" s="40" t="s">
        <v>395</v>
      </c>
      <c r="E437" s="37" t="str">
        <f>IFERROR(VLOOKUP(D437,CLIENTES!$B$12:$G$2602,2,FALSE),"")</f>
        <v>SOLUCIONES GLOBALES CARLOS HERBERTO MOSCOSO</v>
      </c>
      <c r="F437" s="31">
        <v>821100</v>
      </c>
      <c r="G437" s="41" t="s">
        <v>101</v>
      </c>
      <c r="H437" s="26">
        <v>0</v>
      </c>
      <c r="I437" s="21" t="str">
        <f t="shared" si="30"/>
        <v>Contado</v>
      </c>
      <c r="J437" s="22">
        <f t="shared" si="31"/>
        <v>45848</v>
      </c>
      <c r="K437" s="27">
        <f t="shared" ca="1" si="32"/>
        <v>0</v>
      </c>
      <c r="L437" s="23" t="str">
        <f t="shared" si="33"/>
        <v>Pagado</v>
      </c>
      <c r="M437" s="36">
        <f>SUMIFS(Tabla_Pagos[IMPORTE ABONADO],Tabla_Pagos[FECHA DE ABONO],"&gt;0",Tabla_Pagos[NRO DOC],B437)</f>
        <v>821100</v>
      </c>
      <c r="N437" s="36">
        <f t="shared" si="34"/>
        <v>0</v>
      </c>
      <c r="O437" s="22" cm="1">
        <f t="array" ref="O437">MAX(IF((Tabla_Pagos[NRO DOC]=B437)*(Tabla_Pagos[IMPORTE ABONADO]&gt;0),Tabla_Pagos[FECHA DE ABONO]))</f>
        <v>45848</v>
      </c>
    </row>
    <row r="438" spans="2:15" ht="21" customHeight="1" x14ac:dyDescent="0.25">
      <c r="B438" s="39">
        <v>1344</v>
      </c>
      <c r="C438" s="20">
        <v>45848</v>
      </c>
      <c r="D438" s="40" t="s">
        <v>48</v>
      </c>
      <c r="E438" s="37" t="str">
        <f>IFERROR(VLOOKUP(D438,CLIENTES!$B$12:$G$2602,2,FALSE),"")</f>
        <v>RESITER SERVICIOS GENERALES SPA</v>
      </c>
      <c r="F438" s="31">
        <v>28560</v>
      </c>
      <c r="G438" s="41" t="s">
        <v>101</v>
      </c>
      <c r="H438" s="26">
        <v>0</v>
      </c>
      <c r="I438" s="21" t="str">
        <f t="shared" si="30"/>
        <v>Contado</v>
      </c>
      <c r="J438" s="22">
        <f t="shared" si="31"/>
        <v>45848</v>
      </c>
      <c r="K438" s="27">
        <f t="shared" ca="1" si="32"/>
        <v>0</v>
      </c>
      <c r="L438" s="23" t="str">
        <f t="shared" si="33"/>
        <v>Pagado</v>
      </c>
      <c r="M438" s="36">
        <f>SUMIFS(Tabla_Pagos[IMPORTE ABONADO],Tabla_Pagos[FECHA DE ABONO],"&gt;0",Tabla_Pagos[NRO DOC],B438)</f>
        <v>28560</v>
      </c>
      <c r="N438" s="36">
        <f t="shared" si="34"/>
        <v>0</v>
      </c>
      <c r="O438" s="22" cm="1">
        <f t="array" ref="O438">MAX(IF((Tabla_Pagos[NRO DOC]=B438)*(Tabla_Pagos[IMPORTE ABONADO]&gt;0),Tabla_Pagos[FECHA DE ABONO]))</f>
        <v>45848</v>
      </c>
    </row>
    <row r="439" spans="2:15" ht="21" customHeight="1" x14ac:dyDescent="0.25">
      <c r="B439" s="39">
        <v>1345</v>
      </c>
      <c r="C439" s="20">
        <v>45849</v>
      </c>
      <c r="D439" s="40" t="s">
        <v>63</v>
      </c>
      <c r="E439" s="37" t="str">
        <f>IFERROR(VLOOKUP(D439,CLIENTES!$B$12:$G$2602,2,FALSE),"")</f>
        <v>MULTISERVICIOS SANABRIA SPA</v>
      </c>
      <c r="F439" s="31">
        <v>113050</v>
      </c>
      <c r="G439" s="41" t="s">
        <v>101</v>
      </c>
      <c r="H439" s="26">
        <v>0</v>
      </c>
      <c r="I439" s="21" t="str">
        <f t="shared" si="30"/>
        <v>Contado</v>
      </c>
      <c r="J439" s="22">
        <f t="shared" si="31"/>
        <v>45849</v>
      </c>
      <c r="K439" s="27">
        <f t="shared" ca="1" si="32"/>
        <v>0</v>
      </c>
      <c r="L439" s="23" t="str">
        <f t="shared" si="33"/>
        <v>Pagado</v>
      </c>
      <c r="M439" s="36">
        <f>SUMIFS(Tabla_Pagos[IMPORTE ABONADO],Tabla_Pagos[FECHA DE ABONO],"&gt;0",Tabla_Pagos[NRO DOC],B439)</f>
        <v>113050</v>
      </c>
      <c r="N439" s="36">
        <f t="shared" si="34"/>
        <v>0</v>
      </c>
      <c r="O439" s="22" cm="1">
        <f t="array" ref="O439">MAX(IF((Tabla_Pagos[NRO DOC]=B439)*(Tabla_Pagos[IMPORTE ABONADO]&gt;0),Tabla_Pagos[FECHA DE ABONO]))</f>
        <v>45849</v>
      </c>
    </row>
    <row r="440" spans="2:15" ht="21" customHeight="1" x14ac:dyDescent="0.25">
      <c r="B440" s="39">
        <v>1346</v>
      </c>
      <c r="C440" s="20">
        <v>45849</v>
      </c>
      <c r="D440" s="40" t="s">
        <v>102</v>
      </c>
      <c r="E440" s="37" t="str">
        <f>IFERROR(VLOOKUP(D440,CLIENTES!$B$12:$G$2602,2,FALSE),"")</f>
        <v>CONSTRUCTORA CARLOS ALBERTO ANDRES ALBISTUR REYES E.I.R.L.</v>
      </c>
      <c r="F440" s="31">
        <v>96331</v>
      </c>
      <c r="G440" s="41" t="s">
        <v>101</v>
      </c>
      <c r="H440" s="26">
        <v>30</v>
      </c>
      <c r="I440" s="21" t="str">
        <f t="shared" si="30"/>
        <v>Crédito</v>
      </c>
      <c r="J440" s="22">
        <f t="shared" si="31"/>
        <v>45879</v>
      </c>
      <c r="K440" s="27">
        <f t="shared" ca="1" si="32"/>
        <v>0</v>
      </c>
      <c r="L440" s="23" t="str">
        <f t="shared" si="33"/>
        <v>Pagado</v>
      </c>
      <c r="M440" s="36">
        <f>SUMIFS(Tabla_Pagos[IMPORTE ABONADO],Tabla_Pagos[FECHA DE ABONO],"&gt;0",Tabla_Pagos[NRO DOC],B440)</f>
        <v>96331</v>
      </c>
      <c r="N440" s="36">
        <f t="shared" si="34"/>
        <v>0</v>
      </c>
      <c r="O440" s="22" cm="1">
        <f t="array" ref="O440">MAX(IF((Tabla_Pagos[NRO DOC]=B440)*(Tabla_Pagos[IMPORTE ABONADO]&gt;0),Tabla_Pagos[FECHA DE ABONO]))</f>
        <v>45863</v>
      </c>
    </row>
    <row r="441" spans="2:15" ht="21" customHeight="1" x14ac:dyDescent="0.25">
      <c r="B441" s="39">
        <v>1347</v>
      </c>
      <c r="C441" s="20">
        <v>45849</v>
      </c>
      <c r="D441" s="40" t="s">
        <v>397</v>
      </c>
      <c r="E441" s="37" t="str">
        <f>IFERROR(VLOOKUP(D441,CLIENTES!$B$12:$G$2602,2,FALSE),"")</f>
        <v>COMERCIAL TOTAL TRADER LIMITADA</v>
      </c>
      <c r="F441" s="31">
        <v>71400</v>
      </c>
      <c r="G441" s="41" t="s">
        <v>101</v>
      </c>
      <c r="H441" s="26">
        <v>0</v>
      </c>
      <c r="I441" s="21" t="str">
        <f t="shared" si="30"/>
        <v>Contado</v>
      </c>
      <c r="J441" s="22">
        <f t="shared" si="31"/>
        <v>45849</v>
      </c>
      <c r="K441" s="27">
        <f t="shared" ca="1" si="32"/>
        <v>0</v>
      </c>
      <c r="L441" s="23" t="str">
        <f t="shared" si="33"/>
        <v>Pagado</v>
      </c>
      <c r="M441" s="36">
        <f>SUMIFS(Tabla_Pagos[IMPORTE ABONADO],Tabla_Pagos[FECHA DE ABONO],"&gt;0",Tabla_Pagos[NRO DOC],B441)</f>
        <v>71400</v>
      </c>
      <c r="N441" s="36">
        <f t="shared" si="34"/>
        <v>0</v>
      </c>
      <c r="O441" s="22" cm="1">
        <f t="array" ref="O441">MAX(IF((Tabla_Pagos[NRO DOC]=B441)*(Tabla_Pagos[IMPORTE ABONADO]&gt;0),Tabla_Pagos[FECHA DE ABONO]))</f>
        <v>45849</v>
      </c>
    </row>
    <row r="442" spans="2:15" ht="21" customHeight="1" x14ac:dyDescent="0.25">
      <c r="B442" s="39">
        <v>1348</v>
      </c>
      <c r="C442" s="20">
        <v>45849</v>
      </c>
      <c r="D442" s="40" t="s">
        <v>398</v>
      </c>
      <c r="E442" s="37" t="str">
        <f>IFERROR(VLOOKUP(D442,CLIENTES!$B$12:$G$2602,2,FALSE),"")</f>
        <v>TRANSPORTE Y ARRIENDO MAQUINARIAS RAYKAR SPA</v>
      </c>
      <c r="F442" s="31">
        <v>279650</v>
      </c>
      <c r="G442" s="41" t="s">
        <v>101</v>
      </c>
      <c r="H442" s="26">
        <v>0</v>
      </c>
      <c r="I442" s="21" t="str">
        <f t="shared" si="30"/>
        <v>Contado</v>
      </c>
      <c r="J442" s="22">
        <f t="shared" si="31"/>
        <v>45849</v>
      </c>
      <c r="K442" s="27">
        <f t="shared" ca="1" si="32"/>
        <v>0</v>
      </c>
      <c r="L442" s="23" t="str">
        <f t="shared" si="33"/>
        <v>Pagado</v>
      </c>
      <c r="M442" s="36">
        <f>SUMIFS(Tabla_Pagos[IMPORTE ABONADO],Tabla_Pagos[FECHA DE ABONO],"&gt;0",Tabla_Pagos[NRO DOC],B442)</f>
        <v>279650</v>
      </c>
      <c r="N442" s="36">
        <f t="shared" si="34"/>
        <v>0</v>
      </c>
      <c r="O442" s="22" cm="1">
        <f t="array" ref="O442">MAX(IF((Tabla_Pagos[NRO DOC]=B442)*(Tabla_Pagos[IMPORTE ABONADO]&gt;0),Tabla_Pagos[FECHA DE ABONO]))</f>
        <v>45849</v>
      </c>
    </row>
    <row r="443" spans="2:15" ht="21" customHeight="1" x14ac:dyDescent="0.25">
      <c r="B443" s="39">
        <v>1349</v>
      </c>
      <c r="C443" s="20">
        <v>45852</v>
      </c>
      <c r="D443" s="40" t="s">
        <v>47</v>
      </c>
      <c r="E443" s="37" t="str">
        <f>IFERROR(VLOOKUP(D443,CLIENTES!$B$12:$G$2602,2,FALSE),"")</f>
        <v>PATAGONIA SERVICIOS SPA</v>
      </c>
      <c r="F443" s="31">
        <v>3248700</v>
      </c>
      <c r="G443" s="41" t="s">
        <v>134</v>
      </c>
      <c r="H443" s="26">
        <v>30</v>
      </c>
      <c r="I443" s="21" t="str">
        <f t="shared" si="30"/>
        <v>Crédito</v>
      </c>
      <c r="J443" s="22">
        <f t="shared" si="31"/>
        <v>45882</v>
      </c>
      <c r="K443" s="27">
        <f t="shared" ca="1" si="32"/>
        <v>0</v>
      </c>
      <c r="L443" s="23" t="str">
        <f t="shared" si="33"/>
        <v>Pagado</v>
      </c>
      <c r="M443" s="36">
        <f>SUMIFS(Tabla_Pagos[IMPORTE ABONADO],Tabla_Pagos[FECHA DE ABONO],"&gt;0",Tabla_Pagos[NRO DOC],B443)</f>
        <v>3248700</v>
      </c>
      <c r="N443" s="36">
        <f t="shared" si="34"/>
        <v>0</v>
      </c>
      <c r="O443" s="22" cm="1">
        <f t="array" ref="O443">MAX(IF((Tabla_Pagos[NRO DOC]=B443)*(Tabla_Pagos[IMPORTE ABONADO]&gt;0),Tabla_Pagos[FECHA DE ABONO]))</f>
        <v>45911</v>
      </c>
    </row>
    <row r="444" spans="2:15" ht="21" customHeight="1" x14ac:dyDescent="0.25">
      <c r="B444" s="39">
        <v>1350</v>
      </c>
      <c r="C444" s="20">
        <v>45852</v>
      </c>
      <c r="D444" s="40" t="s">
        <v>47</v>
      </c>
      <c r="E444" s="37" t="str">
        <f>IFERROR(VLOOKUP(D444,CLIENTES!$B$12:$G$2602,2,FALSE),"")</f>
        <v>PATAGONIA SERVICIOS SPA</v>
      </c>
      <c r="F444" s="31">
        <v>3248700</v>
      </c>
      <c r="G444" s="41" t="s">
        <v>101</v>
      </c>
      <c r="H444" s="26">
        <v>30</v>
      </c>
      <c r="I444" s="21" t="str">
        <f t="shared" si="30"/>
        <v>Crédito</v>
      </c>
      <c r="J444" s="22">
        <f t="shared" si="31"/>
        <v>45882</v>
      </c>
      <c r="K444" s="27">
        <f t="shared" ca="1" si="32"/>
        <v>0</v>
      </c>
      <c r="L444" s="23" t="str">
        <f t="shared" si="33"/>
        <v>Pagado</v>
      </c>
      <c r="M444" s="36">
        <f>SUMIFS(Tabla_Pagos[IMPORTE ABONADO],Tabla_Pagos[FECHA DE ABONO],"&gt;0",Tabla_Pagos[NRO DOC],B444)</f>
        <v>3248700</v>
      </c>
      <c r="N444" s="36">
        <f t="shared" si="34"/>
        <v>0</v>
      </c>
      <c r="O444" s="22" cm="1">
        <f t="array" ref="O444">MAX(IF((Tabla_Pagos[NRO DOC]=B444)*(Tabla_Pagos[IMPORTE ABONADO]&gt;0),Tabla_Pagos[FECHA DE ABONO]))</f>
        <v>45911</v>
      </c>
    </row>
    <row r="445" spans="2:15" ht="21" customHeight="1" x14ac:dyDescent="0.25">
      <c r="B445" s="39">
        <v>1351</v>
      </c>
      <c r="C445" s="20">
        <v>45853</v>
      </c>
      <c r="D445" s="40" t="s">
        <v>240</v>
      </c>
      <c r="E445" s="37" t="str">
        <f>IFERROR(VLOOKUP(D445,CLIENTES!$B$12:$G$2602,2,FALSE),"")</f>
        <v>SOCIEDAD DE INVERSIONES SAN ALONSO SPA</v>
      </c>
      <c r="F445" s="31">
        <v>260000</v>
      </c>
      <c r="G445" s="41" t="s">
        <v>101</v>
      </c>
      <c r="H445" s="26">
        <v>0</v>
      </c>
      <c r="I445" s="21" t="str">
        <f t="shared" si="30"/>
        <v>Contado</v>
      </c>
      <c r="J445" s="22">
        <f t="shared" si="31"/>
        <v>45853</v>
      </c>
      <c r="K445" s="27">
        <f t="shared" ca="1" si="32"/>
        <v>0</v>
      </c>
      <c r="L445" s="23" t="str">
        <f t="shared" si="33"/>
        <v>Pagado</v>
      </c>
      <c r="M445" s="36">
        <f>SUMIFS(Tabla_Pagos[IMPORTE ABONADO],Tabla_Pagos[FECHA DE ABONO],"&gt;0",Tabla_Pagos[NRO DOC],B445)</f>
        <v>260000</v>
      </c>
      <c r="N445" s="36">
        <f t="shared" si="34"/>
        <v>0</v>
      </c>
      <c r="O445" s="22" cm="1">
        <f t="array" ref="O445">MAX(IF((Tabla_Pagos[NRO DOC]=B445)*(Tabla_Pagos[IMPORTE ABONADO]&gt;0),Tabla_Pagos[FECHA DE ABONO]))</f>
        <v>45853</v>
      </c>
    </row>
    <row r="446" spans="2:15" ht="21" customHeight="1" x14ac:dyDescent="0.25">
      <c r="B446" s="39">
        <v>1352</v>
      </c>
      <c r="C446" s="20">
        <v>45854</v>
      </c>
      <c r="D446" s="40" t="s">
        <v>105</v>
      </c>
      <c r="E446" s="37" t="str">
        <f>IFERROR(VLOOKUP(D446,CLIENTES!$B$12:$G$2602,2,FALSE),"")</f>
        <v>INGENIERIA C Y G LIMITADA</v>
      </c>
      <c r="F446" s="31">
        <v>66640</v>
      </c>
      <c r="G446" s="41" t="s">
        <v>101</v>
      </c>
      <c r="H446" s="26">
        <v>0</v>
      </c>
      <c r="I446" s="21" t="str">
        <f t="shared" si="30"/>
        <v>Contado</v>
      </c>
      <c r="J446" s="22">
        <f t="shared" si="31"/>
        <v>45854</v>
      </c>
      <c r="K446" s="27">
        <f t="shared" ca="1" si="32"/>
        <v>0</v>
      </c>
      <c r="L446" s="23" t="str">
        <f t="shared" si="33"/>
        <v>Pagado</v>
      </c>
      <c r="M446" s="36">
        <f>SUMIFS(Tabla_Pagos[IMPORTE ABONADO],Tabla_Pagos[FECHA DE ABONO],"&gt;0",Tabla_Pagos[NRO DOC],B446)</f>
        <v>66640</v>
      </c>
      <c r="N446" s="36">
        <f t="shared" si="34"/>
        <v>0</v>
      </c>
      <c r="O446" s="22" cm="1">
        <f t="array" ref="O446">MAX(IF((Tabla_Pagos[NRO DOC]=B446)*(Tabla_Pagos[IMPORTE ABONADO]&gt;0),Tabla_Pagos[FECHA DE ABONO]))</f>
        <v>45854</v>
      </c>
    </row>
    <row r="447" spans="2:15" ht="21" customHeight="1" x14ac:dyDescent="0.25">
      <c r="B447" s="39">
        <v>1353</v>
      </c>
      <c r="C447" s="20">
        <v>45855</v>
      </c>
      <c r="D447" s="40" t="s">
        <v>102</v>
      </c>
      <c r="E447" s="37" t="str">
        <f>IFERROR(VLOOKUP(D447,CLIENTES!$B$12:$G$2602,2,FALSE),"")</f>
        <v>CONSTRUCTORA CARLOS ALBERTO ANDRES ALBISTUR REYES E.I.R.L.</v>
      </c>
      <c r="F447" s="31">
        <v>41650</v>
      </c>
      <c r="G447" s="41" t="s">
        <v>101</v>
      </c>
      <c r="H447" s="26">
        <v>30</v>
      </c>
      <c r="I447" s="21" t="str">
        <f t="shared" si="30"/>
        <v>Crédito</v>
      </c>
      <c r="J447" s="22">
        <f t="shared" si="31"/>
        <v>45885</v>
      </c>
      <c r="K447" s="27">
        <f t="shared" ca="1" si="32"/>
        <v>0</v>
      </c>
      <c r="L447" s="23" t="str">
        <f t="shared" si="33"/>
        <v>Pagado</v>
      </c>
      <c r="M447" s="36">
        <f>SUMIFS(Tabla_Pagos[IMPORTE ABONADO],Tabla_Pagos[FECHA DE ABONO],"&gt;0",Tabla_Pagos[NRO DOC],B447)</f>
        <v>41650</v>
      </c>
      <c r="N447" s="36">
        <f t="shared" si="34"/>
        <v>0</v>
      </c>
      <c r="O447" s="22" cm="1">
        <f t="array" ref="O447">MAX(IF((Tabla_Pagos[NRO DOC]=B447)*(Tabla_Pagos[IMPORTE ABONADO]&gt;0),Tabla_Pagos[FECHA DE ABONO]))</f>
        <v>45891</v>
      </c>
    </row>
    <row r="448" spans="2:15" ht="21" customHeight="1" x14ac:dyDescent="0.25">
      <c r="B448" s="39">
        <v>1354</v>
      </c>
      <c r="C448" s="20">
        <v>45855</v>
      </c>
      <c r="D448" s="40" t="s">
        <v>102</v>
      </c>
      <c r="E448" s="37" t="str">
        <f>IFERROR(VLOOKUP(D448,CLIENTES!$B$12:$G$2602,2,FALSE),"")</f>
        <v>CONSTRUCTORA CARLOS ALBERTO ANDRES ALBISTUR REYES E.I.R.L.</v>
      </c>
      <c r="F448" s="31">
        <v>124950</v>
      </c>
      <c r="G448" s="41" t="s">
        <v>101</v>
      </c>
      <c r="H448" s="26">
        <v>30</v>
      </c>
      <c r="I448" s="21" t="str">
        <f t="shared" si="30"/>
        <v>Crédito</v>
      </c>
      <c r="J448" s="22">
        <f t="shared" si="31"/>
        <v>45885</v>
      </c>
      <c r="K448" s="27">
        <f t="shared" ca="1" si="32"/>
        <v>0</v>
      </c>
      <c r="L448" s="23" t="str">
        <f t="shared" si="33"/>
        <v>Pagado</v>
      </c>
      <c r="M448" s="36">
        <f>SUMIFS(Tabla_Pagos[IMPORTE ABONADO],Tabla_Pagos[FECHA DE ABONO],"&gt;0",Tabla_Pagos[NRO DOC],B448)</f>
        <v>124950</v>
      </c>
      <c r="N448" s="36">
        <f t="shared" si="34"/>
        <v>0</v>
      </c>
      <c r="O448" s="22" cm="1">
        <f t="array" ref="O448">MAX(IF((Tabla_Pagos[NRO DOC]=B448)*(Tabla_Pagos[IMPORTE ABONADO]&gt;0),Tabla_Pagos[FECHA DE ABONO]))</f>
        <v>45863</v>
      </c>
    </row>
    <row r="449" spans="2:15" ht="21" customHeight="1" x14ac:dyDescent="0.25">
      <c r="B449" s="39">
        <v>1355</v>
      </c>
      <c r="C449" s="20">
        <v>45855</v>
      </c>
      <c r="D449" s="40" t="s">
        <v>401</v>
      </c>
      <c r="E449" s="37" t="str">
        <f>IFERROR(VLOOKUP(D449,CLIENTES!$B$12:$G$2602,2,FALSE),"")</f>
        <v>INVERSIONES SANTA LUISA LIMITADA</v>
      </c>
      <c r="F449" s="31">
        <v>130900</v>
      </c>
      <c r="G449" s="41" t="s">
        <v>101</v>
      </c>
      <c r="H449" s="26">
        <v>30</v>
      </c>
      <c r="I449" s="21" t="str">
        <f t="shared" si="30"/>
        <v>Crédito</v>
      </c>
      <c r="J449" s="22">
        <f t="shared" si="31"/>
        <v>45885</v>
      </c>
      <c r="K449" s="27">
        <f t="shared" ca="1" si="32"/>
        <v>0</v>
      </c>
      <c r="L449" s="23" t="str">
        <f t="shared" si="33"/>
        <v>Pagado</v>
      </c>
      <c r="M449" s="36">
        <f>SUMIFS(Tabla_Pagos[IMPORTE ABONADO],Tabla_Pagos[FECHA DE ABONO],"&gt;0",Tabla_Pagos[NRO DOC],B449)</f>
        <v>130900</v>
      </c>
      <c r="N449" s="36">
        <f t="shared" si="34"/>
        <v>0</v>
      </c>
      <c r="O449" s="22" cm="1">
        <f t="array" ref="O449">MAX(IF((Tabla_Pagos[NRO DOC]=B449)*(Tabla_Pagos[IMPORTE ABONADO]&gt;0),Tabla_Pagos[FECHA DE ABONO]))</f>
        <v>45890</v>
      </c>
    </row>
    <row r="450" spans="2:15" ht="21" customHeight="1" x14ac:dyDescent="0.25">
      <c r="B450" s="39">
        <v>1356</v>
      </c>
      <c r="C450" s="20">
        <v>45856</v>
      </c>
      <c r="D450" s="40" t="s">
        <v>403</v>
      </c>
      <c r="E450" s="37" t="str">
        <f>IFERROR(VLOOKUP(D450,CLIENTES!$B$12:$G$2602,2,FALSE),"")</f>
        <v>ROCPER INGENIERIA &amp; CONSTRUCCION SPA</v>
      </c>
      <c r="F450" s="31">
        <v>190400</v>
      </c>
      <c r="G450" s="41" t="s">
        <v>101</v>
      </c>
      <c r="H450" s="26">
        <v>0</v>
      </c>
      <c r="I450" s="21" t="str">
        <f t="shared" si="30"/>
        <v>Contado</v>
      </c>
      <c r="J450" s="22">
        <f t="shared" si="31"/>
        <v>45856</v>
      </c>
      <c r="K450" s="27">
        <f t="shared" ca="1" si="32"/>
        <v>0</v>
      </c>
      <c r="L450" s="23" t="str">
        <f t="shared" si="33"/>
        <v>Pagado</v>
      </c>
      <c r="M450" s="36">
        <f>SUMIFS(Tabla_Pagos[IMPORTE ABONADO],Tabla_Pagos[FECHA DE ABONO],"&gt;0",Tabla_Pagos[NRO DOC],B450)</f>
        <v>190400</v>
      </c>
      <c r="N450" s="36">
        <f t="shared" si="34"/>
        <v>0</v>
      </c>
      <c r="O450" s="22" cm="1">
        <f t="array" ref="O450">MAX(IF((Tabla_Pagos[NRO DOC]=B450)*(Tabla_Pagos[IMPORTE ABONADO]&gt;0),Tabla_Pagos[FECHA DE ABONO]))</f>
        <v>45856</v>
      </c>
    </row>
    <row r="451" spans="2:15" ht="21" customHeight="1" x14ac:dyDescent="0.25">
      <c r="B451" s="39">
        <v>1357</v>
      </c>
      <c r="C451" s="20">
        <v>45856</v>
      </c>
      <c r="D451" s="40" t="s">
        <v>35</v>
      </c>
      <c r="E451" s="37" t="str">
        <f>IFERROR(VLOOKUP(D451,CLIENTES!$B$12:$G$2602,2,FALSE),"")</f>
        <v>SERVICIOS INTEGRALES LA RIVERA SPA</v>
      </c>
      <c r="F451" s="31">
        <v>38080</v>
      </c>
      <c r="G451" s="41" t="s">
        <v>101</v>
      </c>
      <c r="H451" s="26">
        <v>0</v>
      </c>
      <c r="I451" s="21" t="str">
        <f t="shared" si="30"/>
        <v>Contado</v>
      </c>
      <c r="J451" s="22">
        <f t="shared" si="31"/>
        <v>45856</v>
      </c>
      <c r="K451" s="27">
        <f t="shared" ca="1" si="32"/>
        <v>0</v>
      </c>
      <c r="L451" s="23" t="str">
        <f t="shared" si="33"/>
        <v>Pagado</v>
      </c>
      <c r="M451" s="36">
        <f>SUMIFS(Tabla_Pagos[IMPORTE ABONADO],Tabla_Pagos[FECHA DE ABONO],"&gt;0",Tabla_Pagos[NRO DOC],B451)</f>
        <v>38080</v>
      </c>
      <c r="N451" s="36">
        <f t="shared" si="34"/>
        <v>0</v>
      </c>
      <c r="O451" s="22" cm="1">
        <f t="array" ref="O451">MAX(IF((Tabla_Pagos[NRO DOC]=B451)*(Tabla_Pagos[IMPORTE ABONADO]&gt;0),Tabla_Pagos[FECHA DE ABONO]))</f>
        <v>45856</v>
      </c>
    </row>
    <row r="452" spans="2:15" ht="21" customHeight="1" x14ac:dyDescent="0.25">
      <c r="B452" s="39">
        <v>1358</v>
      </c>
      <c r="C452" s="20">
        <v>45856</v>
      </c>
      <c r="D452" s="40" t="s">
        <v>44</v>
      </c>
      <c r="E452" s="37" t="str">
        <f>IFERROR(VLOOKUP(D452,CLIENTES!$B$12:$G$2602,2,FALSE),"")</f>
        <v>SKC RED SPA</v>
      </c>
      <c r="F452" s="31">
        <v>17850</v>
      </c>
      <c r="G452" s="41" t="s">
        <v>101</v>
      </c>
      <c r="H452" s="26">
        <v>30</v>
      </c>
      <c r="I452" s="21" t="str">
        <f t="shared" si="30"/>
        <v>Crédito</v>
      </c>
      <c r="J452" s="22">
        <f t="shared" si="31"/>
        <v>45886</v>
      </c>
      <c r="K452" s="27">
        <f t="shared" ca="1" si="32"/>
        <v>0</v>
      </c>
      <c r="L452" s="23" t="str">
        <f t="shared" si="33"/>
        <v>Pagado</v>
      </c>
      <c r="M452" s="36">
        <f>SUMIFS(Tabla_Pagos[IMPORTE ABONADO],Tabla_Pagos[FECHA DE ABONO],"&gt;0",Tabla_Pagos[NRO DOC],B452)</f>
        <v>17850</v>
      </c>
      <c r="N452" s="36">
        <f t="shared" si="34"/>
        <v>0</v>
      </c>
      <c r="O452" s="22" cm="1">
        <f t="array" ref="O452">MAX(IF((Tabla_Pagos[NRO DOC]=B452)*(Tabla_Pagos[IMPORTE ABONADO]&gt;0),Tabla_Pagos[FECHA DE ABONO]))</f>
        <v>45883</v>
      </c>
    </row>
    <row r="453" spans="2:15" ht="21" customHeight="1" x14ac:dyDescent="0.25">
      <c r="B453" s="39">
        <v>1359</v>
      </c>
      <c r="C453" s="20">
        <v>45859</v>
      </c>
      <c r="D453" s="40" t="s">
        <v>319</v>
      </c>
      <c r="E453" s="37" t="str">
        <f>IFERROR(VLOOKUP(D453,CLIENTES!$B$12:$G$2602,2,FALSE),"")</f>
        <v>COMERCIAL BOREAL SPA</v>
      </c>
      <c r="F453" s="31">
        <v>19635</v>
      </c>
      <c r="G453" s="41" t="s">
        <v>101</v>
      </c>
      <c r="H453" s="26">
        <v>0</v>
      </c>
      <c r="I453" s="21" t="str">
        <f t="shared" si="30"/>
        <v>Contado</v>
      </c>
      <c r="J453" s="22">
        <f t="shared" si="31"/>
        <v>45859</v>
      </c>
      <c r="K453" s="27">
        <f t="shared" ca="1" si="32"/>
        <v>0</v>
      </c>
      <c r="L453" s="23" t="str">
        <f t="shared" si="33"/>
        <v>Pagado</v>
      </c>
      <c r="M453" s="36">
        <f>SUMIFS(Tabla_Pagos[IMPORTE ABONADO],Tabla_Pagos[FECHA DE ABONO],"&gt;0",Tabla_Pagos[NRO DOC],B453)</f>
        <v>19635</v>
      </c>
      <c r="N453" s="36">
        <f t="shared" si="34"/>
        <v>0</v>
      </c>
      <c r="O453" s="22" cm="1">
        <f t="array" ref="O453">MAX(IF((Tabla_Pagos[NRO DOC]=B453)*(Tabla_Pagos[IMPORTE ABONADO]&gt;0),Tabla_Pagos[FECHA DE ABONO]))</f>
        <v>45859</v>
      </c>
    </row>
    <row r="454" spans="2:15" ht="21" customHeight="1" x14ac:dyDescent="0.25">
      <c r="B454" s="39">
        <v>1360</v>
      </c>
      <c r="C454" s="20">
        <v>45860</v>
      </c>
      <c r="D454" s="40" t="s">
        <v>105</v>
      </c>
      <c r="E454" s="37" t="str">
        <f>IFERROR(VLOOKUP(D454,CLIENTES!$B$12:$G$2602,2,FALSE),"")</f>
        <v>INGENIERIA C Y G LIMITADA</v>
      </c>
      <c r="F454" s="31">
        <v>17850</v>
      </c>
      <c r="G454" s="41" t="s">
        <v>101</v>
      </c>
      <c r="H454" s="26">
        <v>0</v>
      </c>
      <c r="I454" s="21" t="str">
        <f t="shared" si="30"/>
        <v>Contado</v>
      </c>
      <c r="J454" s="22">
        <f t="shared" si="31"/>
        <v>45860</v>
      </c>
      <c r="K454" s="27">
        <f t="shared" ca="1" si="32"/>
        <v>0</v>
      </c>
      <c r="L454" s="23" t="str">
        <f t="shared" si="33"/>
        <v>Pagado</v>
      </c>
      <c r="M454" s="36">
        <f>SUMIFS(Tabla_Pagos[IMPORTE ABONADO],Tabla_Pagos[FECHA DE ABONO],"&gt;0",Tabla_Pagos[NRO DOC],B454)</f>
        <v>17850</v>
      </c>
      <c r="N454" s="36">
        <f t="shared" si="34"/>
        <v>0</v>
      </c>
      <c r="O454" s="22" cm="1">
        <f t="array" ref="O454">MAX(IF((Tabla_Pagos[NRO DOC]=B454)*(Tabla_Pagos[IMPORTE ABONADO]&gt;0),Tabla_Pagos[FECHA DE ABONO]))</f>
        <v>45860</v>
      </c>
    </row>
    <row r="455" spans="2:15" ht="21" customHeight="1" x14ac:dyDescent="0.25">
      <c r="B455" s="39">
        <v>1361</v>
      </c>
      <c r="C455" s="20">
        <v>45860</v>
      </c>
      <c r="D455" s="40" t="s">
        <v>405</v>
      </c>
      <c r="E455" s="37" t="str">
        <f>IFERROR(VLOOKUP(D455,CLIENTES!$B$12:$G$2602,2,FALSE),"")</f>
        <v>UNO DESARROLLOS CONSTRUCTIVOS SPA</v>
      </c>
      <c r="F455" s="31">
        <v>23800</v>
      </c>
      <c r="G455" s="41" t="s">
        <v>101</v>
      </c>
      <c r="H455" s="26">
        <v>0</v>
      </c>
      <c r="I455" s="21" t="str">
        <f t="shared" si="30"/>
        <v>Contado</v>
      </c>
      <c r="J455" s="22">
        <f t="shared" si="31"/>
        <v>45860</v>
      </c>
      <c r="K455" s="27">
        <f t="shared" ca="1" si="32"/>
        <v>0</v>
      </c>
      <c r="L455" s="23" t="str">
        <f t="shared" si="33"/>
        <v>Pagado</v>
      </c>
      <c r="M455" s="36">
        <f>SUMIFS(Tabla_Pagos[IMPORTE ABONADO],Tabla_Pagos[FECHA DE ABONO],"&gt;0",Tabla_Pagos[NRO DOC],B455)</f>
        <v>23800</v>
      </c>
      <c r="N455" s="36">
        <f t="shared" si="34"/>
        <v>0</v>
      </c>
      <c r="O455" s="22" cm="1">
        <f t="array" ref="O455">MAX(IF((Tabla_Pagos[NRO DOC]=B455)*(Tabla_Pagos[IMPORTE ABONADO]&gt;0),Tabla_Pagos[FECHA DE ABONO]))</f>
        <v>45860</v>
      </c>
    </row>
    <row r="456" spans="2:15" ht="21" customHeight="1" x14ac:dyDescent="0.25">
      <c r="B456" s="39">
        <v>1362</v>
      </c>
      <c r="C456" s="20">
        <v>45860</v>
      </c>
      <c r="D456" s="40" t="s">
        <v>250</v>
      </c>
      <c r="E456" s="37" t="str">
        <f>IFERROR(VLOOKUP(D456,CLIENTES!$B$12:$G$2602,2,FALSE),"")</f>
        <v>OSSAVAL SPA</v>
      </c>
      <c r="F456" s="31">
        <v>94010</v>
      </c>
      <c r="G456" s="41" t="s">
        <v>101</v>
      </c>
      <c r="H456" s="26">
        <v>0</v>
      </c>
      <c r="I456" s="21" t="str">
        <f t="shared" si="30"/>
        <v>Contado</v>
      </c>
      <c r="J456" s="22">
        <f t="shared" si="31"/>
        <v>45860</v>
      </c>
      <c r="K456" s="27">
        <f t="shared" ca="1" si="32"/>
        <v>0</v>
      </c>
      <c r="L456" s="23" t="str">
        <f t="shared" si="33"/>
        <v>Pagado</v>
      </c>
      <c r="M456" s="36">
        <f>SUMIFS(Tabla_Pagos[IMPORTE ABONADO],Tabla_Pagos[FECHA DE ABONO],"&gt;0",Tabla_Pagos[NRO DOC],B456)</f>
        <v>94010</v>
      </c>
      <c r="N456" s="36">
        <f t="shared" si="34"/>
        <v>0</v>
      </c>
      <c r="O456" s="22" cm="1">
        <f t="array" ref="O456">MAX(IF((Tabla_Pagos[NRO DOC]=B456)*(Tabla_Pagos[IMPORTE ABONADO]&gt;0),Tabla_Pagos[FECHA DE ABONO]))</f>
        <v>45860</v>
      </c>
    </row>
    <row r="457" spans="2:15" ht="21" customHeight="1" x14ac:dyDescent="0.25">
      <c r="B457" s="39">
        <v>1363</v>
      </c>
      <c r="C457" s="20">
        <v>45861</v>
      </c>
      <c r="D457" s="40" t="s">
        <v>257</v>
      </c>
      <c r="E457" s="37" t="str">
        <f>IFERROR(VLOOKUP(D457,CLIENTES!$B$12:$G$2602,2,FALSE),"")</f>
        <v>SOCIEDAD SB CARRASQUERO SPA</v>
      </c>
      <c r="F457" s="31">
        <v>8925</v>
      </c>
      <c r="G457" s="41" t="s">
        <v>101</v>
      </c>
      <c r="H457" s="26">
        <v>0</v>
      </c>
      <c r="I457" s="21" t="str">
        <f t="shared" si="30"/>
        <v>Contado</v>
      </c>
      <c r="J457" s="22">
        <f t="shared" si="31"/>
        <v>45861</v>
      </c>
      <c r="K457" s="27">
        <f t="shared" ca="1" si="32"/>
        <v>0</v>
      </c>
      <c r="L457" s="23" t="str">
        <f t="shared" si="33"/>
        <v>Pagado</v>
      </c>
      <c r="M457" s="36">
        <f>SUMIFS(Tabla_Pagos[IMPORTE ABONADO],Tabla_Pagos[FECHA DE ABONO],"&gt;0",Tabla_Pagos[NRO DOC],B457)</f>
        <v>8925</v>
      </c>
      <c r="N457" s="36">
        <f t="shared" si="34"/>
        <v>0</v>
      </c>
      <c r="O457" s="22" cm="1">
        <f t="array" ref="O457">MAX(IF((Tabla_Pagos[NRO DOC]=B457)*(Tabla_Pagos[IMPORTE ABONADO]&gt;0),Tabla_Pagos[FECHA DE ABONO]))</f>
        <v>45861</v>
      </c>
    </row>
    <row r="458" spans="2:15" ht="21" customHeight="1" x14ac:dyDescent="0.25">
      <c r="B458" s="39">
        <v>1364</v>
      </c>
      <c r="C458" s="20">
        <v>45861</v>
      </c>
      <c r="D458" s="40" t="s">
        <v>406</v>
      </c>
      <c r="E458" s="37" t="str">
        <f>IFERROR(VLOOKUP(D458,CLIENTES!$B$12:$G$2602,2,FALSE),"")</f>
        <v>LUBRICENTRO  IRMA TRONCOSO PAREDES E.I.R.L.</v>
      </c>
      <c r="F458" s="31">
        <v>23800</v>
      </c>
      <c r="G458" s="41" t="s">
        <v>101</v>
      </c>
      <c r="H458" s="26">
        <v>0</v>
      </c>
      <c r="I458" s="21" t="str">
        <f t="shared" si="30"/>
        <v>Contado</v>
      </c>
      <c r="J458" s="22">
        <f t="shared" si="31"/>
        <v>45861</v>
      </c>
      <c r="K458" s="27">
        <f t="shared" ca="1" si="32"/>
        <v>0</v>
      </c>
      <c r="L458" s="23" t="str">
        <f t="shared" si="33"/>
        <v>Pagado</v>
      </c>
      <c r="M458" s="36">
        <f>SUMIFS(Tabla_Pagos[IMPORTE ABONADO],Tabla_Pagos[FECHA DE ABONO],"&gt;0",Tabla_Pagos[NRO DOC],B458)</f>
        <v>23800</v>
      </c>
      <c r="N458" s="36">
        <f t="shared" si="34"/>
        <v>0</v>
      </c>
      <c r="O458" s="22" cm="1">
        <f t="array" ref="O458">MAX(IF((Tabla_Pagos[NRO DOC]=B458)*(Tabla_Pagos[IMPORTE ABONADO]&gt;0),Tabla_Pagos[FECHA DE ABONO]))</f>
        <v>45861</v>
      </c>
    </row>
    <row r="459" spans="2:15" ht="21" customHeight="1" x14ac:dyDescent="0.25">
      <c r="B459" s="39">
        <v>1365</v>
      </c>
      <c r="C459" s="20">
        <v>45862</v>
      </c>
      <c r="D459" s="40" t="s">
        <v>407</v>
      </c>
      <c r="E459" s="37" t="str">
        <f>IFERROR(VLOOKUP(D459,CLIENTES!$B$12:$G$2602,2,FALSE),"")</f>
        <v>MAESTRANZA INDUSTRIAL FRITIS LIMITADA</v>
      </c>
      <c r="F459" s="31">
        <v>89250</v>
      </c>
      <c r="G459" s="41" t="s">
        <v>101</v>
      </c>
      <c r="H459" s="26">
        <v>0</v>
      </c>
      <c r="I459" s="21" t="str">
        <f t="shared" si="30"/>
        <v>Contado</v>
      </c>
      <c r="J459" s="22">
        <f t="shared" si="31"/>
        <v>45862</v>
      </c>
      <c r="K459" s="27">
        <f t="shared" ca="1" si="32"/>
        <v>0</v>
      </c>
      <c r="L459" s="23" t="str">
        <f t="shared" si="33"/>
        <v>Pagado</v>
      </c>
      <c r="M459" s="36">
        <f>SUMIFS(Tabla_Pagos[IMPORTE ABONADO],Tabla_Pagos[FECHA DE ABONO],"&gt;0",Tabla_Pagos[NRO DOC],B459)</f>
        <v>89250</v>
      </c>
      <c r="N459" s="36">
        <f t="shared" si="34"/>
        <v>0</v>
      </c>
      <c r="O459" s="22" cm="1">
        <f t="array" ref="O459">MAX(IF((Tabla_Pagos[NRO DOC]=B459)*(Tabla_Pagos[IMPORTE ABONADO]&gt;0),Tabla_Pagos[FECHA DE ABONO]))</f>
        <v>45862</v>
      </c>
    </row>
    <row r="460" spans="2:15" ht="21" customHeight="1" x14ac:dyDescent="0.25">
      <c r="B460" s="39">
        <v>1366</v>
      </c>
      <c r="C460" s="20">
        <v>45863</v>
      </c>
      <c r="D460" s="40" t="s">
        <v>395</v>
      </c>
      <c r="E460" s="37" t="str">
        <f>IFERROR(VLOOKUP(D460,CLIENTES!$B$12:$G$2602,2,FALSE),"")</f>
        <v>SOLUCIONES GLOBALES CARLOS HERBERTO MOSCOSO</v>
      </c>
      <c r="F460" s="31">
        <v>141610</v>
      </c>
      <c r="G460" s="41" t="s">
        <v>101</v>
      </c>
      <c r="H460" s="26">
        <v>0</v>
      </c>
      <c r="I460" s="21" t="str">
        <f t="shared" ref="I460:I523" si="35">IF(H460="","",IF(H460=0,"Contado","Crédito"))</f>
        <v>Contado</v>
      </c>
      <c r="J460" s="22">
        <f t="shared" ref="J460:J523" si="36">IF(I460="","",C460+H460)</f>
        <v>45863</v>
      </c>
      <c r="K460" s="27">
        <f t="shared" ref="K460:K523" ca="1" si="37">IFERROR(IF(B460="","",IF(N460=0,0,J460-TODAY())),"")</f>
        <v>0</v>
      </c>
      <c r="L460" s="23" t="str">
        <f t="shared" ref="L460:L523" si="38">IF(I460="","",IF(N460=0,"Pagado",IF(K460&lt;0,"Vencido","No vencido")))</f>
        <v>Pagado</v>
      </c>
      <c r="M460" s="36">
        <f>SUMIFS(Tabla_Pagos[IMPORTE ABONADO],Tabla_Pagos[FECHA DE ABONO],"&gt;0",Tabla_Pagos[NRO DOC],B460)</f>
        <v>141610</v>
      </c>
      <c r="N460" s="36">
        <f t="shared" ref="N460:N523" si="39">F460-M460</f>
        <v>0</v>
      </c>
      <c r="O460" s="22" cm="1">
        <f t="array" ref="O460">MAX(IF((Tabla_Pagos[NRO DOC]=B460)*(Tabla_Pagos[IMPORTE ABONADO]&gt;0),Tabla_Pagos[FECHA DE ABONO]))</f>
        <v>45863</v>
      </c>
    </row>
    <row r="461" spans="2:15" ht="21" customHeight="1" x14ac:dyDescent="0.25">
      <c r="B461" s="39">
        <v>1367</v>
      </c>
      <c r="C461" s="20">
        <v>45863</v>
      </c>
      <c r="D461" s="40" t="s">
        <v>262</v>
      </c>
      <c r="E461" s="37" t="str">
        <f>IFERROR(VLOOKUP(D461,CLIENTES!$B$12:$G$2602,2,FALSE),"")</f>
        <v>GLOBAL PRO GROUP SPA</v>
      </c>
      <c r="F461" s="31">
        <v>190400</v>
      </c>
      <c r="G461" s="41" t="s">
        <v>101</v>
      </c>
      <c r="H461" s="26">
        <v>0</v>
      </c>
      <c r="I461" s="21" t="str">
        <f t="shared" si="35"/>
        <v>Contado</v>
      </c>
      <c r="J461" s="22">
        <f t="shared" si="36"/>
        <v>45863</v>
      </c>
      <c r="K461" s="27">
        <f t="shared" ca="1" si="37"/>
        <v>0</v>
      </c>
      <c r="L461" s="23" t="str">
        <f t="shared" si="38"/>
        <v>Pagado</v>
      </c>
      <c r="M461" s="36">
        <f>SUMIFS(Tabla_Pagos[IMPORTE ABONADO],Tabla_Pagos[FECHA DE ABONO],"&gt;0",Tabla_Pagos[NRO DOC],B461)</f>
        <v>190400</v>
      </c>
      <c r="N461" s="36">
        <f t="shared" si="39"/>
        <v>0</v>
      </c>
      <c r="O461" s="22" cm="1">
        <f t="array" ref="O461">MAX(IF((Tabla_Pagos[NRO DOC]=B461)*(Tabla_Pagos[IMPORTE ABONADO]&gt;0),Tabla_Pagos[FECHA DE ABONO]))</f>
        <v>45863</v>
      </c>
    </row>
    <row r="462" spans="2:15" ht="21" customHeight="1" x14ac:dyDescent="0.25">
      <c r="B462" s="39">
        <v>1368</v>
      </c>
      <c r="C462" s="20">
        <v>45863</v>
      </c>
      <c r="D462" s="40" t="s">
        <v>408</v>
      </c>
      <c r="E462" s="37" t="str">
        <f>IFERROR(VLOOKUP(D462,CLIENTES!$B$12:$G$2602,2,FALSE),"")</f>
        <v>OBISPADO DE COPIAPO</v>
      </c>
      <c r="F462" s="31">
        <v>35700</v>
      </c>
      <c r="G462" s="41" t="s">
        <v>101</v>
      </c>
      <c r="H462" s="26">
        <v>0</v>
      </c>
      <c r="I462" s="21" t="str">
        <f t="shared" si="35"/>
        <v>Contado</v>
      </c>
      <c r="J462" s="22">
        <f t="shared" si="36"/>
        <v>45863</v>
      </c>
      <c r="K462" s="27">
        <f t="shared" ca="1" si="37"/>
        <v>0</v>
      </c>
      <c r="L462" s="23" t="str">
        <f t="shared" si="38"/>
        <v>Pagado</v>
      </c>
      <c r="M462" s="36">
        <f>SUMIFS(Tabla_Pagos[IMPORTE ABONADO],Tabla_Pagos[FECHA DE ABONO],"&gt;0",Tabla_Pagos[NRO DOC],B462)</f>
        <v>35700</v>
      </c>
      <c r="N462" s="36">
        <f t="shared" si="39"/>
        <v>0</v>
      </c>
      <c r="O462" s="22" cm="1">
        <f t="array" ref="O462">MAX(IF((Tabla_Pagos[NRO DOC]=B462)*(Tabla_Pagos[IMPORTE ABONADO]&gt;0),Tabla_Pagos[FECHA DE ABONO]))</f>
        <v>45863</v>
      </c>
    </row>
    <row r="463" spans="2:15" ht="21" customHeight="1" x14ac:dyDescent="0.25">
      <c r="B463" s="39">
        <v>1369</v>
      </c>
      <c r="C463" s="20">
        <v>45863</v>
      </c>
      <c r="D463" s="40" t="s">
        <v>309</v>
      </c>
      <c r="E463" s="37" t="str">
        <f>IFERROR(VLOOKUP(D463,CLIENTES!$B$12:$G$2602,2,FALSE),"")</f>
        <v>PATRICIO ORLANDO OSORIO RIVERA</v>
      </c>
      <c r="F463" s="31">
        <v>178500</v>
      </c>
      <c r="G463" s="41" t="s">
        <v>101</v>
      </c>
      <c r="H463" s="26">
        <v>0</v>
      </c>
      <c r="I463" s="21" t="str">
        <f t="shared" si="35"/>
        <v>Contado</v>
      </c>
      <c r="J463" s="22">
        <f t="shared" si="36"/>
        <v>45863</v>
      </c>
      <c r="K463" s="27">
        <f t="shared" ca="1" si="37"/>
        <v>0</v>
      </c>
      <c r="L463" s="23" t="str">
        <f t="shared" si="38"/>
        <v>Pagado</v>
      </c>
      <c r="M463" s="36">
        <f>SUMIFS(Tabla_Pagos[IMPORTE ABONADO],Tabla_Pagos[FECHA DE ABONO],"&gt;0",Tabla_Pagos[NRO DOC],B463)</f>
        <v>178500</v>
      </c>
      <c r="N463" s="36">
        <f t="shared" si="39"/>
        <v>0</v>
      </c>
      <c r="O463" s="22" cm="1">
        <f t="array" ref="O463">MAX(IF((Tabla_Pagos[NRO DOC]=B463)*(Tabla_Pagos[IMPORTE ABONADO]&gt;0),Tabla_Pagos[FECHA DE ABONO]))</f>
        <v>45863</v>
      </c>
    </row>
    <row r="464" spans="2:15" ht="21" customHeight="1" x14ac:dyDescent="0.25">
      <c r="B464" s="39">
        <v>1370</v>
      </c>
      <c r="C464" s="20">
        <v>45863</v>
      </c>
      <c r="D464" s="40" t="s">
        <v>409</v>
      </c>
      <c r="E464" s="37" t="str">
        <f>IFERROR(VLOOKUP(D464,CLIENTES!$B$12:$G$2602,2,FALSE),"")</f>
        <v>GYB SPA</v>
      </c>
      <c r="F464" s="31">
        <v>202300</v>
      </c>
      <c r="G464" s="41" t="s">
        <v>101</v>
      </c>
      <c r="H464" s="26">
        <v>0</v>
      </c>
      <c r="I464" s="21" t="str">
        <f t="shared" si="35"/>
        <v>Contado</v>
      </c>
      <c r="J464" s="22">
        <f t="shared" si="36"/>
        <v>45863</v>
      </c>
      <c r="K464" s="27">
        <f t="shared" ca="1" si="37"/>
        <v>0</v>
      </c>
      <c r="L464" s="23" t="str">
        <f t="shared" si="38"/>
        <v>Pagado</v>
      </c>
      <c r="M464" s="36">
        <f>SUMIFS(Tabla_Pagos[IMPORTE ABONADO],Tabla_Pagos[FECHA DE ABONO],"&gt;0",Tabla_Pagos[NRO DOC],B464)</f>
        <v>202300</v>
      </c>
      <c r="N464" s="36">
        <f t="shared" si="39"/>
        <v>0</v>
      </c>
      <c r="O464" s="22" cm="1">
        <f t="array" ref="O464">MAX(IF((Tabla_Pagos[NRO DOC]=B464)*(Tabla_Pagos[IMPORTE ABONADO]&gt;0),Tabla_Pagos[FECHA DE ABONO]))</f>
        <v>45863</v>
      </c>
    </row>
    <row r="465" spans="2:15" ht="21" customHeight="1" x14ac:dyDescent="0.25">
      <c r="B465" s="39">
        <v>1371</v>
      </c>
      <c r="C465" s="20">
        <v>45863</v>
      </c>
      <c r="D465" s="40" t="s">
        <v>410</v>
      </c>
      <c r="E465" s="37" t="str">
        <f>IFERROR(VLOOKUP(D465,CLIENTES!$B$12:$G$2602,2,FALSE),"")</f>
        <v>ELISA DENISE LEON GUERRERO</v>
      </c>
      <c r="F465" s="31">
        <v>226100</v>
      </c>
      <c r="G465" s="41" t="s">
        <v>101</v>
      </c>
      <c r="H465" s="26">
        <v>0</v>
      </c>
      <c r="I465" s="21" t="str">
        <f t="shared" si="35"/>
        <v>Contado</v>
      </c>
      <c r="J465" s="22">
        <f t="shared" si="36"/>
        <v>45863</v>
      </c>
      <c r="K465" s="27">
        <f t="shared" ca="1" si="37"/>
        <v>0</v>
      </c>
      <c r="L465" s="23" t="str">
        <f t="shared" si="38"/>
        <v>Pagado</v>
      </c>
      <c r="M465" s="36">
        <f>SUMIFS(Tabla_Pagos[IMPORTE ABONADO],Tabla_Pagos[FECHA DE ABONO],"&gt;0",Tabla_Pagos[NRO DOC],B465)</f>
        <v>226100</v>
      </c>
      <c r="N465" s="36">
        <f t="shared" si="39"/>
        <v>0</v>
      </c>
      <c r="O465" s="22" cm="1">
        <f t="array" ref="O465">MAX(IF((Tabla_Pagos[NRO DOC]=B465)*(Tabla_Pagos[IMPORTE ABONADO]&gt;0),Tabla_Pagos[FECHA DE ABONO]))</f>
        <v>45863</v>
      </c>
    </row>
    <row r="466" spans="2:15" ht="21" customHeight="1" x14ac:dyDescent="0.25">
      <c r="B466" s="39">
        <v>1372</v>
      </c>
      <c r="C466" s="20">
        <v>45869</v>
      </c>
      <c r="D466" s="40" t="s">
        <v>60</v>
      </c>
      <c r="E466" s="37" t="str">
        <f>IFERROR(VLOOKUP(D466,CLIENTES!$B$12:$G$2602,2,FALSE),"")</f>
        <v>CENTRO DE MANTENIMIENTO AUTOMOTRIZ Y MAQUINARIA SPA</v>
      </c>
      <c r="F466" s="31">
        <v>226100</v>
      </c>
      <c r="G466" s="41" t="s">
        <v>101</v>
      </c>
      <c r="H466" s="26">
        <v>30</v>
      </c>
      <c r="I466" s="21" t="str">
        <f t="shared" si="35"/>
        <v>Crédito</v>
      </c>
      <c r="J466" s="22">
        <f t="shared" si="36"/>
        <v>45899</v>
      </c>
      <c r="K466" s="27">
        <f t="shared" ca="1" si="37"/>
        <v>0</v>
      </c>
      <c r="L466" s="23" t="str">
        <f t="shared" si="38"/>
        <v>Pagado</v>
      </c>
      <c r="M466" s="36">
        <f>SUMIFS(Tabla_Pagos[IMPORTE ABONADO],Tabla_Pagos[FECHA DE ABONO],"&gt;0",Tabla_Pagos[NRO DOC],B466)</f>
        <v>226100</v>
      </c>
      <c r="N466" s="36">
        <f t="shared" si="39"/>
        <v>0</v>
      </c>
      <c r="O466" s="22" cm="1">
        <f t="array" ref="O466">MAX(IF((Tabla_Pagos[NRO DOC]=B466)*(Tabla_Pagos[IMPORTE ABONADO]&gt;0),Tabla_Pagos[FECHA DE ABONO]))</f>
        <v>45870</v>
      </c>
    </row>
    <row r="467" spans="2:15" ht="21" customHeight="1" x14ac:dyDescent="0.25">
      <c r="B467" s="39">
        <v>1373</v>
      </c>
      <c r="C467" s="20">
        <v>45869</v>
      </c>
      <c r="D467" s="40" t="s">
        <v>60</v>
      </c>
      <c r="E467" s="37" t="str">
        <f>IFERROR(VLOOKUP(D467,CLIENTES!$B$12:$G$2602,2,FALSE),"")</f>
        <v>CENTRO DE MANTENIMIENTO AUTOMOTRIZ Y MAQUINARIA SPA</v>
      </c>
      <c r="F467" s="31">
        <v>226100</v>
      </c>
      <c r="G467" s="41" t="s">
        <v>101</v>
      </c>
      <c r="H467" s="26">
        <v>30</v>
      </c>
      <c r="I467" s="21" t="str">
        <f t="shared" si="35"/>
        <v>Crédito</v>
      </c>
      <c r="J467" s="22">
        <f t="shared" si="36"/>
        <v>45899</v>
      </c>
      <c r="K467" s="27">
        <f t="shared" ca="1" si="37"/>
        <v>0</v>
      </c>
      <c r="L467" s="23" t="str">
        <f t="shared" si="38"/>
        <v>Pagado</v>
      </c>
      <c r="M467" s="36">
        <f>SUMIFS(Tabla_Pagos[IMPORTE ABONADO],Tabla_Pagos[FECHA DE ABONO],"&gt;0",Tabla_Pagos[NRO DOC],B467)</f>
        <v>226100</v>
      </c>
      <c r="N467" s="36">
        <f t="shared" si="39"/>
        <v>0</v>
      </c>
      <c r="O467" s="22" cm="1">
        <f t="array" ref="O467">MAX(IF((Tabla_Pagos[NRO DOC]=B467)*(Tabla_Pagos[IMPORTE ABONADO]&gt;0),Tabla_Pagos[FECHA DE ABONO]))</f>
        <v>45870</v>
      </c>
    </row>
    <row r="468" spans="2:15" ht="21" customHeight="1" x14ac:dyDescent="0.25">
      <c r="B468" s="39">
        <v>1374</v>
      </c>
      <c r="C468" s="20">
        <v>45870</v>
      </c>
      <c r="D468" s="40" t="s">
        <v>102</v>
      </c>
      <c r="E468" s="37" t="str">
        <f>IFERROR(VLOOKUP(D468,CLIENTES!$B$12:$G$2602,2,FALSE),"")</f>
        <v>CONSTRUCTORA CARLOS ALBERTO ANDRES ALBISTUR REYES E.I.R.L.</v>
      </c>
      <c r="F468" s="31">
        <v>60988</v>
      </c>
      <c r="G468" s="41" t="s">
        <v>101</v>
      </c>
      <c r="H468" s="26">
        <v>30</v>
      </c>
      <c r="I468" s="21" t="str">
        <f t="shared" si="35"/>
        <v>Crédito</v>
      </c>
      <c r="J468" s="22">
        <f t="shared" si="36"/>
        <v>45900</v>
      </c>
      <c r="K468" s="27">
        <f t="shared" ca="1" si="37"/>
        <v>0</v>
      </c>
      <c r="L468" s="23" t="str">
        <f t="shared" si="38"/>
        <v>Pagado</v>
      </c>
      <c r="M468" s="36">
        <f>SUMIFS(Tabla_Pagos[IMPORTE ABONADO],Tabla_Pagos[FECHA DE ABONO],"&gt;0",Tabla_Pagos[NRO DOC],B468)</f>
        <v>60988</v>
      </c>
      <c r="N468" s="36">
        <f t="shared" si="39"/>
        <v>0</v>
      </c>
      <c r="O468" s="22" cm="1">
        <f t="array" ref="O468">MAX(IF((Tabla_Pagos[NRO DOC]=B468)*(Tabla_Pagos[IMPORTE ABONADO]&gt;0),Tabla_Pagos[FECHA DE ABONO]))</f>
        <v>45883</v>
      </c>
    </row>
    <row r="469" spans="2:15" ht="21" customHeight="1" x14ac:dyDescent="0.25">
      <c r="B469" s="39">
        <v>1375</v>
      </c>
      <c r="C469" s="20">
        <v>45870</v>
      </c>
      <c r="D469" s="40" t="s">
        <v>102</v>
      </c>
      <c r="E469" s="37" t="str">
        <f>IFERROR(VLOOKUP(D469,CLIENTES!$B$12:$G$2602,2,FALSE),"")</f>
        <v>CONSTRUCTORA CARLOS ALBERTO ANDRES ALBISTUR REYES E.I.R.L.</v>
      </c>
      <c r="F469" s="31">
        <v>24990</v>
      </c>
      <c r="G469" s="41" t="s">
        <v>101</v>
      </c>
      <c r="H469" s="26">
        <v>30</v>
      </c>
      <c r="I469" s="21" t="str">
        <f t="shared" si="35"/>
        <v>Crédito</v>
      </c>
      <c r="J469" s="22">
        <f t="shared" si="36"/>
        <v>45900</v>
      </c>
      <c r="K469" s="27">
        <f t="shared" ca="1" si="37"/>
        <v>0</v>
      </c>
      <c r="L469" s="23" t="str">
        <f t="shared" si="38"/>
        <v>Pagado</v>
      </c>
      <c r="M469" s="36">
        <f>SUMIFS(Tabla_Pagos[IMPORTE ABONADO],Tabla_Pagos[FECHA DE ABONO],"&gt;0",Tabla_Pagos[NRO DOC],B469)</f>
        <v>24990</v>
      </c>
      <c r="N469" s="36">
        <f t="shared" si="39"/>
        <v>0</v>
      </c>
      <c r="O469" s="22" cm="1">
        <f t="array" ref="O469">MAX(IF((Tabla_Pagos[NRO DOC]=B469)*(Tabla_Pagos[IMPORTE ABONADO]&gt;0),Tabla_Pagos[FECHA DE ABONO]))</f>
        <v>45883</v>
      </c>
    </row>
    <row r="470" spans="2:15" ht="21" customHeight="1" x14ac:dyDescent="0.25">
      <c r="B470" s="39">
        <v>1376</v>
      </c>
      <c r="C470" s="20">
        <v>45870</v>
      </c>
      <c r="D470" s="40" t="s">
        <v>32</v>
      </c>
      <c r="E470" s="37" t="str">
        <f>IFERROR(VLOOKUP(D470,CLIENTES!$B$12:$G$2602,2,FALSE),"")</f>
        <v>AUTOMOTRIZ NICOLAS LTDA.</v>
      </c>
      <c r="F470" s="31">
        <v>226100</v>
      </c>
      <c r="G470" s="41" t="s">
        <v>101</v>
      </c>
      <c r="H470" s="26">
        <v>30</v>
      </c>
      <c r="I470" s="21" t="str">
        <f t="shared" si="35"/>
        <v>Crédito</v>
      </c>
      <c r="J470" s="22">
        <f t="shared" si="36"/>
        <v>45900</v>
      </c>
      <c r="K470" s="27">
        <f t="shared" ca="1" si="37"/>
        <v>0</v>
      </c>
      <c r="L470" s="23" t="str">
        <f t="shared" si="38"/>
        <v>Pagado</v>
      </c>
      <c r="M470" s="36">
        <f>SUMIFS(Tabla_Pagos[IMPORTE ABONADO],Tabla_Pagos[FECHA DE ABONO],"&gt;0",Tabla_Pagos[NRO DOC],B470)</f>
        <v>226100</v>
      </c>
      <c r="N470" s="36">
        <f t="shared" si="39"/>
        <v>0</v>
      </c>
      <c r="O470" s="22" cm="1">
        <f t="array" ref="O470">MAX(IF((Tabla_Pagos[NRO DOC]=B470)*(Tabla_Pagos[IMPORTE ABONADO]&gt;0),Tabla_Pagos[FECHA DE ABONO]))</f>
        <v>45870</v>
      </c>
    </row>
    <row r="471" spans="2:15" ht="21" customHeight="1" x14ac:dyDescent="0.25">
      <c r="B471" s="39">
        <v>1377</v>
      </c>
      <c r="C471" s="20">
        <v>45870</v>
      </c>
      <c r="D471" s="40" t="s">
        <v>32</v>
      </c>
      <c r="E471" s="37" t="str">
        <f>IFERROR(VLOOKUP(D471,CLIENTES!$B$12:$G$2602,2,FALSE),"")</f>
        <v>AUTOMOTRIZ NICOLAS LTDA.</v>
      </c>
      <c r="F471" s="31">
        <v>142800</v>
      </c>
      <c r="G471" s="41" t="s">
        <v>101</v>
      </c>
      <c r="H471" s="26">
        <v>30</v>
      </c>
      <c r="I471" s="21" t="str">
        <f t="shared" si="35"/>
        <v>Crédito</v>
      </c>
      <c r="J471" s="22">
        <f t="shared" si="36"/>
        <v>45900</v>
      </c>
      <c r="K471" s="27">
        <f t="shared" ca="1" si="37"/>
        <v>0</v>
      </c>
      <c r="L471" s="23" t="str">
        <f t="shared" si="38"/>
        <v>Pagado</v>
      </c>
      <c r="M471" s="36">
        <f>SUMIFS(Tabla_Pagos[IMPORTE ABONADO],Tabla_Pagos[FECHA DE ABONO],"&gt;0",Tabla_Pagos[NRO DOC],B471)</f>
        <v>142800</v>
      </c>
      <c r="N471" s="36">
        <f t="shared" si="39"/>
        <v>0</v>
      </c>
      <c r="O471" s="22" cm="1">
        <f t="array" ref="O471">MAX(IF((Tabla_Pagos[NRO DOC]=B471)*(Tabla_Pagos[IMPORTE ABONADO]&gt;0),Tabla_Pagos[FECHA DE ABONO]))</f>
        <v>45898</v>
      </c>
    </row>
    <row r="472" spans="2:15" ht="21" customHeight="1" x14ac:dyDescent="0.25">
      <c r="B472" s="39">
        <v>1378</v>
      </c>
      <c r="C472" s="20">
        <v>45870</v>
      </c>
      <c r="D472" s="40" t="s">
        <v>417</v>
      </c>
      <c r="E472" s="37" t="str">
        <f>IFERROR(VLOOKUP(D472,CLIENTES!$B$12:$G$2602,2,FALSE),"")</f>
        <v>INGENIERIA HIDRAULICA LIMITADA</v>
      </c>
      <c r="F472" s="31">
        <v>226100</v>
      </c>
      <c r="G472" s="41" t="s">
        <v>101</v>
      </c>
      <c r="H472" s="26">
        <v>0</v>
      </c>
      <c r="I472" s="21" t="str">
        <f t="shared" si="35"/>
        <v>Contado</v>
      </c>
      <c r="J472" s="22">
        <f t="shared" si="36"/>
        <v>45870</v>
      </c>
      <c r="K472" s="27">
        <f t="shared" ca="1" si="37"/>
        <v>0</v>
      </c>
      <c r="L472" s="23" t="str">
        <f t="shared" si="38"/>
        <v>Pagado</v>
      </c>
      <c r="M472" s="36">
        <f>SUMIFS(Tabla_Pagos[IMPORTE ABONADO],Tabla_Pagos[FECHA DE ABONO],"&gt;0",Tabla_Pagos[NRO DOC],B472)</f>
        <v>226100</v>
      </c>
      <c r="N472" s="36">
        <f t="shared" si="39"/>
        <v>0</v>
      </c>
      <c r="O472" s="22" cm="1">
        <f t="array" ref="O472">MAX(IF((Tabla_Pagos[NRO DOC]=B472)*(Tabla_Pagos[IMPORTE ABONADO]&gt;0),Tabla_Pagos[FECHA DE ABONO]))</f>
        <v>45870</v>
      </c>
    </row>
    <row r="473" spans="2:15" ht="21" customHeight="1" x14ac:dyDescent="0.25">
      <c r="B473" s="39">
        <v>1379</v>
      </c>
      <c r="C473" s="20">
        <v>45873</v>
      </c>
      <c r="D473" s="40" t="s">
        <v>171</v>
      </c>
      <c r="E473" s="37" t="str">
        <f>IFERROR(VLOOKUP(D473,CLIENTES!$B$12:$G$2602,2,FALSE),"")</f>
        <v>EDWIN HOLVOET Y COMPANIA LIMITADA</v>
      </c>
      <c r="F473" s="31">
        <v>476000</v>
      </c>
      <c r="G473" s="41" t="s">
        <v>101</v>
      </c>
      <c r="H473" s="26">
        <v>30</v>
      </c>
      <c r="I473" s="21" t="str">
        <f t="shared" si="35"/>
        <v>Crédito</v>
      </c>
      <c r="J473" s="22">
        <f t="shared" si="36"/>
        <v>45903</v>
      </c>
      <c r="K473" s="27">
        <f t="shared" ca="1" si="37"/>
        <v>0</v>
      </c>
      <c r="L473" s="23" t="str">
        <f t="shared" si="38"/>
        <v>Pagado</v>
      </c>
      <c r="M473" s="36">
        <f>SUMIFS(Tabla_Pagos[IMPORTE ABONADO],Tabla_Pagos[FECHA DE ABONO],"&gt;0",Tabla_Pagos[NRO DOC],B473)</f>
        <v>476000</v>
      </c>
      <c r="N473" s="36">
        <f t="shared" si="39"/>
        <v>0</v>
      </c>
      <c r="O473" s="22" cm="1">
        <f t="array" ref="O473">MAX(IF((Tabla_Pagos[NRO DOC]=B473)*(Tabla_Pagos[IMPORTE ABONADO]&gt;0),Tabla_Pagos[FECHA DE ABONO]))</f>
        <v>45873</v>
      </c>
    </row>
    <row r="474" spans="2:15" ht="21" customHeight="1" x14ac:dyDescent="0.25">
      <c r="B474" s="39">
        <v>1380</v>
      </c>
      <c r="C474" s="20">
        <v>45873</v>
      </c>
      <c r="D474" s="40" t="s">
        <v>419</v>
      </c>
      <c r="E474" s="37" t="str">
        <f>IFERROR(VLOOKUP(D474,CLIENTES!$B$12:$G$2602,2,FALSE),"")</f>
        <v>KARINA VALESKA CERDA ARAYA</v>
      </c>
      <c r="F474" s="31">
        <v>20000</v>
      </c>
      <c r="G474" s="41" t="s">
        <v>101</v>
      </c>
      <c r="H474" s="26">
        <v>0</v>
      </c>
      <c r="I474" s="21" t="str">
        <f t="shared" si="35"/>
        <v>Contado</v>
      </c>
      <c r="J474" s="22">
        <f t="shared" si="36"/>
        <v>45873</v>
      </c>
      <c r="K474" s="27">
        <f t="shared" ca="1" si="37"/>
        <v>0</v>
      </c>
      <c r="L474" s="23" t="str">
        <f t="shared" si="38"/>
        <v>Pagado</v>
      </c>
      <c r="M474" s="36">
        <f>SUMIFS(Tabla_Pagos[IMPORTE ABONADO],Tabla_Pagos[FECHA DE ABONO],"&gt;0",Tabla_Pagos[NRO DOC],B474)</f>
        <v>20000</v>
      </c>
      <c r="N474" s="36">
        <f t="shared" si="39"/>
        <v>0</v>
      </c>
      <c r="O474" s="22" cm="1">
        <f t="array" ref="O474">MAX(IF((Tabla_Pagos[NRO DOC]=B474)*(Tabla_Pagos[IMPORTE ABONADO]&gt;0),Tabla_Pagos[FECHA DE ABONO]))</f>
        <v>45873</v>
      </c>
    </row>
    <row r="475" spans="2:15" ht="21" customHeight="1" x14ac:dyDescent="0.25">
      <c r="B475" s="39">
        <v>1381</v>
      </c>
      <c r="C475" s="20">
        <v>45873</v>
      </c>
      <c r="D475" s="40" t="s">
        <v>48</v>
      </c>
      <c r="E475" s="37" t="str">
        <f>IFERROR(VLOOKUP(D475,CLIENTES!$B$12:$G$2602,2,FALSE),"")</f>
        <v>RESITER SERVICIOS GENERALES SPA</v>
      </c>
      <c r="F475" s="31">
        <v>23800</v>
      </c>
      <c r="G475" s="41" t="s">
        <v>101</v>
      </c>
      <c r="H475" s="26">
        <v>0</v>
      </c>
      <c r="I475" s="21" t="str">
        <f t="shared" si="35"/>
        <v>Contado</v>
      </c>
      <c r="J475" s="22">
        <f t="shared" si="36"/>
        <v>45873</v>
      </c>
      <c r="K475" s="27">
        <f t="shared" ca="1" si="37"/>
        <v>0</v>
      </c>
      <c r="L475" s="23" t="str">
        <f t="shared" si="38"/>
        <v>Pagado</v>
      </c>
      <c r="M475" s="36">
        <f>SUMIFS(Tabla_Pagos[IMPORTE ABONADO],Tabla_Pagos[FECHA DE ABONO],"&gt;0",Tabla_Pagos[NRO DOC],B475)</f>
        <v>23800</v>
      </c>
      <c r="N475" s="36">
        <f t="shared" si="39"/>
        <v>0</v>
      </c>
      <c r="O475" s="22" cm="1">
        <f t="array" ref="O475">MAX(IF((Tabla_Pagos[NRO DOC]=B475)*(Tabla_Pagos[IMPORTE ABONADO]&gt;0),Tabla_Pagos[FECHA DE ABONO]))</f>
        <v>45873</v>
      </c>
    </row>
    <row r="476" spans="2:15" ht="21" customHeight="1" x14ac:dyDescent="0.25">
      <c r="B476" s="39">
        <v>1382</v>
      </c>
      <c r="C476" s="20">
        <v>45873</v>
      </c>
      <c r="D476" s="40" t="s">
        <v>44</v>
      </c>
      <c r="E476" s="37" t="str">
        <f>IFERROR(VLOOKUP(D476,CLIENTES!$B$12:$G$2602,2,FALSE),"")</f>
        <v>SKC RED SPA</v>
      </c>
      <c r="F476" s="31">
        <v>17850</v>
      </c>
      <c r="G476" s="41" t="s">
        <v>101</v>
      </c>
      <c r="H476" s="26">
        <v>30</v>
      </c>
      <c r="I476" s="21" t="str">
        <f t="shared" si="35"/>
        <v>Crédito</v>
      </c>
      <c r="J476" s="22">
        <f t="shared" si="36"/>
        <v>45903</v>
      </c>
      <c r="K476" s="27">
        <f t="shared" ca="1" si="37"/>
        <v>0</v>
      </c>
      <c r="L476" s="23" t="str">
        <f t="shared" si="38"/>
        <v>Pagado</v>
      </c>
      <c r="M476" s="36">
        <f>SUMIFS(Tabla_Pagos[IMPORTE ABONADO],Tabla_Pagos[FECHA DE ABONO],"&gt;0",Tabla_Pagos[NRO DOC],B476)</f>
        <v>17850</v>
      </c>
      <c r="N476" s="36">
        <f t="shared" si="39"/>
        <v>0</v>
      </c>
      <c r="O476" s="22" cm="1">
        <f t="array" ref="O476">MAX(IF((Tabla_Pagos[NRO DOC]=B476)*(Tabla_Pagos[IMPORTE ABONADO]&gt;0),Tabla_Pagos[FECHA DE ABONO]))</f>
        <v>45905</v>
      </c>
    </row>
    <row r="477" spans="2:15" ht="21" customHeight="1" x14ac:dyDescent="0.25">
      <c r="B477" s="39">
        <v>1383</v>
      </c>
      <c r="C477" s="20">
        <v>45873</v>
      </c>
      <c r="D477" s="40" t="s">
        <v>102</v>
      </c>
      <c r="E477" s="37" t="str">
        <f>IFERROR(VLOOKUP(D477,CLIENTES!$B$12:$G$2602,2,FALSE),"")</f>
        <v>CONSTRUCTORA CARLOS ALBERTO ANDRES ALBISTUR REYES E.I.R.L.</v>
      </c>
      <c r="F477" s="31">
        <v>107100</v>
      </c>
      <c r="G477" s="41" t="s">
        <v>101</v>
      </c>
      <c r="H477" s="26">
        <v>30</v>
      </c>
      <c r="I477" s="21" t="str">
        <f t="shared" si="35"/>
        <v>Crédito</v>
      </c>
      <c r="J477" s="22">
        <f t="shared" si="36"/>
        <v>45903</v>
      </c>
      <c r="K477" s="27">
        <f t="shared" ca="1" si="37"/>
        <v>0</v>
      </c>
      <c r="L477" s="23" t="str">
        <f t="shared" si="38"/>
        <v>Pagado</v>
      </c>
      <c r="M477" s="36">
        <f>SUMIFS(Tabla_Pagos[IMPORTE ABONADO],Tabla_Pagos[FECHA DE ABONO],"&gt;0",Tabla_Pagos[NRO DOC],B477)</f>
        <v>107100</v>
      </c>
      <c r="N477" s="36">
        <f t="shared" si="39"/>
        <v>0</v>
      </c>
      <c r="O477" s="22" cm="1">
        <f t="array" ref="O477">MAX(IF((Tabla_Pagos[NRO DOC]=B477)*(Tabla_Pagos[IMPORTE ABONADO]&gt;0),Tabla_Pagos[FECHA DE ABONO]))</f>
        <v>45880</v>
      </c>
    </row>
    <row r="478" spans="2:15" ht="21" customHeight="1" x14ac:dyDescent="0.25">
      <c r="B478" s="39">
        <v>1384</v>
      </c>
      <c r="C478" s="20">
        <v>45874</v>
      </c>
      <c r="D478" s="40" t="s">
        <v>172</v>
      </c>
      <c r="E478" s="37" t="str">
        <f>IFERROR(VLOOKUP(D478,CLIENTES!$B$12:$G$2602,2,FALSE),"")</f>
        <v>JP ELECTRONIC SOCIEDAD ANONIMA</v>
      </c>
      <c r="F478" s="31">
        <v>238000</v>
      </c>
      <c r="G478" s="41" t="s">
        <v>101</v>
      </c>
      <c r="H478" s="26">
        <v>30</v>
      </c>
      <c r="I478" s="21" t="str">
        <f t="shared" si="35"/>
        <v>Crédito</v>
      </c>
      <c r="J478" s="22">
        <f t="shared" si="36"/>
        <v>45904</v>
      </c>
      <c r="K478" s="27">
        <f t="shared" ca="1" si="37"/>
        <v>0</v>
      </c>
      <c r="L478" s="23" t="str">
        <f t="shared" si="38"/>
        <v>Pagado</v>
      </c>
      <c r="M478" s="36">
        <f>SUMIFS(Tabla_Pagos[IMPORTE ABONADO],Tabla_Pagos[FECHA DE ABONO],"&gt;0",Tabla_Pagos[NRO DOC],B478)</f>
        <v>238000</v>
      </c>
      <c r="N478" s="36">
        <f t="shared" si="39"/>
        <v>0</v>
      </c>
      <c r="O478" s="22" cm="1">
        <f t="array" ref="O478">MAX(IF((Tabla_Pagos[NRO DOC]=B478)*(Tabla_Pagos[IMPORTE ABONADO]&gt;0),Tabla_Pagos[FECHA DE ABONO]))</f>
        <v>45874</v>
      </c>
    </row>
    <row r="479" spans="2:15" ht="21" customHeight="1" x14ac:dyDescent="0.25">
      <c r="B479" s="39">
        <v>1385</v>
      </c>
      <c r="C479" s="20">
        <v>45874</v>
      </c>
      <c r="D479" s="40" t="s">
        <v>62</v>
      </c>
      <c r="E479" s="37" t="str">
        <f>IFERROR(VLOOKUP(D479,CLIENTES!$B$12:$G$2602,2,FALSE),"")</f>
        <v>SEMINET SPA</v>
      </c>
      <c r="F479" s="31">
        <v>139468</v>
      </c>
      <c r="G479" s="41" t="s">
        <v>394</v>
      </c>
      <c r="H479" s="26">
        <v>30</v>
      </c>
      <c r="I479" s="21" t="str">
        <f t="shared" si="35"/>
        <v>Crédito</v>
      </c>
      <c r="J479" s="22">
        <f t="shared" si="36"/>
        <v>45904</v>
      </c>
      <c r="K479" s="27">
        <f t="shared" ca="1" si="37"/>
        <v>0</v>
      </c>
      <c r="L479" s="23" t="str">
        <f t="shared" si="38"/>
        <v>Pagado</v>
      </c>
      <c r="M479" s="36">
        <f>SUMIFS(Tabla_Pagos[IMPORTE ABONADO],Tabla_Pagos[FECHA DE ABONO],"&gt;0",Tabla_Pagos[NRO DOC],B479)</f>
        <v>139468</v>
      </c>
      <c r="N479" s="36">
        <f t="shared" si="39"/>
        <v>0</v>
      </c>
      <c r="O479" s="22" cm="1">
        <f t="array" ref="O479">MAX(IF((Tabla_Pagos[NRO DOC]=B479)*(Tabla_Pagos[IMPORTE ABONADO]&gt;0),Tabla_Pagos[FECHA DE ABONO]))</f>
        <v>45896</v>
      </c>
    </row>
    <row r="480" spans="2:15" ht="21" customHeight="1" x14ac:dyDescent="0.25">
      <c r="B480" s="39">
        <v>1386</v>
      </c>
      <c r="C480" s="20">
        <v>45874</v>
      </c>
      <c r="D480" s="40" t="s">
        <v>421</v>
      </c>
      <c r="E480" s="37" t="str">
        <f>IFERROR(VLOOKUP(D480,CLIENTES!$B$12:$G$2602,2,FALSE),"")</f>
        <v>GUILLERMO EDUARDO PACHECO BOLADO</v>
      </c>
      <c r="F480" s="31">
        <v>17850</v>
      </c>
      <c r="G480" s="41" t="s">
        <v>394</v>
      </c>
      <c r="H480" s="26">
        <v>0</v>
      </c>
      <c r="I480" s="21" t="str">
        <f t="shared" si="35"/>
        <v>Contado</v>
      </c>
      <c r="J480" s="22">
        <f t="shared" si="36"/>
        <v>45874</v>
      </c>
      <c r="K480" s="27">
        <f t="shared" ca="1" si="37"/>
        <v>0</v>
      </c>
      <c r="L480" s="23" t="str">
        <f t="shared" si="38"/>
        <v>Pagado</v>
      </c>
      <c r="M480" s="36">
        <f>SUMIFS(Tabla_Pagos[IMPORTE ABONADO],Tabla_Pagos[FECHA DE ABONO],"&gt;0",Tabla_Pagos[NRO DOC],B480)</f>
        <v>17850</v>
      </c>
      <c r="N480" s="36">
        <f t="shared" si="39"/>
        <v>0</v>
      </c>
      <c r="O480" s="22" cm="1">
        <f t="array" ref="O480">MAX(IF((Tabla_Pagos[NRO DOC]=B480)*(Tabla_Pagos[IMPORTE ABONADO]&gt;0),Tabla_Pagos[FECHA DE ABONO]))</f>
        <v>45874</v>
      </c>
    </row>
    <row r="481" spans="2:15" ht="21" customHeight="1" x14ac:dyDescent="0.25">
      <c r="B481" s="39">
        <v>1387</v>
      </c>
      <c r="C481" s="20">
        <v>45874</v>
      </c>
      <c r="D481" s="40" t="s">
        <v>47</v>
      </c>
      <c r="E481" s="37" t="str">
        <f>IFERROR(VLOOKUP(D481,CLIENTES!$B$12:$G$2602,2,FALSE),"")</f>
        <v>PATAGONIA SERVICIOS SPA</v>
      </c>
      <c r="F481" s="31">
        <v>17850000</v>
      </c>
      <c r="G481" s="41" t="s">
        <v>101</v>
      </c>
      <c r="H481" s="26">
        <v>30</v>
      </c>
      <c r="I481" s="21" t="str">
        <f t="shared" si="35"/>
        <v>Crédito</v>
      </c>
      <c r="J481" s="22">
        <f t="shared" si="36"/>
        <v>45904</v>
      </c>
      <c r="K481" s="27">
        <f t="shared" ca="1" si="37"/>
        <v>0</v>
      </c>
      <c r="L481" s="23" t="str">
        <f t="shared" si="38"/>
        <v>Pagado</v>
      </c>
      <c r="M481" s="36">
        <f>SUMIFS(Tabla_Pagos[IMPORTE ABONADO],Tabla_Pagos[FECHA DE ABONO],"&gt;0",Tabla_Pagos[NRO DOC],B481)</f>
        <v>17850000</v>
      </c>
      <c r="N481" s="36">
        <f t="shared" si="39"/>
        <v>0</v>
      </c>
      <c r="O481" s="22" cm="1">
        <f t="array" ref="O481">MAX(IF((Tabla_Pagos[NRO DOC]=B481)*(Tabla_Pagos[IMPORTE ABONADO]&gt;0),Tabla_Pagos[FECHA DE ABONO]))</f>
        <v>45946</v>
      </c>
    </row>
    <row r="482" spans="2:15" ht="21" customHeight="1" x14ac:dyDescent="0.25">
      <c r="B482" s="39">
        <v>1388</v>
      </c>
      <c r="C482" s="20">
        <v>45875</v>
      </c>
      <c r="D482" s="40" t="s">
        <v>423</v>
      </c>
      <c r="E482" s="37" t="str">
        <f>IFERROR(VLOOKUP(D482,CLIENTES!$B$12:$G$2602,2,FALSE),"")</f>
        <v>DISTRIBUIDORA DE EXPLOSIVOS Y ACCESORIOS S A</v>
      </c>
      <c r="F482" s="31">
        <v>17850</v>
      </c>
      <c r="G482" s="41" t="s">
        <v>101</v>
      </c>
      <c r="H482" s="26">
        <v>0</v>
      </c>
      <c r="I482" s="21" t="str">
        <f t="shared" si="35"/>
        <v>Contado</v>
      </c>
      <c r="J482" s="22">
        <f t="shared" si="36"/>
        <v>45875</v>
      </c>
      <c r="K482" s="27">
        <f t="shared" ca="1" si="37"/>
        <v>0</v>
      </c>
      <c r="L482" s="23" t="str">
        <f t="shared" si="38"/>
        <v>Pagado</v>
      </c>
      <c r="M482" s="36">
        <f>SUMIFS(Tabla_Pagos[IMPORTE ABONADO],Tabla_Pagos[FECHA DE ABONO],"&gt;0",Tabla_Pagos[NRO DOC],B482)</f>
        <v>17850</v>
      </c>
      <c r="N482" s="36">
        <f t="shared" si="39"/>
        <v>0</v>
      </c>
      <c r="O482" s="22" cm="1">
        <f t="array" ref="O482">MAX(IF((Tabla_Pagos[NRO DOC]=B482)*(Tabla_Pagos[IMPORTE ABONADO]&gt;0),Tabla_Pagos[FECHA DE ABONO]))</f>
        <v>45875</v>
      </c>
    </row>
    <row r="483" spans="2:15" ht="21" customHeight="1" x14ac:dyDescent="0.25">
      <c r="B483" s="39">
        <v>1389</v>
      </c>
      <c r="C483" s="20">
        <v>45876</v>
      </c>
      <c r="D483" s="40" t="s">
        <v>424</v>
      </c>
      <c r="E483" s="37" t="str">
        <f>IFERROR(VLOOKUP(D483,CLIENTES!$B$12:$G$2602,2,FALSE),"")</f>
        <v>EMPRESA DE TRANSPORTE DE PASAJEROS QUILICAL LIMITADA</v>
      </c>
      <c r="F483" s="31">
        <v>1166200</v>
      </c>
      <c r="G483" s="41" t="s">
        <v>101</v>
      </c>
      <c r="H483" s="26">
        <v>30</v>
      </c>
      <c r="I483" s="21" t="str">
        <f t="shared" si="35"/>
        <v>Crédito</v>
      </c>
      <c r="J483" s="22">
        <f t="shared" si="36"/>
        <v>45906</v>
      </c>
      <c r="K483" s="27">
        <f t="shared" ca="1" si="37"/>
        <v>-272</v>
      </c>
      <c r="L483" s="23" t="str">
        <f t="shared" ca="1" si="38"/>
        <v>Vencido</v>
      </c>
      <c r="M483" s="36">
        <f>SUMIFS(Tabla_Pagos[IMPORTE ABONADO],Tabla_Pagos[FECHA DE ABONO],"&gt;0",Tabla_Pagos[NRO DOC],B483)</f>
        <v>250000</v>
      </c>
      <c r="N483" s="36">
        <f t="shared" si="39"/>
        <v>916200</v>
      </c>
      <c r="O483" s="22" cm="1">
        <f t="array" ref="O483">MAX(IF((Tabla_Pagos[NRO DOC]=B483)*(Tabla_Pagos[IMPORTE ABONADO]&gt;0),Tabla_Pagos[FECHA DE ABONO]))</f>
        <v>45940</v>
      </c>
    </row>
    <row r="484" spans="2:15" ht="21" customHeight="1" x14ac:dyDescent="0.25">
      <c r="B484" s="39">
        <v>1390</v>
      </c>
      <c r="C484" s="20">
        <v>45876</v>
      </c>
      <c r="D484" s="40" t="s">
        <v>266</v>
      </c>
      <c r="E484" s="37" t="str">
        <f>IFERROR(VLOOKUP(D484,CLIENTES!$B$12:$G$2602,2,FALSE),"")</f>
        <v>TRANSPORTES VERASAY SPA</v>
      </c>
      <c r="F484" s="31">
        <v>416500</v>
      </c>
      <c r="G484" s="41" t="s">
        <v>101</v>
      </c>
      <c r="H484" s="26">
        <v>30</v>
      </c>
      <c r="I484" s="21" t="str">
        <f t="shared" si="35"/>
        <v>Crédito</v>
      </c>
      <c r="J484" s="22">
        <f t="shared" si="36"/>
        <v>45906</v>
      </c>
      <c r="K484" s="27">
        <f t="shared" ca="1" si="37"/>
        <v>0</v>
      </c>
      <c r="L484" s="23" t="str">
        <f t="shared" si="38"/>
        <v>Pagado</v>
      </c>
      <c r="M484" s="36">
        <f>SUMIFS(Tabla_Pagos[IMPORTE ABONADO],Tabla_Pagos[FECHA DE ABONO],"&gt;0",Tabla_Pagos[NRO DOC],B484)</f>
        <v>416500</v>
      </c>
      <c r="N484" s="36">
        <f t="shared" si="39"/>
        <v>0</v>
      </c>
      <c r="O484" s="22" cm="1">
        <f t="array" ref="O484">MAX(IF((Tabla_Pagos[NRO DOC]=B484)*(Tabla_Pagos[IMPORTE ABONADO]&gt;0),Tabla_Pagos[FECHA DE ABONO]))</f>
        <v>45923</v>
      </c>
    </row>
    <row r="485" spans="2:15" ht="21" customHeight="1" x14ac:dyDescent="0.25">
      <c r="B485" s="39">
        <v>1391</v>
      </c>
      <c r="C485" s="20">
        <v>45876</v>
      </c>
      <c r="D485" s="40" t="s">
        <v>41</v>
      </c>
      <c r="E485" s="37" t="str">
        <f>IFERROR(VLOOKUP(D485,CLIENTES!$B$12:$G$2602,2,FALSE),"")</f>
        <v>TRANSPORTE DOBLE C SPA</v>
      </c>
      <c r="F485" s="31">
        <v>416500</v>
      </c>
      <c r="G485" s="41" t="s">
        <v>101</v>
      </c>
      <c r="H485" s="26">
        <v>0</v>
      </c>
      <c r="I485" s="21" t="str">
        <f t="shared" si="35"/>
        <v>Contado</v>
      </c>
      <c r="J485" s="22">
        <f t="shared" si="36"/>
        <v>45876</v>
      </c>
      <c r="K485" s="27">
        <f t="shared" ca="1" si="37"/>
        <v>0</v>
      </c>
      <c r="L485" s="23" t="str">
        <f t="shared" si="38"/>
        <v>Pagado</v>
      </c>
      <c r="M485" s="36">
        <f>SUMIFS(Tabla_Pagos[IMPORTE ABONADO],Tabla_Pagos[FECHA DE ABONO],"&gt;0",Tabla_Pagos[NRO DOC],B485)</f>
        <v>416500</v>
      </c>
      <c r="N485" s="36">
        <f t="shared" si="39"/>
        <v>0</v>
      </c>
      <c r="O485" s="22" cm="1">
        <f t="array" ref="O485">MAX(IF((Tabla_Pagos[NRO DOC]=B485)*(Tabla_Pagos[IMPORTE ABONADO]&gt;0),Tabla_Pagos[FECHA DE ABONO]))</f>
        <v>45876</v>
      </c>
    </row>
    <row r="486" spans="2:15" ht="21" customHeight="1" x14ac:dyDescent="0.25">
      <c r="B486" s="39">
        <v>1392</v>
      </c>
      <c r="C486" s="20">
        <v>45877</v>
      </c>
      <c r="D486" s="40" t="s">
        <v>427</v>
      </c>
      <c r="E486" s="37" t="str">
        <f>IFERROR(VLOOKUP(D486,CLIENTES!$B$12:$G$2602,2,FALSE),"")</f>
        <v>COMPAÑÍA EXPLOTADORA MINERA SAN ANDRES</v>
      </c>
      <c r="F486" s="31">
        <v>76160</v>
      </c>
      <c r="G486" s="41" t="s">
        <v>394</v>
      </c>
      <c r="H486" s="26">
        <v>0</v>
      </c>
      <c r="I486" s="21" t="str">
        <f t="shared" si="35"/>
        <v>Contado</v>
      </c>
      <c r="J486" s="22">
        <f t="shared" si="36"/>
        <v>45877</v>
      </c>
      <c r="K486" s="27">
        <f t="shared" ca="1" si="37"/>
        <v>0</v>
      </c>
      <c r="L486" s="23" t="str">
        <f t="shared" si="38"/>
        <v>Pagado</v>
      </c>
      <c r="M486" s="36">
        <f>SUMIFS(Tabla_Pagos[IMPORTE ABONADO],Tabla_Pagos[FECHA DE ABONO],"&gt;0",Tabla_Pagos[NRO DOC],B486)</f>
        <v>76160</v>
      </c>
      <c r="N486" s="36">
        <f t="shared" si="39"/>
        <v>0</v>
      </c>
      <c r="O486" s="22" cm="1">
        <f t="array" ref="O486">MAX(IF((Tabla_Pagos[NRO DOC]=B486)*(Tabla_Pagos[IMPORTE ABONADO]&gt;0),Tabla_Pagos[FECHA DE ABONO]))</f>
        <v>45877</v>
      </c>
    </row>
    <row r="487" spans="2:15" ht="21" customHeight="1" x14ac:dyDescent="0.25">
      <c r="B487" s="39">
        <v>1393</v>
      </c>
      <c r="C487" s="20">
        <v>45877</v>
      </c>
      <c r="D487" s="40" t="s">
        <v>368</v>
      </c>
      <c r="E487" s="37" t="str">
        <f>IFERROR(VLOOKUP(D487,CLIENTES!$B$12:$G$2602,2,FALSE),"")</f>
        <v>SIDESA CHILE S.A.</v>
      </c>
      <c r="F487" s="31">
        <v>46648</v>
      </c>
      <c r="G487" s="41" t="s">
        <v>394</v>
      </c>
      <c r="H487" s="26">
        <v>30</v>
      </c>
      <c r="I487" s="21" t="str">
        <f t="shared" si="35"/>
        <v>Crédito</v>
      </c>
      <c r="J487" s="22">
        <f t="shared" si="36"/>
        <v>45907</v>
      </c>
      <c r="K487" s="27">
        <f t="shared" ca="1" si="37"/>
        <v>0</v>
      </c>
      <c r="L487" s="23" t="str">
        <f t="shared" si="38"/>
        <v>Pagado</v>
      </c>
      <c r="M487" s="36">
        <f>SUMIFS(Tabla_Pagos[IMPORTE ABONADO],Tabla_Pagos[FECHA DE ABONO],"&gt;0",Tabla_Pagos[NRO DOC],B487)</f>
        <v>46648</v>
      </c>
      <c r="N487" s="36">
        <f t="shared" si="39"/>
        <v>0</v>
      </c>
      <c r="O487" s="22" cm="1">
        <f t="array" ref="O487">MAX(IF((Tabla_Pagos[NRO DOC]=B487)*(Tabla_Pagos[IMPORTE ABONADO]&gt;0),Tabla_Pagos[FECHA DE ABONO]))</f>
        <v>45911</v>
      </c>
    </row>
    <row r="488" spans="2:15" ht="21" customHeight="1" x14ac:dyDescent="0.25">
      <c r="B488" s="39">
        <v>1394</v>
      </c>
      <c r="C488" s="20">
        <v>45877</v>
      </c>
      <c r="D488" s="40" t="s">
        <v>368</v>
      </c>
      <c r="E488" s="37" t="str">
        <f>IFERROR(VLOOKUP(D488,CLIENTES!$B$12:$G$2602,2,FALSE),"")</f>
        <v>SIDESA CHILE S.A.</v>
      </c>
      <c r="F488" s="31">
        <v>160650</v>
      </c>
      <c r="G488" s="41" t="s">
        <v>101</v>
      </c>
      <c r="H488" s="26">
        <v>30</v>
      </c>
      <c r="I488" s="21" t="str">
        <f t="shared" si="35"/>
        <v>Crédito</v>
      </c>
      <c r="J488" s="22">
        <f t="shared" si="36"/>
        <v>45907</v>
      </c>
      <c r="K488" s="27">
        <f t="shared" ca="1" si="37"/>
        <v>0</v>
      </c>
      <c r="L488" s="23" t="str">
        <f t="shared" si="38"/>
        <v>Pagado</v>
      </c>
      <c r="M488" s="36">
        <f>SUMIFS(Tabla_Pagos[IMPORTE ABONADO],Tabla_Pagos[FECHA DE ABONO],"&gt;0",Tabla_Pagos[NRO DOC],B488)</f>
        <v>160650</v>
      </c>
      <c r="N488" s="36">
        <f t="shared" si="39"/>
        <v>0</v>
      </c>
      <c r="O488" s="22" cm="1">
        <f t="array" ref="O488">MAX(IF((Tabla_Pagos[NRO DOC]=B488)*(Tabla_Pagos[IMPORTE ABONADO]&gt;0),Tabla_Pagos[FECHA DE ABONO]))</f>
        <v>45908</v>
      </c>
    </row>
    <row r="489" spans="2:15" ht="21" customHeight="1" x14ac:dyDescent="0.25">
      <c r="B489" s="39">
        <v>1395</v>
      </c>
      <c r="C489" s="20">
        <v>45877</v>
      </c>
      <c r="D489" s="40" t="s">
        <v>368</v>
      </c>
      <c r="E489" s="37" t="str">
        <f>IFERROR(VLOOKUP(D489,CLIENTES!$B$12:$G$2602,2,FALSE),"")</f>
        <v>SIDESA CHILE S.A.</v>
      </c>
      <c r="F489" s="31">
        <v>267750</v>
      </c>
      <c r="G489" s="41" t="s">
        <v>101</v>
      </c>
      <c r="H489" s="26">
        <v>30</v>
      </c>
      <c r="I489" s="21" t="str">
        <f t="shared" si="35"/>
        <v>Crédito</v>
      </c>
      <c r="J489" s="22">
        <f t="shared" si="36"/>
        <v>45907</v>
      </c>
      <c r="K489" s="27">
        <f t="shared" ca="1" si="37"/>
        <v>0</v>
      </c>
      <c r="L489" s="23" t="str">
        <f t="shared" si="38"/>
        <v>Pagado</v>
      </c>
      <c r="M489" s="36">
        <f>SUMIFS(Tabla_Pagos[IMPORTE ABONADO],Tabla_Pagos[FECHA DE ABONO],"&gt;0",Tabla_Pagos[NRO DOC],B489)</f>
        <v>267750</v>
      </c>
      <c r="N489" s="36">
        <f t="shared" si="39"/>
        <v>0</v>
      </c>
      <c r="O489" s="22" cm="1">
        <f t="array" ref="O489">MAX(IF((Tabla_Pagos[NRO DOC]=B489)*(Tabla_Pagos[IMPORTE ABONADO]&gt;0),Tabla_Pagos[FECHA DE ABONO]))</f>
        <v>45908</v>
      </c>
    </row>
    <row r="490" spans="2:15" ht="21" customHeight="1" x14ac:dyDescent="0.25">
      <c r="B490" s="39">
        <v>1396</v>
      </c>
      <c r="C490" s="20">
        <v>45880</v>
      </c>
      <c r="D490" s="40" t="s">
        <v>170</v>
      </c>
      <c r="E490" s="37" t="str">
        <f>IFERROR(VLOOKUP(D490,CLIENTES!$B$12:$G$2602,2,FALSE),"")</f>
        <v>RAMON ANGEL RIQUELME OLIVARES</v>
      </c>
      <c r="F490" s="31">
        <v>20000</v>
      </c>
      <c r="G490" s="41" t="s">
        <v>101</v>
      </c>
      <c r="H490" s="26">
        <v>0</v>
      </c>
      <c r="I490" s="21" t="str">
        <f t="shared" si="35"/>
        <v>Contado</v>
      </c>
      <c r="J490" s="22">
        <f t="shared" si="36"/>
        <v>45880</v>
      </c>
      <c r="K490" s="27">
        <f t="shared" ca="1" si="37"/>
        <v>0</v>
      </c>
      <c r="L490" s="23" t="str">
        <f t="shared" si="38"/>
        <v>Pagado</v>
      </c>
      <c r="M490" s="36">
        <f>SUMIFS(Tabla_Pagos[IMPORTE ABONADO],Tabla_Pagos[FECHA DE ABONO],"&gt;0",Tabla_Pagos[NRO DOC],B490)</f>
        <v>20000</v>
      </c>
      <c r="N490" s="36">
        <f t="shared" si="39"/>
        <v>0</v>
      </c>
      <c r="O490" s="22" cm="1">
        <f t="array" ref="O490">MAX(IF((Tabla_Pagos[NRO DOC]=B490)*(Tabla_Pagos[IMPORTE ABONADO]&gt;0),Tabla_Pagos[FECHA DE ABONO]))</f>
        <v>45880</v>
      </c>
    </row>
    <row r="491" spans="2:15" ht="21" customHeight="1" x14ac:dyDescent="0.25">
      <c r="B491" s="39">
        <v>1397</v>
      </c>
      <c r="C491" s="20">
        <v>45880</v>
      </c>
      <c r="D491" s="40" t="s">
        <v>429</v>
      </c>
      <c r="E491" s="37" t="str">
        <f>IFERROR(VLOOKUP(D491,CLIENTES!$B$12:$G$2602,2,FALSE),"")</f>
        <v>ALICE IMPORT EXPORT LIMITADA</v>
      </c>
      <c r="F491" s="31">
        <v>35700</v>
      </c>
      <c r="G491" s="41" t="s">
        <v>101</v>
      </c>
      <c r="H491" s="26">
        <v>0</v>
      </c>
      <c r="I491" s="21" t="str">
        <f t="shared" si="35"/>
        <v>Contado</v>
      </c>
      <c r="J491" s="22">
        <f t="shared" si="36"/>
        <v>45880</v>
      </c>
      <c r="K491" s="27">
        <f t="shared" ca="1" si="37"/>
        <v>0</v>
      </c>
      <c r="L491" s="23" t="str">
        <f t="shared" si="38"/>
        <v>Pagado</v>
      </c>
      <c r="M491" s="36">
        <f>SUMIFS(Tabla_Pagos[IMPORTE ABONADO],Tabla_Pagos[FECHA DE ABONO],"&gt;0",Tabla_Pagos[NRO DOC],B491)</f>
        <v>35700</v>
      </c>
      <c r="N491" s="36">
        <f t="shared" si="39"/>
        <v>0</v>
      </c>
      <c r="O491" s="22" cm="1">
        <f t="array" ref="O491">MAX(IF((Tabla_Pagos[NRO DOC]=B491)*(Tabla_Pagos[IMPORTE ABONADO]&gt;0),Tabla_Pagos[FECHA DE ABONO]))</f>
        <v>45880</v>
      </c>
    </row>
    <row r="492" spans="2:15" ht="21" customHeight="1" x14ac:dyDescent="0.25">
      <c r="B492" s="39">
        <v>1398</v>
      </c>
      <c r="C492" s="20">
        <v>45880</v>
      </c>
      <c r="D492" s="40" t="s">
        <v>430</v>
      </c>
      <c r="E492" s="37" t="str">
        <f>IFERROR(VLOOKUP(D492,CLIENTES!$B$12:$G$2602,2,FALSE),"")</f>
        <v>PROTAB SPA</v>
      </c>
      <c r="F492" s="31">
        <v>83300</v>
      </c>
      <c r="G492" s="41" t="s">
        <v>101</v>
      </c>
      <c r="H492" s="26">
        <v>0</v>
      </c>
      <c r="I492" s="21" t="str">
        <f t="shared" si="35"/>
        <v>Contado</v>
      </c>
      <c r="J492" s="22">
        <f t="shared" si="36"/>
        <v>45880</v>
      </c>
      <c r="K492" s="27">
        <f t="shared" ca="1" si="37"/>
        <v>0</v>
      </c>
      <c r="L492" s="23" t="str">
        <f t="shared" si="38"/>
        <v>Pagado</v>
      </c>
      <c r="M492" s="36">
        <f>SUMIFS(Tabla_Pagos[IMPORTE ABONADO],Tabla_Pagos[FECHA DE ABONO],"&gt;0",Tabla_Pagos[NRO DOC],B492)</f>
        <v>83300</v>
      </c>
      <c r="N492" s="36">
        <f t="shared" si="39"/>
        <v>0</v>
      </c>
      <c r="O492" s="22" cm="1">
        <f t="array" ref="O492">MAX(IF((Tabla_Pagos[NRO DOC]=B492)*(Tabla_Pagos[IMPORTE ABONADO]&gt;0),Tabla_Pagos[FECHA DE ABONO]))</f>
        <v>45880</v>
      </c>
    </row>
    <row r="493" spans="2:15" ht="21" customHeight="1" x14ac:dyDescent="0.25">
      <c r="B493" s="39">
        <v>1399</v>
      </c>
      <c r="C493" s="20">
        <v>45881</v>
      </c>
      <c r="D493" s="40" t="s">
        <v>431</v>
      </c>
      <c r="E493" s="37" t="str">
        <f>IFERROR(VLOOKUP(D493,CLIENTES!$B$12:$G$2602,2,FALSE),"")</f>
        <v>CONSTRUCTORA VGA SPA</v>
      </c>
      <c r="F493" s="31">
        <v>50000</v>
      </c>
      <c r="G493" s="41" t="s">
        <v>101</v>
      </c>
      <c r="H493" s="26">
        <v>0</v>
      </c>
      <c r="I493" s="21" t="str">
        <f t="shared" si="35"/>
        <v>Contado</v>
      </c>
      <c r="J493" s="22">
        <f t="shared" si="36"/>
        <v>45881</v>
      </c>
      <c r="K493" s="27">
        <f t="shared" ca="1" si="37"/>
        <v>0</v>
      </c>
      <c r="L493" s="23" t="str">
        <f t="shared" si="38"/>
        <v>Pagado</v>
      </c>
      <c r="M493" s="36">
        <f>SUMIFS(Tabla_Pagos[IMPORTE ABONADO],Tabla_Pagos[FECHA DE ABONO],"&gt;0",Tabla_Pagos[NRO DOC],B493)</f>
        <v>50000</v>
      </c>
      <c r="N493" s="36">
        <f t="shared" si="39"/>
        <v>0</v>
      </c>
      <c r="O493" s="22" cm="1">
        <f t="array" ref="O493">MAX(IF((Tabla_Pagos[NRO DOC]=B493)*(Tabla_Pagos[IMPORTE ABONADO]&gt;0),Tabla_Pagos[FECHA DE ABONO]))</f>
        <v>45881</v>
      </c>
    </row>
    <row r="494" spans="2:15" ht="21" customHeight="1" x14ac:dyDescent="0.25">
      <c r="B494" s="39">
        <v>1400</v>
      </c>
      <c r="C494" s="20">
        <v>45882</v>
      </c>
      <c r="D494" s="40" t="s">
        <v>53</v>
      </c>
      <c r="E494" s="37" t="str">
        <f>IFERROR(VLOOKUP(D494,CLIENTES!$B$12:$G$2602,2,FALSE),"")</f>
        <v>SODIMAC S.A.</v>
      </c>
      <c r="F494" s="31">
        <v>1448230</v>
      </c>
      <c r="G494" s="41" t="s">
        <v>394</v>
      </c>
      <c r="H494" s="26">
        <v>30</v>
      </c>
      <c r="I494" s="21" t="str">
        <f t="shared" si="35"/>
        <v>Crédito</v>
      </c>
      <c r="J494" s="22">
        <f t="shared" si="36"/>
        <v>45912</v>
      </c>
      <c r="K494" s="27">
        <f t="shared" ca="1" si="37"/>
        <v>0</v>
      </c>
      <c r="L494" s="23" t="str">
        <f t="shared" si="38"/>
        <v>Pagado</v>
      </c>
      <c r="M494" s="36">
        <f>SUMIFS(Tabla_Pagos[IMPORTE ABONADO],Tabla_Pagos[FECHA DE ABONO],"&gt;0",Tabla_Pagos[NRO DOC],B494)</f>
        <v>1448230</v>
      </c>
      <c r="N494" s="36">
        <f t="shared" si="39"/>
        <v>0</v>
      </c>
      <c r="O494" s="22" cm="1">
        <f t="array" ref="O494">MAX(IF((Tabla_Pagos[NRO DOC]=B494)*(Tabla_Pagos[IMPORTE ABONADO]&gt;0),Tabla_Pagos[FECHA DE ABONO]))</f>
        <v>45912</v>
      </c>
    </row>
    <row r="495" spans="2:15" ht="21" customHeight="1" x14ac:dyDescent="0.25">
      <c r="B495" s="39">
        <v>1401</v>
      </c>
      <c r="C495" s="20">
        <v>45882</v>
      </c>
      <c r="D495" s="40" t="s">
        <v>214</v>
      </c>
      <c r="E495" s="37" t="str">
        <f>IFERROR(VLOOKUP(D495,CLIENTES!$B$12:$G$2602,2,FALSE),"")</f>
        <v>NORTENERGY SOCIEDAD POR ACCIONES SPA</v>
      </c>
      <c r="F495" s="31">
        <v>535500</v>
      </c>
      <c r="G495" s="41" t="s">
        <v>101</v>
      </c>
      <c r="H495" s="26">
        <v>30</v>
      </c>
      <c r="I495" s="21" t="str">
        <f t="shared" si="35"/>
        <v>Crédito</v>
      </c>
      <c r="J495" s="22">
        <f t="shared" si="36"/>
        <v>45912</v>
      </c>
      <c r="K495" s="27">
        <f t="shared" ca="1" si="37"/>
        <v>0</v>
      </c>
      <c r="L495" s="23" t="str">
        <f t="shared" si="38"/>
        <v>Pagado</v>
      </c>
      <c r="M495" s="36">
        <f>SUMIFS(Tabla_Pagos[IMPORTE ABONADO],Tabla_Pagos[FECHA DE ABONO],"&gt;0",Tabla_Pagos[NRO DOC],B495)</f>
        <v>535500</v>
      </c>
      <c r="N495" s="36">
        <f t="shared" si="39"/>
        <v>0</v>
      </c>
      <c r="O495" s="22" cm="1">
        <f t="array" ref="O495">MAX(IF((Tabla_Pagos[NRO DOC]=B495)*(Tabla_Pagos[IMPORTE ABONADO]&gt;0),Tabla_Pagos[FECHA DE ABONO]))</f>
        <v>45903</v>
      </c>
    </row>
    <row r="496" spans="2:15" ht="21" customHeight="1" x14ac:dyDescent="0.25">
      <c r="B496" s="39">
        <v>1402</v>
      </c>
      <c r="C496" s="20">
        <v>45882</v>
      </c>
      <c r="D496" s="40" t="s">
        <v>432</v>
      </c>
      <c r="E496" s="37" t="str">
        <f>IFERROR(VLOOKUP(D496,CLIENTES!$B$12:$G$2602,2,FALSE),"")</f>
        <v>ETYCA PROFESIONALES CAPACITACION LIMITADA</v>
      </c>
      <c r="F496" s="31">
        <v>95200</v>
      </c>
      <c r="G496" s="41" t="s">
        <v>101</v>
      </c>
      <c r="H496" s="26">
        <v>0</v>
      </c>
      <c r="I496" s="21" t="str">
        <f t="shared" si="35"/>
        <v>Contado</v>
      </c>
      <c r="J496" s="22">
        <f t="shared" si="36"/>
        <v>45882</v>
      </c>
      <c r="K496" s="27">
        <f t="shared" ca="1" si="37"/>
        <v>0</v>
      </c>
      <c r="L496" s="23" t="str">
        <f t="shared" si="38"/>
        <v>Pagado</v>
      </c>
      <c r="M496" s="36">
        <f>SUMIFS(Tabla_Pagos[IMPORTE ABONADO],Tabla_Pagos[FECHA DE ABONO],"&gt;0",Tabla_Pagos[NRO DOC],B496)</f>
        <v>95200</v>
      </c>
      <c r="N496" s="36">
        <f t="shared" si="39"/>
        <v>0</v>
      </c>
      <c r="O496" s="22" cm="1">
        <f t="array" ref="O496">MAX(IF((Tabla_Pagos[NRO DOC]=B496)*(Tabla_Pagos[IMPORTE ABONADO]&gt;0),Tabla_Pagos[FECHA DE ABONO]))</f>
        <v>45882</v>
      </c>
    </row>
    <row r="497" spans="2:15" ht="21" customHeight="1" x14ac:dyDescent="0.25">
      <c r="B497" s="39">
        <v>1403</v>
      </c>
      <c r="C497" s="20">
        <v>45883</v>
      </c>
      <c r="D497" s="40" t="s">
        <v>395</v>
      </c>
      <c r="E497" s="37" t="str">
        <f>IFERROR(VLOOKUP(D497,CLIENTES!$B$12:$G$2602,2,FALSE),"")</f>
        <v>SOLUCIONES GLOBALES CARLOS HERBERTO MOSCOSO</v>
      </c>
      <c r="F497" s="31">
        <v>52360</v>
      </c>
      <c r="G497" s="41" t="s">
        <v>101</v>
      </c>
      <c r="H497" s="26">
        <v>0</v>
      </c>
      <c r="I497" s="21" t="str">
        <f t="shared" si="35"/>
        <v>Contado</v>
      </c>
      <c r="J497" s="22">
        <f t="shared" si="36"/>
        <v>45883</v>
      </c>
      <c r="K497" s="27">
        <f t="shared" ca="1" si="37"/>
        <v>0</v>
      </c>
      <c r="L497" s="23" t="str">
        <f t="shared" si="38"/>
        <v>Pagado</v>
      </c>
      <c r="M497" s="36">
        <f>SUMIFS(Tabla_Pagos[IMPORTE ABONADO],Tabla_Pagos[FECHA DE ABONO],"&gt;0",Tabla_Pagos[NRO DOC],B497)</f>
        <v>52360</v>
      </c>
      <c r="N497" s="36">
        <f t="shared" si="39"/>
        <v>0</v>
      </c>
      <c r="O497" s="22" cm="1">
        <f t="array" ref="O497">MAX(IF((Tabla_Pagos[NRO DOC]=B497)*(Tabla_Pagos[IMPORTE ABONADO]&gt;0),Tabla_Pagos[FECHA DE ABONO]))</f>
        <v>45883</v>
      </c>
    </row>
    <row r="498" spans="2:15" ht="21" customHeight="1" x14ac:dyDescent="0.25">
      <c r="B498" s="39">
        <v>1404</v>
      </c>
      <c r="C498" s="20">
        <v>45887</v>
      </c>
      <c r="D498" s="40" t="s">
        <v>102</v>
      </c>
      <c r="E498" s="37" t="str">
        <f>IFERROR(VLOOKUP(D498,CLIENTES!$B$12:$G$2602,2,FALSE),"")</f>
        <v>CONSTRUCTORA CARLOS ALBERTO ANDRES ALBISTUR REYES E.I.R.L.</v>
      </c>
      <c r="F498" s="31">
        <v>357000</v>
      </c>
      <c r="G498" s="41" t="s">
        <v>101</v>
      </c>
      <c r="H498" s="26">
        <v>30</v>
      </c>
      <c r="I498" s="21" t="str">
        <f t="shared" si="35"/>
        <v>Crédito</v>
      </c>
      <c r="J498" s="22">
        <f t="shared" si="36"/>
        <v>45917</v>
      </c>
      <c r="K498" s="27">
        <f t="shared" ca="1" si="37"/>
        <v>0</v>
      </c>
      <c r="L498" s="23" t="str">
        <f t="shared" si="38"/>
        <v>Pagado</v>
      </c>
      <c r="M498" s="36">
        <f>SUMIFS(Tabla_Pagos[IMPORTE ABONADO],Tabla_Pagos[FECHA DE ABONO],"&gt;0",Tabla_Pagos[NRO DOC],B498)</f>
        <v>357000</v>
      </c>
      <c r="N498" s="36">
        <f t="shared" si="39"/>
        <v>0</v>
      </c>
      <c r="O498" s="22" cm="1">
        <f t="array" ref="O498">MAX(IF((Tabla_Pagos[NRO DOC]=B498)*(Tabla_Pagos[IMPORTE ABONADO]&gt;0),Tabla_Pagos[FECHA DE ABONO]))</f>
        <v>45887</v>
      </c>
    </row>
    <row r="499" spans="2:15" ht="21" customHeight="1" x14ac:dyDescent="0.25">
      <c r="B499" s="39">
        <v>1405</v>
      </c>
      <c r="C499" s="20">
        <v>45887</v>
      </c>
      <c r="D499" s="40" t="s">
        <v>102</v>
      </c>
      <c r="E499" s="37" t="str">
        <f>IFERROR(VLOOKUP(D499,CLIENTES!$B$12:$G$2602,2,FALSE),"")</f>
        <v>CONSTRUCTORA CARLOS ALBERTO ANDRES ALBISTUR REYES E.I.R.L.</v>
      </c>
      <c r="F499" s="31">
        <v>357000</v>
      </c>
      <c r="G499" s="41" t="s">
        <v>101</v>
      </c>
      <c r="H499" s="26">
        <v>30</v>
      </c>
      <c r="I499" s="21" t="str">
        <f t="shared" si="35"/>
        <v>Crédito</v>
      </c>
      <c r="J499" s="22">
        <f t="shared" si="36"/>
        <v>45917</v>
      </c>
      <c r="K499" s="27">
        <f t="shared" ca="1" si="37"/>
        <v>0</v>
      </c>
      <c r="L499" s="23" t="str">
        <f t="shared" si="38"/>
        <v>Pagado</v>
      </c>
      <c r="M499" s="36">
        <f>SUMIFS(Tabla_Pagos[IMPORTE ABONADO],Tabla_Pagos[FECHA DE ABONO],"&gt;0",Tabla_Pagos[NRO DOC],B499)</f>
        <v>357000</v>
      </c>
      <c r="N499" s="36">
        <f t="shared" si="39"/>
        <v>0</v>
      </c>
      <c r="O499" s="22" cm="1">
        <f t="array" ref="O499">MAX(IF((Tabla_Pagos[NRO DOC]=B499)*(Tabla_Pagos[IMPORTE ABONADO]&gt;0),Tabla_Pagos[FECHA DE ABONO]))</f>
        <v>45901</v>
      </c>
    </row>
    <row r="500" spans="2:15" ht="21" customHeight="1" x14ac:dyDescent="0.25">
      <c r="B500" s="39">
        <v>1406</v>
      </c>
      <c r="C500" s="20">
        <v>45887</v>
      </c>
      <c r="D500" s="40" t="s">
        <v>54</v>
      </c>
      <c r="E500" s="37" t="str">
        <f>IFERROR(VLOOKUP(D500,CLIENTES!$B$12:$G$2602,2,FALSE),"")</f>
        <v>AUCAN LOGISTIC SPA</v>
      </c>
      <c r="F500" s="31">
        <v>3424820</v>
      </c>
      <c r="G500" s="41" t="s">
        <v>101</v>
      </c>
      <c r="H500" s="26">
        <v>0</v>
      </c>
      <c r="I500" s="21" t="str">
        <f t="shared" si="35"/>
        <v>Contado</v>
      </c>
      <c r="J500" s="22">
        <f t="shared" si="36"/>
        <v>45887</v>
      </c>
      <c r="K500" s="27">
        <f t="shared" ca="1" si="37"/>
        <v>0</v>
      </c>
      <c r="L500" s="23" t="str">
        <f t="shared" si="38"/>
        <v>Pagado</v>
      </c>
      <c r="M500" s="36">
        <f>SUMIFS(Tabla_Pagos[IMPORTE ABONADO],Tabla_Pagos[FECHA DE ABONO],"&gt;0",Tabla_Pagos[NRO DOC],B500)</f>
        <v>3424820</v>
      </c>
      <c r="N500" s="36">
        <f t="shared" si="39"/>
        <v>0</v>
      </c>
      <c r="O500" s="22" cm="1">
        <f t="array" ref="O500">MAX(IF((Tabla_Pagos[NRO DOC]=B500)*(Tabla_Pagos[IMPORTE ABONADO]&gt;0),Tabla_Pagos[FECHA DE ABONO]))</f>
        <v>45887</v>
      </c>
    </row>
    <row r="501" spans="2:15" ht="21" customHeight="1" x14ac:dyDescent="0.25">
      <c r="B501" s="39">
        <v>1407</v>
      </c>
      <c r="C501" s="20">
        <v>45887</v>
      </c>
      <c r="D501" s="40" t="s">
        <v>60</v>
      </c>
      <c r="E501" s="37" t="str">
        <f>IFERROR(VLOOKUP(D501,CLIENTES!$B$12:$G$2602,2,FALSE),"")</f>
        <v>CENTRO DE MANTENIMIENTO AUTOMOTRIZ Y MAQUINARIA SPA</v>
      </c>
      <c r="F501" s="31">
        <v>226100</v>
      </c>
      <c r="G501" s="41" t="s">
        <v>101</v>
      </c>
      <c r="H501" s="26">
        <v>30</v>
      </c>
      <c r="I501" s="21" t="str">
        <f t="shared" si="35"/>
        <v>Crédito</v>
      </c>
      <c r="J501" s="22">
        <f t="shared" si="36"/>
        <v>45917</v>
      </c>
      <c r="K501" s="27">
        <f t="shared" ca="1" si="37"/>
        <v>0</v>
      </c>
      <c r="L501" s="23" t="str">
        <f t="shared" si="38"/>
        <v>Pagado</v>
      </c>
      <c r="M501" s="36">
        <f>SUMIFS(Tabla_Pagos[IMPORTE ABONADO],Tabla_Pagos[FECHA DE ABONO],"&gt;0",Tabla_Pagos[NRO DOC],B501)</f>
        <v>226100</v>
      </c>
      <c r="N501" s="36">
        <f t="shared" si="39"/>
        <v>0</v>
      </c>
      <c r="O501" s="22" cm="1">
        <f t="array" ref="O501">MAX(IF((Tabla_Pagos[NRO DOC]=B501)*(Tabla_Pagos[IMPORTE ABONADO]&gt;0),Tabla_Pagos[FECHA DE ABONO]))</f>
        <v>45903</v>
      </c>
    </row>
    <row r="502" spans="2:15" ht="21" customHeight="1" x14ac:dyDescent="0.25">
      <c r="B502" s="39">
        <v>1408</v>
      </c>
      <c r="C502" s="20">
        <v>45887</v>
      </c>
      <c r="D502" s="40" t="s">
        <v>102</v>
      </c>
      <c r="E502" s="37" t="str">
        <f>IFERROR(VLOOKUP(D502,CLIENTES!$B$12:$G$2602,2,FALSE),"")</f>
        <v>CONSTRUCTORA CARLOS ALBERTO ANDRES ALBISTUR REYES E.I.R.L.</v>
      </c>
      <c r="F502" s="31">
        <v>65926</v>
      </c>
      <c r="G502" s="41" t="s">
        <v>101</v>
      </c>
      <c r="H502" s="26">
        <v>30</v>
      </c>
      <c r="I502" s="21" t="str">
        <f t="shared" si="35"/>
        <v>Crédito</v>
      </c>
      <c r="J502" s="22">
        <f t="shared" si="36"/>
        <v>45917</v>
      </c>
      <c r="K502" s="27">
        <f t="shared" ca="1" si="37"/>
        <v>0</v>
      </c>
      <c r="L502" s="23" t="str">
        <f t="shared" si="38"/>
        <v>Pagado</v>
      </c>
      <c r="M502" s="36">
        <f>SUMIFS(Tabla_Pagos[IMPORTE ABONADO],Tabla_Pagos[FECHA DE ABONO],"&gt;0",Tabla_Pagos[NRO DOC],B502)</f>
        <v>65926</v>
      </c>
      <c r="N502" s="36">
        <f t="shared" si="39"/>
        <v>0</v>
      </c>
      <c r="O502" s="22" cm="1">
        <f t="array" ref="O502">MAX(IF((Tabla_Pagos[NRO DOC]=B502)*(Tabla_Pagos[IMPORTE ABONADO]&gt;0),Tabla_Pagos[FECHA DE ABONO]))</f>
        <v>45940</v>
      </c>
    </row>
    <row r="503" spans="2:15" ht="21" customHeight="1" x14ac:dyDescent="0.25">
      <c r="B503" s="39">
        <v>1409</v>
      </c>
      <c r="C503" s="20">
        <v>45888</v>
      </c>
      <c r="D503" s="40" t="s">
        <v>407</v>
      </c>
      <c r="E503" s="37" t="str">
        <f>IFERROR(VLOOKUP(D503,CLIENTES!$B$12:$G$2602,2,FALSE),"")</f>
        <v>MAESTRANZA INDUSTRIAL FRITIS LIMITADA</v>
      </c>
      <c r="F503" s="31">
        <v>17850</v>
      </c>
      <c r="G503" s="41" t="s">
        <v>101</v>
      </c>
      <c r="H503" s="26">
        <v>0</v>
      </c>
      <c r="I503" s="21" t="str">
        <f t="shared" si="35"/>
        <v>Contado</v>
      </c>
      <c r="J503" s="22">
        <f t="shared" si="36"/>
        <v>45888</v>
      </c>
      <c r="K503" s="27">
        <f t="shared" ca="1" si="37"/>
        <v>0</v>
      </c>
      <c r="L503" s="23" t="str">
        <f t="shared" si="38"/>
        <v>Pagado</v>
      </c>
      <c r="M503" s="36">
        <f>SUMIFS(Tabla_Pagos[IMPORTE ABONADO],Tabla_Pagos[FECHA DE ABONO],"&gt;0",Tabla_Pagos[NRO DOC],B503)</f>
        <v>17850</v>
      </c>
      <c r="N503" s="36">
        <f t="shared" si="39"/>
        <v>0</v>
      </c>
      <c r="O503" s="22" cm="1">
        <f t="array" ref="O503">MAX(IF((Tabla_Pagos[NRO DOC]=B503)*(Tabla_Pagos[IMPORTE ABONADO]&gt;0),Tabla_Pagos[FECHA DE ABONO]))</f>
        <v>45888</v>
      </c>
    </row>
    <row r="504" spans="2:15" ht="21" customHeight="1" x14ac:dyDescent="0.25">
      <c r="B504" s="39">
        <v>1410</v>
      </c>
      <c r="C504" s="20">
        <v>45888</v>
      </c>
      <c r="D504" s="40" t="s">
        <v>102</v>
      </c>
      <c r="E504" s="37" t="str">
        <f>IFERROR(VLOOKUP(D504,CLIENTES!$B$12:$G$2602,2,FALSE),"")</f>
        <v>CONSTRUCTORA CARLOS ALBERTO ANDRES ALBISTUR REYES E.I.R.L.</v>
      </c>
      <c r="F504" s="31">
        <v>596785</v>
      </c>
      <c r="G504" s="41" t="s">
        <v>101</v>
      </c>
      <c r="H504" s="26">
        <v>30</v>
      </c>
      <c r="I504" s="21" t="str">
        <f t="shared" si="35"/>
        <v>Crédito</v>
      </c>
      <c r="J504" s="22">
        <f t="shared" si="36"/>
        <v>45918</v>
      </c>
      <c r="K504" s="27">
        <f t="shared" ca="1" si="37"/>
        <v>0</v>
      </c>
      <c r="L504" s="23" t="str">
        <f t="shared" si="38"/>
        <v>Pagado</v>
      </c>
      <c r="M504" s="36">
        <f>SUMIFS(Tabla_Pagos[IMPORTE ABONADO],Tabla_Pagos[FECHA DE ABONO],"&gt;0",Tabla_Pagos[NRO DOC],B504)</f>
        <v>596785</v>
      </c>
      <c r="N504" s="36">
        <f t="shared" si="39"/>
        <v>0</v>
      </c>
      <c r="O504" s="22" cm="1">
        <f t="array" ref="O504">MAX(IF((Tabla_Pagos[NRO DOC]=B504)*(Tabla_Pagos[IMPORTE ABONADO]&gt;0),Tabla_Pagos[FECHA DE ABONO]))</f>
        <v>45901</v>
      </c>
    </row>
    <row r="505" spans="2:15" ht="21" customHeight="1" x14ac:dyDescent="0.25">
      <c r="B505" s="39">
        <v>1411</v>
      </c>
      <c r="C505" s="20">
        <v>45888</v>
      </c>
      <c r="D505" s="40" t="s">
        <v>54</v>
      </c>
      <c r="E505" s="37" t="str">
        <f>IFERROR(VLOOKUP(D505,CLIENTES!$B$12:$G$2602,2,FALSE),"")</f>
        <v>AUCAN LOGISTIC SPA</v>
      </c>
      <c r="F505" s="31">
        <v>201824</v>
      </c>
      <c r="G505" s="41" t="s">
        <v>101</v>
      </c>
      <c r="H505" s="26">
        <v>0</v>
      </c>
      <c r="I505" s="21" t="str">
        <f t="shared" si="35"/>
        <v>Contado</v>
      </c>
      <c r="J505" s="22">
        <f t="shared" si="36"/>
        <v>45888</v>
      </c>
      <c r="K505" s="27">
        <f t="shared" ca="1" si="37"/>
        <v>0</v>
      </c>
      <c r="L505" s="23" t="str">
        <f t="shared" si="38"/>
        <v>Pagado</v>
      </c>
      <c r="M505" s="36">
        <f>SUMIFS(Tabla_Pagos[IMPORTE ABONADO],Tabla_Pagos[FECHA DE ABONO],"&gt;0",Tabla_Pagos[NRO DOC],B505)</f>
        <v>201824</v>
      </c>
      <c r="N505" s="36">
        <f t="shared" si="39"/>
        <v>0</v>
      </c>
      <c r="O505" s="22" cm="1">
        <f t="array" ref="O505">MAX(IF((Tabla_Pagos[NRO DOC]=B505)*(Tabla_Pagos[IMPORTE ABONADO]&gt;0),Tabla_Pagos[FECHA DE ABONO]))</f>
        <v>45888</v>
      </c>
    </row>
    <row r="506" spans="2:15" ht="21" customHeight="1" x14ac:dyDescent="0.25">
      <c r="B506" s="39">
        <v>1412</v>
      </c>
      <c r="C506" s="20">
        <v>45889</v>
      </c>
      <c r="D506" s="40" t="s">
        <v>432</v>
      </c>
      <c r="E506" s="37" t="str">
        <f>IFERROR(VLOOKUP(D506,CLIENTES!$B$12:$G$2602,2,FALSE),"")</f>
        <v>ETYCA PROFESIONALES CAPACITACION LIMITADA</v>
      </c>
      <c r="F506" s="31">
        <v>38080</v>
      </c>
      <c r="G506" s="41" t="s">
        <v>101</v>
      </c>
      <c r="H506" s="26">
        <v>0</v>
      </c>
      <c r="I506" s="21" t="str">
        <f t="shared" si="35"/>
        <v>Contado</v>
      </c>
      <c r="J506" s="22">
        <f t="shared" si="36"/>
        <v>45889</v>
      </c>
      <c r="K506" s="27">
        <f t="shared" ca="1" si="37"/>
        <v>0</v>
      </c>
      <c r="L506" s="23" t="str">
        <f t="shared" si="38"/>
        <v>Pagado</v>
      </c>
      <c r="M506" s="36">
        <f>SUMIFS(Tabla_Pagos[IMPORTE ABONADO],Tabla_Pagos[FECHA DE ABONO],"&gt;0",Tabla_Pagos[NRO DOC],B506)</f>
        <v>38080</v>
      </c>
      <c r="N506" s="36">
        <f t="shared" si="39"/>
        <v>0</v>
      </c>
      <c r="O506" s="22" cm="1">
        <f t="array" ref="O506">MAX(IF((Tabla_Pagos[NRO DOC]=B506)*(Tabla_Pagos[IMPORTE ABONADO]&gt;0),Tabla_Pagos[FECHA DE ABONO]))</f>
        <v>45889</v>
      </c>
    </row>
    <row r="507" spans="2:15" ht="21" customHeight="1" x14ac:dyDescent="0.25">
      <c r="B507" s="39">
        <v>1413</v>
      </c>
      <c r="C507" s="20">
        <v>45889</v>
      </c>
      <c r="D507" s="40" t="s">
        <v>132</v>
      </c>
      <c r="E507" s="37" t="str">
        <f>IFERROR(VLOOKUP(D507,CLIENTES!$B$12:$G$2602,2,FALSE),"")</f>
        <v>ESPACIO LUAN SPA</v>
      </c>
      <c r="F507" s="31">
        <v>35700</v>
      </c>
      <c r="G507" s="41" t="s">
        <v>101</v>
      </c>
      <c r="H507" s="26">
        <v>0</v>
      </c>
      <c r="I507" s="21" t="str">
        <f t="shared" si="35"/>
        <v>Contado</v>
      </c>
      <c r="J507" s="22">
        <f t="shared" si="36"/>
        <v>45889</v>
      </c>
      <c r="K507" s="27">
        <f t="shared" ca="1" si="37"/>
        <v>0</v>
      </c>
      <c r="L507" s="23" t="str">
        <f t="shared" si="38"/>
        <v>Pagado</v>
      </c>
      <c r="M507" s="36">
        <f>SUMIFS(Tabla_Pagos[IMPORTE ABONADO],Tabla_Pagos[FECHA DE ABONO],"&gt;0",Tabla_Pagos[NRO DOC],B507)</f>
        <v>35700</v>
      </c>
      <c r="N507" s="36">
        <f t="shared" si="39"/>
        <v>0</v>
      </c>
      <c r="O507" s="22" cm="1">
        <f t="array" ref="O507">MAX(IF((Tabla_Pagos[NRO DOC]=B507)*(Tabla_Pagos[IMPORTE ABONADO]&gt;0),Tabla_Pagos[FECHA DE ABONO]))</f>
        <v>45889</v>
      </c>
    </row>
    <row r="508" spans="2:15" ht="21" customHeight="1" x14ac:dyDescent="0.25">
      <c r="B508" s="39">
        <v>1414</v>
      </c>
      <c r="C508" s="20">
        <v>45889</v>
      </c>
      <c r="D508" s="40" t="s">
        <v>40</v>
      </c>
      <c r="E508" s="37" t="str">
        <f>IFERROR(VLOOKUP(D508,CLIENTES!$B$12:$G$2602,2,FALSE),"")</f>
        <v>INGENIERIA Y SERVICIOS TERRACOP SPA</v>
      </c>
      <c r="F508" s="31">
        <v>476000</v>
      </c>
      <c r="G508" s="41" t="s">
        <v>101</v>
      </c>
      <c r="H508" s="26">
        <v>0</v>
      </c>
      <c r="I508" s="21" t="str">
        <f t="shared" si="35"/>
        <v>Contado</v>
      </c>
      <c r="J508" s="22">
        <f t="shared" si="36"/>
        <v>45889</v>
      </c>
      <c r="K508" s="27">
        <f t="shared" ca="1" si="37"/>
        <v>0</v>
      </c>
      <c r="L508" s="23" t="str">
        <f t="shared" si="38"/>
        <v>Pagado</v>
      </c>
      <c r="M508" s="36">
        <f>SUMIFS(Tabla_Pagos[IMPORTE ABONADO],Tabla_Pagos[FECHA DE ABONO],"&gt;0",Tabla_Pagos[NRO DOC],B508)</f>
        <v>476000</v>
      </c>
      <c r="N508" s="36">
        <f t="shared" si="39"/>
        <v>0</v>
      </c>
      <c r="O508" s="22" cm="1">
        <f t="array" ref="O508">MAX(IF((Tabla_Pagos[NRO DOC]=B508)*(Tabla_Pagos[IMPORTE ABONADO]&gt;0),Tabla_Pagos[FECHA DE ABONO]))</f>
        <v>45889</v>
      </c>
    </row>
    <row r="509" spans="2:15" ht="21" customHeight="1" x14ac:dyDescent="0.25">
      <c r="B509" s="39">
        <v>1415</v>
      </c>
      <c r="C509" s="20">
        <v>45890</v>
      </c>
      <c r="D509" s="40" t="s">
        <v>438</v>
      </c>
      <c r="E509" s="37" t="str">
        <f>IFERROR(VLOOKUP(D509,CLIENTES!$B$12:$G$2602,2,FALSE),"")</f>
        <v>MENDOZA CAZ  SPA</v>
      </c>
      <c r="F509" s="31">
        <v>1059100</v>
      </c>
      <c r="G509" s="41" t="s">
        <v>101</v>
      </c>
      <c r="H509" s="26">
        <v>0</v>
      </c>
      <c r="I509" s="21" t="str">
        <f t="shared" si="35"/>
        <v>Contado</v>
      </c>
      <c r="J509" s="22">
        <f t="shared" si="36"/>
        <v>45890</v>
      </c>
      <c r="K509" s="27">
        <f t="shared" ca="1" si="37"/>
        <v>0</v>
      </c>
      <c r="L509" s="23" t="str">
        <f t="shared" si="38"/>
        <v>Pagado</v>
      </c>
      <c r="M509" s="36">
        <f>SUMIFS(Tabla_Pagos[IMPORTE ABONADO],Tabla_Pagos[FECHA DE ABONO],"&gt;0",Tabla_Pagos[NRO DOC],B509)</f>
        <v>1059100</v>
      </c>
      <c r="N509" s="36">
        <f t="shared" si="39"/>
        <v>0</v>
      </c>
      <c r="O509" s="22" cm="1">
        <f t="array" ref="O509">MAX(IF((Tabla_Pagos[NRO DOC]=B509)*(Tabla_Pagos[IMPORTE ABONADO]&gt;0),Tabla_Pagos[FECHA DE ABONO]))</f>
        <v>45890</v>
      </c>
    </row>
    <row r="510" spans="2:15" ht="21" customHeight="1" x14ac:dyDescent="0.25">
      <c r="B510" s="39">
        <v>1416</v>
      </c>
      <c r="C510" s="20">
        <v>45890</v>
      </c>
      <c r="D510" s="40" t="s">
        <v>49</v>
      </c>
      <c r="E510" s="37" t="str">
        <f>IFERROR(VLOOKUP(D510,CLIENTES!$B$12:$G$2602,2,FALSE),"")</f>
        <v>MOINCO INGENIERIA SPA</v>
      </c>
      <c r="F510" s="31">
        <v>636550</v>
      </c>
      <c r="G510" s="41" t="s">
        <v>101</v>
      </c>
      <c r="H510" s="26">
        <v>0</v>
      </c>
      <c r="I510" s="21" t="str">
        <f t="shared" si="35"/>
        <v>Contado</v>
      </c>
      <c r="J510" s="22">
        <f t="shared" si="36"/>
        <v>45890</v>
      </c>
      <c r="K510" s="27">
        <f t="shared" ca="1" si="37"/>
        <v>0</v>
      </c>
      <c r="L510" s="23" t="str">
        <f t="shared" si="38"/>
        <v>Pagado</v>
      </c>
      <c r="M510" s="36">
        <f>SUMIFS(Tabla_Pagos[IMPORTE ABONADO],Tabla_Pagos[FECHA DE ABONO],"&gt;0",Tabla_Pagos[NRO DOC],B510)</f>
        <v>636550</v>
      </c>
      <c r="N510" s="36">
        <f t="shared" si="39"/>
        <v>0</v>
      </c>
      <c r="O510" s="22" cm="1">
        <f t="array" ref="O510">MAX(IF((Tabla_Pagos[NRO DOC]=B510)*(Tabla_Pagos[IMPORTE ABONADO]&gt;0),Tabla_Pagos[FECHA DE ABONO]))</f>
        <v>45890</v>
      </c>
    </row>
    <row r="511" spans="2:15" ht="21" customHeight="1" x14ac:dyDescent="0.25">
      <c r="B511" s="39">
        <v>1417</v>
      </c>
      <c r="C511" s="20">
        <v>45891</v>
      </c>
      <c r="D511" s="40" t="s">
        <v>439</v>
      </c>
      <c r="E511" s="37" t="str">
        <f>IFERROR(VLOOKUP(D511,CLIENTES!$B$12:$G$2602,2,FALSE),"")</f>
        <v>VALTECK CHILE SPA</v>
      </c>
      <c r="F511" s="31">
        <v>599760</v>
      </c>
      <c r="G511" s="41" t="s">
        <v>101</v>
      </c>
      <c r="H511" s="26">
        <v>0</v>
      </c>
      <c r="I511" s="21" t="str">
        <f t="shared" si="35"/>
        <v>Contado</v>
      </c>
      <c r="J511" s="22">
        <f t="shared" si="36"/>
        <v>45891</v>
      </c>
      <c r="K511" s="27">
        <f t="shared" ca="1" si="37"/>
        <v>0</v>
      </c>
      <c r="L511" s="23" t="str">
        <f t="shared" si="38"/>
        <v>Pagado</v>
      </c>
      <c r="M511" s="36">
        <f>SUMIFS(Tabla_Pagos[IMPORTE ABONADO],Tabla_Pagos[FECHA DE ABONO],"&gt;0",Tabla_Pagos[NRO DOC],B511)</f>
        <v>599760</v>
      </c>
      <c r="N511" s="36">
        <f t="shared" si="39"/>
        <v>0</v>
      </c>
      <c r="O511" s="22" cm="1">
        <f t="array" ref="O511">MAX(IF((Tabla_Pagos[NRO DOC]=B511)*(Tabla_Pagos[IMPORTE ABONADO]&gt;0),Tabla_Pagos[FECHA DE ABONO]))</f>
        <v>45891</v>
      </c>
    </row>
    <row r="512" spans="2:15" ht="21" customHeight="1" x14ac:dyDescent="0.25">
      <c r="B512" s="39">
        <v>1418</v>
      </c>
      <c r="C512" s="20">
        <v>45894</v>
      </c>
      <c r="D512" s="40" t="s">
        <v>54</v>
      </c>
      <c r="E512" s="37" t="str">
        <f>IFERROR(VLOOKUP(D512,CLIENTES!$B$12:$G$2602,2,FALSE),"")</f>
        <v>AUCAN LOGISTIC SPA</v>
      </c>
      <c r="F512" s="31">
        <v>333200</v>
      </c>
      <c r="G512" s="41" t="s">
        <v>101</v>
      </c>
      <c r="H512" s="26">
        <v>0</v>
      </c>
      <c r="I512" s="21" t="str">
        <f t="shared" si="35"/>
        <v>Contado</v>
      </c>
      <c r="J512" s="22">
        <f t="shared" si="36"/>
        <v>45894</v>
      </c>
      <c r="K512" s="27">
        <f t="shared" ca="1" si="37"/>
        <v>0</v>
      </c>
      <c r="L512" s="23" t="str">
        <f t="shared" si="38"/>
        <v>Pagado</v>
      </c>
      <c r="M512" s="36">
        <f>SUMIFS(Tabla_Pagos[IMPORTE ABONADO],Tabla_Pagos[FECHA DE ABONO],"&gt;0",Tabla_Pagos[NRO DOC],B512)</f>
        <v>333200</v>
      </c>
      <c r="N512" s="36">
        <f t="shared" si="39"/>
        <v>0</v>
      </c>
      <c r="O512" s="22" cm="1">
        <f t="array" ref="O512">MAX(IF((Tabla_Pagos[NRO DOC]=B512)*(Tabla_Pagos[IMPORTE ABONADO]&gt;0),Tabla_Pagos[FECHA DE ABONO]))</f>
        <v>45894</v>
      </c>
    </row>
    <row r="513" spans="2:15" ht="21" customHeight="1" x14ac:dyDescent="0.25">
      <c r="B513" s="39">
        <v>1419</v>
      </c>
      <c r="C513" s="20">
        <v>45894</v>
      </c>
      <c r="D513" s="40" t="s">
        <v>106</v>
      </c>
      <c r="E513" s="37" t="str">
        <f>IFERROR(VLOOKUP(D513,CLIENTES!$B$12:$G$2602,2,FALSE),"")</f>
        <v>COMERCIAL SERPAN SPA</v>
      </c>
      <c r="F513" s="31">
        <v>11900</v>
      </c>
      <c r="G513" s="41" t="s">
        <v>101</v>
      </c>
      <c r="H513" s="26">
        <v>30</v>
      </c>
      <c r="I513" s="21" t="str">
        <f t="shared" si="35"/>
        <v>Crédito</v>
      </c>
      <c r="J513" s="22">
        <f t="shared" si="36"/>
        <v>45924</v>
      </c>
      <c r="K513" s="27">
        <f t="shared" ca="1" si="37"/>
        <v>0</v>
      </c>
      <c r="L513" s="23" t="str">
        <f t="shared" si="38"/>
        <v>Pagado</v>
      </c>
      <c r="M513" s="36">
        <f>SUMIFS(Tabla_Pagos[IMPORTE ABONADO],Tabla_Pagos[FECHA DE ABONO],"&gt;0",Tabla_Pagos[NRO DOC],B513)</f>
        <v>11900</v>
      </c>
      <c r="N513" s="36">
        <f t="shared" si="39"/>
        <v>0</v>
      </c>
      <c r="O513" s="22" cm="1">
        <f t="array" ref="O513">MAX(IF((Tabla_Pagos[NRO DOC]=B513)*(Tabla_Pagos[IMPORTE ABONADO]&gt;0),Tabla_Pagos[FECHA DE ABONO]))</f>
        <v>45931</v>
      </c>
    </row>
    <row r="514" spans="2:15" ht="21" customHeight="1" x14ac:dyDescent="0.25">
      <c r="B514" s="39">
        <v>1420</v>
      </c>
      <c r="C514" s="20">
        <v>45894</v>
      </c>
      <c r="D514" s="40" t="s">
        <v>63</v>
      </c>
      <c r="E514" s="37" t="str">
        <f>IFERROR(VLOOKUP(D514,CLIENTES!$B$12:$G$2602,2,FALSE),"")</f>
        <v>MULTISERVICIOS SANABRIA SPA</v>
      </c>
      <c r="F514" s="31">
        <v>93415</v>
      </c>
      <c r="G514" s="41" t="s">
        <v>101</v>
      </c>
      <c r="H514" s="26">
        <v>0</v>
      </c>
      <c r="I514" s="21" t="str">
        <f t="shared" si="35"/>
        <v>Contado</v>
      </c>
      <c r="J514" s="22">
        <f t="shared" si="36"/>
        <v>45894</v>
      </c>
      <c r="K514" s="27">
        <f t="shared" ca="1" si="37"/>
        <v>0</v>
      </c>
      <c r="L514" s="23" t="str">
        <f t="shared" si="38"/>
        <v>Pagado</v>
      </c>
      <c r="M514" s="36">
        <f>SUMIFS(Tabla_Pagos[IMPORTE ABONADO],Tabla_Pagos[FECHA DE ABONO],"&gt;0",Tabla_Pagos[NRO DOC],B514)</f>
        <v>93415</v>
      </c>
      <c r="N514" s="36">
        <f t="shared" si="39"/>
        <v>0</v>
      </c>
      <c r="O514" s="22" cm="1">
        <f t="array" ref="O514">MAX(IF((Tabla_Pagos[NRO DOC]=B514)*(Tabla_Pagos[IMPORTE ABONADO]&gt;0),Tabla_Pagos[FECHA DE ABONO]))</f>
        <v>45894</v>
      </c>
    </row>
    <row r="515" spans="2:15" ht="21" customHeight="1" x14ac:dyDescent="0.25">
      <c r="B515" s="39">
        <v>1421</v>
      </c>
      <c r="C515" s="20">
        <v>45895</v>
      </c>
      <c r="D515" s="40" t="s">
        <v>171</v>
      </c>
      <c r="E515" s="37" t="str">
        <f>IFERROR(VLOOKUP(D515,CLIENTES!$B$12:$G$2602,2,FALSE),"")</f>
        <v>EDWIN HOLVOET Y COMPANIA LIMITADA</v>
      </c>
      <c r="F515" s="31">
        <v>214200</v>
      </c>
      <c r="G515" s="41" t="s">
        <v>101</v>
      </c>
      <c r="H515" s="26">
        <v>30</v>
      </c>
      <c r="I515" s="21" t="str">
        <f t="shared" si="35"/>
        <v>Crédito</v>
      </c>
      <c r="J515" s="22">
        <f t="shared" si="36"/>
        <v>45925</v>
      </c>
      <c r="K515" s="27">
        <f t="shared" ca="1" si="37"/>
        <v>0</v>
      </c>
      <c r="L515" s="23" t="str">
        <f t="shared" si="38"/>
        <v>Pagado</v>
      </c>
      <c r="M515" s="36">
        <f>SUMIFS(Tabla_Pagos[IMPORTE ABONADO],Tabla_Pagos[FECHA DE ABONO],"&gt;0",Tabla_Pagos[NRO DOC],B515)</f>
        <v>214200</v>
      </c>
      <c r="N515" s="36">
        <f t="shared" si="39"/>
        <v>0</v>
      </c>
      <c r="O515" s="22" cm="1">
        <f t="array" ref="O515">MAX(IF((Tabla_Pagos[NRO DOC]=B515)*(Tabla_Pagos[IMPORTE ABONADO]&gt;0),Tabla_Pagos[FECHA DE ABONO]))</f>
        <v>45895</v>
      </c>
    </row>
    <row r="516" spans="2:15" ht="21" customHeight="1" x14ac:dyDescent="0.25">
      <c r="B516" s="39">
        <v>1422</v>
      </c>
      <c r="C516" s="20">
        <v>45895</v>
      </c>
      <c r="D516" s="40" t="s">
        <v>44</v>
      </c>
      <c r="E516" s="37" t="str">
        <f>IFERROR(VLOOKUP(D516,CLIENTES!$B$12:$G$2602,2,FALSE),"")</f>
        <v>SKC RED SPA</v>
      </c>
      <c r="F516" s="31">
        <v>380800</v>
      </c>
      <c r="G516" s="41" t="s">
        <v>101</v>
      </c>
      <c r="H516" s="26">
        <v>30</v>
      </c>
      <c r="I516" s="21" t="str">
        <f t="shared" si="35"/>
        <v>Crédito</v>
      </c>
      <c r="J516" s="22">
        <f t="shared" si="36"/>
        <v>45925</v>
      </c>
      <c r="K516" s="27">
        <f t="shared" ca="1" si="37"/>
        <v>0</v>
      </c>
      <c r="L516" s="23" t="str">
        <f t="shared" si="38"/>
        <v>Pagado</v>
      </c>
      <c r="M516" s="36">
        <f>SUMIFS(Tabla_Pagos[IMPORTE ABONADO],Tabla_Pagos[FECHA DE ABONO],"&gt;0",Tabla_Pagos[NRO DOC],B516)</f>
        <v>380800</v>
      </c>
      <c r="N516" s="36">
        <f t="shared" si="39"/>
        <v>0</v>
      </c>
      <c r="O516" s="22" cm="1">
        <f t="array" ref="O516">MAX(IF((Tabla_Pagos[NRO DOC]=B516)*(Tabla_Pagos[IMPORTE ABONADO]&gt;0),Tabla_Pagos[FECHA DE ABONO]))</f>
        <v>45926</v>
      </c>
    </row>
    <row r="517" spans="2:15" ht="21" customHeight="1" x14ac:dyDescent="0.25">
      <c r="B517" s="39">
        <v>1423</v>
      </c>
      <c r="C517" s="20">
        <v>45895</v>
      </c>
      <c r="D517" s="40" t="s">
        <v>440</v>
      </c>
      <c r="E517" s="37" t="str">
        <f>IFERROR(VLOOKUP(D517,CLIENTES!$B$12:$G$2602,2,FALSE),"")</f>
        <v>CLUB EDAD DE ORO DEL CONSULTORIO ARMANDO OSSA</v>
      </c>
      <c r="F517" s="31">
        <v>297500</v>
      </c>
      <c r="G517" s="41" t="s">
        <v>101</v>
      </c>
      <c r="H517" s="26">
        <v>0</v>
      </c>
      <c r="I517" s="21" t="str">
        <f t="shared" si="35"/>
        <v>Contado</v>
      </c>
      <c r="J517" s="22">
        <f t="shared" si="36"/>
        <v>45895</v>
      </c>
      <c r="K517" s="27">
        <f t="shared" ca="1" si="37"/>
        <v>0</v>
      </c>
      <c r="L517" s="23" t="str">
        <f t="shared" si="38"/>
        <v>Pagado</v>
      </c>
      <c r="M517" s="36">
        <f>SUMIFS(Tabla_Pagos[IMPORTE ABONADO],Tabla_Pagos[FECHA DE ABONO],"&gt;0",Tabla_Pagos[NRO DOC],B517)</f>
        <v>297500</v>
      </c>
      <c r="N517" s="36">
        <f t="shared" si="39"/>
        <v>0</v>
      </c>
      <c r="O517" s="22" cm="1">
        <f t="array" ref="O517">MAX(IF((Tabla_Pagos[NRO DOC]=B517)*(Tabla_Pagos[IMPORTE ABONADO]&gt;0),Tabla_Pagos[FECHA DE ABONO]))</f>
        <v>45895</v>
      </c>
    </row>
    <row r="518" spans="2:15" ht="21" customHeight="1" x14ac:dyDescent="0.25">
      <c r="B518" s="39">
        <v>1424</v>
      </c>
      <c r="C518" s="20">
        <v>45896</v>
      </c>
      <c r="D518" s="40" t="s">
        <v>53</v>
      </c>
      <c r="E518" s="37" t="str">
        <f>IFERROR(VLOOKUP(D518,CLIENTES!$B$12:$G$2602,2,FALSE),"")</f>
        <v>SODIMAC S.A.</v>
      </c>
      <c r="F518" s="31">
        <v>3633070</v>
      </c>
      <c r="G518" s="41" t="s">
        <v>394</v>
      </c>
      <c r="H518" s="26">
        <v>30</v>
      </c>
      <c r="I518" s="21" t="str">
        <f t="shared" si="35"/>
        <v>Crédito</v>
      </c>
      <c r="J518" s="22">
        <f t="shared" si="36"/>
        <v>45926</v>
      </c>
      <c r="K518" s="27">
        <f t="shared" ca="1" si="37"/>
        <v>0</v>
      </c>
      <c r="L518" s="23" t="str">
        <f t="shared" si="38"/>
        <v>Pagado</v>
      </c>
      <c r="M518" s="36">
        <f>SUMIFS(Tabla_Pagos[IMPORTE ABONADO],Tabla_Pagos[FECHA DE ABONO],"&gt;0",Tabla_Pagos[NRO DOC],B518)</f>
        <v>3633070</v>
      </c>
      <c r="N518" s="36">
        <f t="shared" si="39"/>
        <v>0</v>
      </c>
      <c r="O518" s="22" cm="1">
        <f t="array" ref="O518">MAX(IF((Tabla_Pagos[NRO DOC]=B518)*(Tabla_Pagos[IMPORTE ABONADO]&gt;0),Tabla_Pagos[FECHA DE ABONO]))</f>
        <v>45926</v>
      </c>
    </row>
    <row r="519" spans="2:15" ht="21" customHeight="1" x14ac:dyDescent="0.25">
      <c r="B519" s="39">
        <v>1425</v>
      </c>
      <c r="C519" s="20">
        <v>45898</v>
      </c>
      <c r="D519" s="40" t="s">
        <v>160</v>
      </c>
      <c r="E519" s="37" t="str">
        <f>IFERROR(VLOOKUP(D519,CLIENTES!$B$12:$G$2602,2,FALSE),"")</f>
        <v>AGRICOLA MILLAHUE LTDA</v>
      </c>
      <c r="F519" s="31">
        <v>23800</v>
      </c>
      <c r="G519" s="41" t="s">
        <v>101</v>
      </c>
      <c r="H519" s="26">
        <v>0</v>
      </c>
      <c r="I519" s="21" t="str">
        <f t="shared" si="35"/>
        <v>Contado</v>
      </c>
      <c r="J519" s="22">
        <f t="shared" si="36"/>
        <v>45898</v>
      </c>
      <c r="K519" s="27">
        <f t="shared" ca="1" si="37"/>
        <v>0</v>
      </c>
      <c r="L519" s="23" t="str">
        <f t="shared" si="38"/>
        <v>Pagado</v>
      </c>
      <c r="M519" s="36">
        <f>SUMIFS(Tabla_Pagos[IMPORTE ABONADO],Tabla_Pagos[FECHA DE ABONO],"&gt;0",Tabla_Pagos[NRO DOC],B519)</f>
        <v>23800</v>
      </c>
      <c r="N519" s="36">
        <f t="shared" si="39"/>
        <v>0</v>
      </c>
      <c r="O519" s="22" cm="1">
        <f t="array" ref="O519">MAX(IF((Tabla_Pagos[NRO DOC]=B519)*(Tabla_Pagos[IMPORTE ABONADO]&gt;0),Tabla_Pagos[FECHA DE ABONO]))</f>
        <v>45898</v>
      </c>
    </row>
    <row r="520" spans="2:15" ht="21" customHeight="1" x14ac:dyDescent="0.25">
      <c r="B520" s="39">
        <v>1426</v>
      </c>
      <c r="C520" s="20">
        <v>45901</v>
      </c>
      <c r="D520" s="40" t="s">
        <v>40</v>
      </c>
      <c r="E520" s="37" t="str">
        <f>IFERROR(VLOOKUP(D520,CLIENTES!$B$12:$G$2602,2,FALSE),"")</f>
        <v>INGENIERIA Y SERVICIOS TERRACOP SPA</v>
      </c>
      <c r="F520" s="31">
        <v>208250</v>
      </c>
      <c r="G520" s="41" t="s">
        <v>101</v>
      </c>
      <c r="H520" s="26">
        <v>0</v>
      </c>
      <c r="I520" s="21" t="str">
        <f t="shared" si="35"/>
        <v>Contado</v>
      </c>
      <c r="J520" s="22">
        <f t="shared" si="36"/>
        <v>45901</v>
      </c>
      <c r="K520" s="27">
        <f t="shared" ca="1" si="37"/>
        <v>0</v>
      </c>
      <c r="L520" s="23" t="str">
        <f t="shared" si="38"/>
        <v>Pagado</v>
      </c>
      <c r="M520" s="36">
        <f>SUMIFS(Tabla_Pagos[IMPORTE ABONADO],Tabla_Pagos[FECHA DE ABONO],"&gt;0",Tabla_Pagos[NRO DOC],B520)</f>
        <v>208250</v>
      </c>
      <c r="N520" s="36">
        <f t="shared" si="39"/>
        <v>0</v>
      </c>
      <c r="O520" s="22" cm="1">
        <f t="array" ref="O520">MAX(IF((Tabla_Pagos[NRO DOC]=B520)*(Tabla_Pagos[IMPORTE ABONADO]&gt;0),Tabla_Pagos[FECHA DE ABONO]))</f>
        <v>45901</v>
      </c>
    </row>
    <row r="521" spans="2:15" ht="21" customHeight="1" x14ac:dyDescent="0.25">
      <c r="B521" s="39">
        <v>1427</v>
      </c>
      <c r="C521" s="20">
        <v>45901</v>
      </c>
      <c r="D521" s="40" t="s">
        <v>40</v>
      </c>
      <c r="E521" s="37" t="str">
        <f>IFERROR(VLOOKUP(D521,CLIENTES!$B$12:$G$2602,2,FALSE),"")</f>
        <v>INGENIERIA Y SERVICIOS TERRACOP SPA</v>
      </c>
      <c r="F521" s="31">
        <v>190000</v>
      </c>
      <c r="G521" s="41" t="s">
        <v>101</v>
      </c>
      <c r="H521" s="26">
        <v>0</v>
      </c>
      <c r="I521" s="21" t="str">
        <f t="shared" si="35"/>
        <v>Contado</v>
      </c>
      <c r="J521" s="22">
        <f t="shared" si="36"/>
        <v>45901</v>
      </c>
      <c r="K521" s="27">
        <f t="shared" ca="1" si="37"/>
        <v>0</v>
      </c>
      <c r="L521" s="23" t="str">
        <f t="shared" si="38"/>
        <v>Pagado</v>
      </c>
      <c r="M521" s="36">
        <f>SUMIFS(Tabla_Pagos[IMPORTE ABONADO],Tabla_Pagos[FECHA DE ABONO],"&gt;0",Tabla_Pagos[NRO DOC],B521)</f>
        <v>190000</v>
      </c>
      <c r="N521" s="36">
        <f t="shared" si="39"/>
        <v>0</v>
      </c>
      <c r="O521" s="22" cm="1">
        <f t="array" ref="O521">MAX(IF((Tabla_Pagos[NRO DOC]=B521)*(Tabla_Pagos[IMPORTE ABONADO]&gt;0),Tabla_Pagos[FECHA DE ABONO]))</f>
        <v>45901</v>
      </c>
    </row>
    <row r="522" spans="2:15" ht="21" customHeight="1" x14ac:dyDescent="0.25">
      <c r="B522" s="39">
        <v>1428</v>
      </c>
      <c r="C522" s="20">
        <v>45901</v>
      </c>
      <c r="D522" s="40" t="s">
        <v>40</v>
      </c>
      <c r="E522" s="37" t="str">
        <f>IFERROR(VLOOKUP(D522,CLIENTES!$B$12:$G$2602,2,FALSE),"")</f>
        <v>INGENIERIA Y SERVICIOS TERRACOP SPA</v>
      </c>
      <c r="F522" s="31">
        <v>420000</v>
      </c>
      <c r="G522" s="41" t="s">
        <v>101</v>
      </c>
      <c r="H522" s="26">
        <v>0</v>
      </c>
      <c r="I522" s="21" t="str">
        <f t="shared" si="35"/>
        <v>Contado</v>
      </c>
      <c r="J522" s="22">
        <f t="shared" si="36"/>
        <v>45901</v>
      </c>
      <c r="K522" s="27">
        <f t="shared" ca="1" si="37"/>
        <v>0</v>
      </c>
      <c r="L522" s="23" t="str">
        <f t="shared" si="38"/>
        <v>Pagado</v>
      </c>
      <c r="M522" s="36">
        <f>SUMIFS(Tabla_Pagos[IMPORTE ABONADO],Tabla_Pagos[FECHA DE ABONO],"&gt;0",Tabla_Pagos[NRO DOC],B522)</f>
        <v>420000</v>
      </c>
      <c r="N522" s="36">
        <f t="shared" si="39"/>
        <v>0</v>
      </c>
      <c r="O522" s="22" cm="1">
        <f t="array" ref="O522">MAX(IF((Tabla_Pagos[NRO DOC]=B522)*(Tabla_Pagos[IMPORTE ABONADO]&gt;0),Tabla_Pagos[FECHA DE ABONO]))</f>
        <v>45901</v>
      </c>
    </row>
    <row r="523" spans="2:15" ht="21" customHeight="1" x14ac:dyDescent="0.25">
      <c r="B523" s="39">
        <v>1429</v>
      </c>
      <c r="C523" s="20">
        <v>45901</v>
      </c>
      <c r="D523" s="40" t="s">
        <v>199</v>
      </c>
      <c r="E523" s="37" t="str">
        <f>IFERROR(VLOOKUP(D523,CLIENTES!$B$12:$G$2602,2,FALSE),"")</f>
        <v>SOCIEDAD DE INVERSIONES E INMOBILIARIA ASEGEN PROPIEDADES LIMITADA</v>
      </c>
      <c r="F523" s="31">
        <v>190400</v>
      </c>
      <c r="G523" s="41" t="s">
        <v>101</v>
      </c>
      <c r="H523" s="26">
        <v>30</v>
      </c>
      <c r="I523" s="21" t="str">
        <f t="shared" si="35"/>
        <v>Crédito</v>
      </c>
      <c r="J523" s="22">
        <f t="shared" si="36"/>
        <v>45931</v>
      </c>
      <c r="K523" s="27">
        <f t="shared" ca="1" si="37"/>
        <v>0</v>
      </c>
      <c r="L523" s="23" t="str">
        <f t="shared" si="38"/>
        <v>Pagado</v>
      </c>
      <c r="M523" s="36">
        <f>SUMIFS(Tabla_Pagos[IMPORTE ABONADO],Tabla_Pagos[FECHA DE ABONO],"&gt;0",Tabla_Pagos[NRO DOC],B523)</f>
        <v>190400</v>
      </c>
      <c r="N523" s="36">
        <f t="shared" si="39"/>
        <v>0</v>
      </c>
      <c r="O523" s="22" cm="1">
        <f t="array" ref="O523">MAX(IF((Tabla_Pagos[NRO DOC]=B523)*(Tabla_Pagos[IMPORTE ABONADO]&gt;0),Tabla_Pagos[FECHA DE ABONO]))</f>
        <v>45902</v>
      </c>
    </row>
    <row r="524" spans="2:15" ht="21" customHeight="1" x14ac:dyDescent="0.25">
      <c r="B524" s="39">
        <v>1430</v>
      </c>
      <c r="C524" s="20">
        <v>45901</v>
      </c>
      <c r="D524" s="40" t="s">
        <v>172</v>
      </c>
      <c r="E524" s="37" t="str">
        <f>IFERROR(VLOOKUP(D524,CLIENTES!$B$12:$G$2602,2,FALSE),"")</f>
        <v>JP ELECTRONIC SOCIEDAD ANONIMA</v>
      </c>
      <c r="F524" s="31">
        <v>238000</v>
      </c>
      <c r="G524" s="41" t="s">
        <v>101</v>
      </c>
      <c r="H524" s="26">
        <v>0</v>
      </c>
      <c r="I524" s="21" t="str">
        <f t="shared" ref="I524:I551" si="40">IF(H524="","",IF(H524=0,"Contado","Crédito"))</f>
        <v>Contado</v>
      </c>
      <c r="J524" s="22">
        <f t="shared" ref="J524:J551" si="41">IF(I524="","",C524+H524)</f>
        <v>45901</v>
      </c>
      <c r="K524" s="27">
        <f t="shared" ref="K524:K551" ca="1" si="42">IFERROR(IF(B524="","",IF(N524=0,0,J524-TODAY())),"")</f>
        <v>0</v>
      </c>
      <c r="L524" s="23" t="str">
        <f t="shared" ref="L524:L551" si="43">IF(I524="","",IF(N524=0,"Pagado",IF(K524&lt;0,"Vencido","No vencido")))</f>
        <v>Pagado</v>
      </c>
      <c r="M524" s="36">
        <f>SUMIFS(Tabla_Pagos[IMPORTE ABONADO],Tabla_Pagos[FECHA DE ABONO],"&gt;0",Tabla_Pagos[NRO DOC],B524)</f>
        <v>238000</v>
      </c>
      <c r="N524" s="36">
        <f t="shared" ref="N524:N551" si="44">F524-M524</f>
        <v>0</v>
      </c>
      <c r="O524" s="22" cm="1">
        <f t="array" ref="O524">MAX(IF((Tabla_Pagos[NRO DOC]=B524)*(Tabla_Pagos[IMPORTE ABONADO]&gt;0),Tabla_Pagos[FECHA DE ABONO]))</f>
        <v>45901</v>
      </c>
    </row>
    <row r="525" spans="2:15" ht="21" customHeight="1" x14ac:dyDescent="0.25">
      <c r="B525" s="39">
        <v>1433</v>
      </c>
      <c r="C525" s="20">
        <v>45901</v>
      </c>
      <c r="D525" s="40" t="s">
        <v>44</v>
      </c>
      <c r="E525" s="37" t="str">
        <f>IFERROR(VLOOKUP(D525,CLIENTES!$B$12:$G$2602,2,FALSE),"")</f>
        <v>SKC RED SPA</v>
      </c>
      <c r="F525" s="31">
        <v>119000</v>
      </c>
      <c r="G525" s="41" t="s">
        <v>101</v>
      </c>
      <c r="H525" s="26">
        <v>30</v>
      </c>
      <c r="I525" s="21" t="str">
        <f t="shared" si="40"/>
        <v>Crédito</v>
      </c>
      <c r="J525" s="22">
        <f t="shared" si="41"/>
        <v>45931</v>
      </c>
      <c r="K525" s="27">
        <f t="shared" ca="1" si="42"/>
        <v>0</v>
      </c>
      <c r="L525" s="23" t="str">
        <f t="shared" si="43"/>
        <v>Pagado</v>
      </c>
      <c r="M525" s="36">
        <f>SUMIFS(Tabla_Pagos[IMPORTE ABONADO],Tabla_Pagos[FECHA DE ABONO],"&gt;0",Tabla_Pagos[NRO DOC],B525)</f>
        <v>119000</v>
      </c>
      <c r="N525" s="36">
        <f t="shared" si="44"/>
        <v>0</v>
      </c>
      <c r="O525" s="22" cm="1">
        <f t="array" ref="O525">MAX(IF((Tabla_Pagos[NRO DOC]=B525)*(Tabla_Pagos[IMPORTE ABONADO]&gt;0),Tabla_Pagos[FECHA DE ABONO]))</f>
        <v>45933</v>
      </c>
    </row>
    <row r="526" spans="2:15" ht="21" customHeight="1" x14ac:dyDescent="0.25">
      <c r="B526" s="39">
        <v>1434</v>
      </c>
      <c r="C526" s="20">
        <v>45902</v>
      </c>
      <c r="D526" s="40" t="s">
        <v>44</v>
      </c>
      <c r="E526" s="37" t="str">
        <f>IFERROR(VLOOKUP(D526,CLIENTES!$B$12:$G$2602,2,FALSE),"")</f>
        <v>SKC RED SPA</v>
      </c>
      <c r="F526" s="31">
        <v>23800</v>
      </c>
      <c r="G526" s="41" t="s">
        <v>101</v>
      </c>
      <c r="H526" s="26">
        <v>30</v>
      </c>
      <c r="I526" s="21" t="str">
        <f t="shared" si="40"/>
        <v>Crédito</v>
      </c>
      <c r="J526" s="22">
        <f t="shared" si="41"/>
        <v>45932</v>
      </c>
      <c r="K526" s="27">
        <f t="shared" ca="1" si="42"/>
        <v>0</v>
      </c>
      <c r="L526" s="23" t="str">
        <f t="shared" si="43"/>
        <v>Pagado</v>
      </c>
      <c r="M526" s="36">
        <f>SUMIFS(Tabla_Pagos[IMPORTE ABONADO],Tabla_Pagos[FECHA DE ABONO],"&gt;0",Tabla_Pagos[NRO DOC],B526)</f>
        <v>23800</v>
      </c>
      <c r="N526" s="36">
        <f t="shared" si="44"/>
        <v>0</v>
      </c>
      <c r="O526" s="22" cm="1">
        <f t="array" ref="O526">MAX(IF((Tabla_Pagos[NRO DOC]=B526)*(Tabla_Pagos[IMPORTE ABONADO]&gt;0),Tabla_Pagos[FECHA DE ABONO]))</f>
        <v>45933</v>
      </c>
    </row>
    <row r="527" spans="2:15" ht="21" customHeight="1" x14ac:dyDescent="0.25">
      <c r="B527" s="39">
        <v>1435</v>
      </c>
      <c r="C527" s="20">
        <v>45902</v>
      </c>
      <c r="D527" s="40" t="s">
        <v>444</v>
      </c>
      <c r="E527" s="37" t="str">
        <f>IFERROR(VLOOKUP(D527,CLIENTES!$B$12:$G$2602,2,FALSE),"")</f>
        <v>JONATHAN STEVEN ESCOBAR ZAPATA</v>
      </c>
      <c r="F527" s="31">
        <v>830000</v>
      </c>
      <c r="G527" s="41" t="s">
        <v>101</v>
      </c>
      <c r="H527" s="26">
        <v>0</v>
      </c>
      <c r="I527" s="21" t="str">
        <f t="shared" si="40"/>
        <v>Contado</v>
      </c>
      <c r="J527" s="22">
        <f t="shared" si="41"/>
        <v>45902</v>
      </c>
      <c r="K527" s="27">
        <f t="shared" ca="1" si="42"/>
        <v>0</v>
      </c>
      <c r="L527" s="23" t="str">
        <f t="shared" si="43"/>
        <v>Pagado</v>
      </c>
      <c r="M527" s="36">
        <f>SUMIFS(Tabla_Pagos[IMPORTE ABONADO],Tabla_Pagos[FECHA DE ABONO],"&gt;0",Tabla_Pagos[NRO DOC],B527)</f>
        <v>830000</v>
      </c>
      <c r="N527" s="36">
        <f t="shared" si="44"/>
        <v>0</v>
      </c>
      <c r="O527" s="22" cm="1">
        <f t="array" ref="O527">MAX(IF((Tabla_Pagos[NRO DOC]=B527)*(Tabla_Pagos[IMPORTE ABONADO]&gt;0),Tabla_Pagos[FECHA DE ABONO]))</f>
        <v>45902</v>
      </c>
    </row>
    <row r="528" spans="2:15" ht="21" customHeight="1" x14ac:dyDescent="0.25">
      <c r="B528" s="39">
        <v>1436</v>
      </c>
      <c r="C528" s="20">
        <v>45898</v>
      </c>
      <c r="D528" s="40" t="s">
        <v>445</v>
      </c>
      <c r="E528" s="37" t="str">
        <f>IFERROR(VLOOKUP(D528,CLIENTES!$B$12:$G$2602,2,FALSE),"")</f>
        <v>ZONA DE CARABINEROS ATACAMA</v>
      </c>
      <c r="F528" s="31">
        <v>27000</v>
      </c>
      <c r="G528" s="41" t="s">
        <v>101</v>
      </c>
      <c r="H528" s="26">
        <v>0</v>
      </c>
      <c r="I528" s="21" t="str">
        <f t="shared" si="40"/>
        <v>Contado</v>
      </c>
      <c r="J528" s="22">
        <f t="shared" si="41"/>
        <v>45898</v>
      </c>
      <c r="K528" s="27">
        <f t="shared" ca="1" si="42"/>
        <v>0</v>
      </c>
      <c r="L528" s="23" t="str">
        <f t="shared" si="43"/>
        <v>Pagado</v>
      </c>
      <c r="M528" s="36">
        <f>SUMIFS(Tabla_Pagos[IMPORTE ABONADO],Tabla_Pagos[FECHA DE ABONO],"&gt;0",Tabla_Pagos[NRO DOC],B528)</f>
        <v>27000</v>
      </c>
      <c r="N528" s="36">
        <f t="shared" si="44"/>
        <v>0</v>
      </c>
      <c r="O528" s="22" cm="1">
        <f t="array" ref="O528">MAX(IF((Tabla_Pagos[NRO DOC]=B528)*(Tabla_Pagos[IMPORTE ABONADO]&gt;0),Tabla_Pagos[FECHA DE ABONO]))</f>
        <v>45898</v>
      </c>
    </row>
    <row r="529" spans="2:15" ht="21" customHeight="1" x14ac:dyDescent="0.25">
      <c r="B529" s="39">
        <v>1437</v>
      </c>
      <c r="C529" s="20">
        <v>45902</v>
      </c>
      <c r="D529" s="40" t="s">
        <v>419</v>
      </c>
      <c r="E529" s="37" t="str">
        <f>IFERROR(VLOOKUP(D529,CLIENTES!$B$12:$G$2602,2,FALSE),"")</f>
        <v>KARINA VALESKA CERDA ARAYA</v>
      </c>
      <c r="F529" s="31">
        <v>158270</v>
      </c>
      <c r="G529" s="41" t="s">
        <v>101</v>
      </c>
      <c r="H529" s="26">
        <v>0</v>
      </c>
      <c r="I529" s="21" t="str">
        <f t="shared" si="40"/>
        <v>Contado</v>
      </c>
      <c r="J529" s="22">
        <f t="shared" si="41"/>
        <v>45902</v>
      </c>
      <c r="K529" s="27">
        <f t="shared" ca="1" si="42"/>
        <v>0</v>
      </c>
      <c r="L529" s="23" t="str">
        <f t="shared" si="43"/>
        <v>Pagado</v>
      </c>
      <c r="M529" s="36">
        <f>SUMIFS(Tabla_Pagos[IMPORTE ABONADO],Tabla_Pagos[FECHA DE ABONO],"&gt;0",Tabla_Pagos[NRO DOC],B529)</f>
        <v>158270</v>
      </c>
      <c r="N529" s="36">
        <f t="shared" si="44"/>
        <v>0</v>
      </c>
      <c r="O529" s="22" cm="1">
        <f t="array" ref="O529">MAX(IF((Tabla_Pagos[NRO DOC]=B529)*(Tabla_Pagos[IMPORTE ABONADO]&gt;0),Tabla_Pagos[FECHA DE ABONO]))</f>
        <v>45902</v>
      </c>
    </row>
    <row r="530" spans="2:15" ht="21" customHeight="1" x14ac:dyDescent="0.25">
      <c r="B530" s="39">
        <v>1438</v>
      </c>
      <c r="C530" s="20">
        <v>45902</v>
      </c>
      <c r="D530" s="40" t="s">
        <v>446</v>
      </c>
      <c r="E530" s="37" t="str">
        <f>IFERROR(VLOOKUP(D530,CLIENTES!$B$12:$G$2602,2,FALSE),"")</f>
        <v>VITAPRO LIMPIEZA SPA</v>
      </c>
      <c r="F530" s="31">
        <v>297500</v>
      </c>
      <c r="G530" s="41" t="s">
        <v>101</v>
      </c>
      <c r="H530" s="26">
        <v>0</v>
      </c>
      <c r="I530" s="21" t="str">
        <f t="shared" si="40"/>
        <v>Contado</v>
      </c>
      <c r="J530" s="22">
        <f t="shared" si="41"/>
        <v>45902</v>
      </c>
      <c r="K530" s="27">
        <f t="shared" ca="1" si="42"/>
        <v>0</v>
      </c>
      <c r="L530" s="23" t="str">
        <f t="shared" si="43"/>
        <v>Pagado</v>
      </c>
      <c r="M530" s="36">
        <f>SUMIFS(Tabla_Pagos[IMPORTE ABONADO],Tabla_Pagos[FECHA DE ABONO],"&gt;0",Tabla_Pagos[NRO DOC],B530)</f>
        <v>297500</v>
      </c>
      <c r="N530" s="36">
        <f t="shared" si="44"/>
        <v>0</v>
      </c>
      <c r="O530" s="22" cm="1">
        <f t="array" ref="O530">MAX(IF((Tabla_Pagos[NRO DOC]=B530)*(Tabla_Pagos[IMPORTE ABONADO]&gt;0),Tabla_Pagos[FECHA DE ABONO]))</f>
        <v>45902</v>
      </c>
    </row>
    <row r="531" spans="2:15" ht="21" customHeight="1" x14ac:dyDescent="0.25">
      <c r="B531" s="39">
        <v>1439</v>
      </c>
      <c r="C531" s="20">
        <v>45903</v>
      </c>
      <c r="D531" s="40" t="s">
        <v>447</v>
      </c>
      <c r="E531" s="37" t="str">
        <f>IFERROR(VLOOKUP(D531,CLIENTES!$B$12:$G$2602,2,FALSE),"")</f>
        <v>CARLOS EDUARDO MOYANO RODRIGUEZ</v>
      </c>
      <c r="F531" s="31">
        <v>299880</v>
      </c>
      <c r="G531" s="41" t="s">
        <v>394</v>
      </c>
      <c r="H531" s="26">
        <v>0</v>
      </c>
      <c r="I531" s="21" t="str">
        <f t="shared" si="40"/>
        <v>Contado</v>
      </c>
      <c r="J531" s="22">
        <f t="shared" si="41"/>
        <v>45903</v>
      </c>
      <c r="K531" s="27">
        <f t="shared" ca="1" si="42"/>
        <v>0</v>
      </c>
      <c r="L531" s="23" t="str">
        <f t="shared" si="43"/>
        <v>Pagado</v>
      </c>
      <c r="M531" s="36">
        <f>SUMIFS(Tabla_Pagos[IMPORTE ABONADO],Tabla_Pagos[FECHA DE ABONO],"&gt;0",Tabla_Pagos[NRO DOC],B531)</f>
        <v>299880</v>
      </c>
      <c r="N531" s="36">
        <f t="shared" si="44"/>
        <v>0</v>
      </c>
      <c r="O531" s="22" cm="1">
        <f t="array" ref="O531">MAX(IF((Tabla_Pagos[NRO DOC]=B531)*(Tabla_Pagos[IMPORTE ABONADO]&gt;0),Tabla_Pagos[FECHA DE ABONO]))</f>
        <v>45903</v>
      </c>
    </row>
    <row r="532" spans="2:15" ht="21" customHeight="1" x14ac:dyDescent="0.25">
      <c r="B532" s="39">
        <v>1440</v>
      </c>
      <c r="C532" s="20">
        <v>45903</v>
      </c>
      <c r="D532" s="40" t="s">
        <v>448</v>
      </c>
      <c r="E532" s="37" t="str">
        <f>IFERROR(VLOOKUP(D532,CLIENTES!$B$12:$G$2602,2,FALSE),"")</f>
        <v>INVERSIONES KUNZA SALUD SPA</v>
      </c>
      <c r="F532" s="31">
        <v>71400</v>
      </c>
      <c r="G532" s="41" t="s">
        <v>101</v>
      </c>
      <c r="H532" s="26">
        <v>30</v>
      </c>
      <c r="I532" s="21" t="str">
        <f t="shared" si="40"/>
        <v>Crédito</v>
      </c>
      <c r="J532" s="22">
        <f t="shared" si="41"/>
        <v>45933</v>
      </c>
      <c r="K532" s="27">
        <f t="shared" ca="1" si="42"/>
        <v>0</v>
      </c>
      <c r="L532" s="23" t="str">
        <f t="shared" si="43"/>
        <v>Pagado</v>
      </c>
      <c r="M532" s="36">
        <f>SUMIFS(Tabla_Pagos[IMPORTE ABONADO],Tabla_Pagos[FECHA DE ABONO],"&gt;0",Tabla_Pagos[NRO DOC],B532)</f>
        <v>71400</v>
      </c>
      <c r="N532" s="36">
        <f t="shared" si="44"/>
        <v>0</v>
      </c>
      <c r="O532" s="22" cm="1">
        <f t="array" ref="O532">MAX(IF((Tabla_Pagos[NRO DOC]=B532)*(Tabla_Pagos[IMPORTE ABONADO]&gt;0),Tabla_Pagos[FECHA DE ABONO]))</f>
        <v>45940</v>
      </c>
    </row>
    <row r="533" spans="2:15" ht="21" customHeight="1" x14ac:dyDescent="0.25">
      <c r="B533" s="39">
        <v>1441</v>
      </c>
      <c r="C533" s="20">
        <v>45903</v>
      </c>
      <c r="D533" s="40" t="s">
        <v>449</v>
      </c>
      <c r="E533" s="37" t="str">
        <f>IFERROR(VLOOKUP(D533,CLIENTES!$B$12:$G$2602,2,FALSE),"")</f>
        <v>SOC DE ASMECO INGENIERIA LIMITADA</v>
      </c>
      <c r="F533" s="31">
        <v>71400</v>
      </c>
      <c r="G533" s="41" t="s">
        <v>101</v>
      </c>
      <c r="H533" s="26">
        <v>30</v>
      </c>
      <c r="I533" s="21" t="str">
        <f t="shared" si="40"/>
        <v>Crédito</v>
      </c>
      <c r="J533" s="22">
        <f t="shared" si="41"/>
        <v>45933</v>
      </c>
      <c r="K533" s="27">
        <f t="shared" ca="1" si="42"/>
        <v>0</v>
      </c>
      <c r="L533" s="23" t="str">
        <f t="shared" si="43"/>
        <v>Pagado</v>
      </c>
      <c r="M533" s="36">
        <f>SUMIFS(Tabla_Pagos[IMPORTE ABONADO],Tabla_Pagos[FECHA DE ABONO],"&gt;0",Tabla_Pagos[NRO DOC],B533)</f>
        <v>71400</v>
      </c>
      <c r="N533" s="36">
        <f t="shared" si="44"/>
        <v>0</v>
      </c>
      <c r="O533" s="22" cm="1">
        <f t="array" ref="O533">MAX(IF((Tabla_Pagos[NRO DOC]=B533)*(Tabla_Pagos[IMPORTE ABONADO]&gt;0),Tabla_Pagos[FECHA DE ABONO]))</f>
        <v>45904</v>
      </c>
    </row>
    <row r="534" spans="2:15" ht="21" customHeight="1" x14ac:dyDescent="0.25">
      <c r="B534" s="39">
        <v>1442</v>
      </c>
      <c r="C534" s="20">
        <v>45903</v>
      </c>
      <c r="D534" s="40" t="s">
        <v>325</v>
      </c>
      <c r="E534" s="37" t="str">
        <f>IFERROR(VLOOKUP(D534,CLIENTES!$B$12:$G$2602,2,FALSE),"")</f>
        <v>INVERSIONES VIALUM SPA</v>
      </c>
      <c r="F534" s="31">
        <v>15000</v>
      </c>
      <c r="G534" s="41" t="s">
        <v>101</v>
      </c>
      <c r="H534" s="26">
        <v>0</v>
      </c>
      <c r="I534" s="21" t="str">
        <f t="shared" si="40"/>
        <v>Contado</v>
      </c>
      <c r="J534" s="22">
        <f t="shared" si="41"/>
        <v>45903</v>
      </c>
      <c r="K534" s="27">
        <f t="shared" ca="1" si="42"/>
        <v>0</v>
      </c>
      <c r="L534" s="23" t="str">
        <f t="shared" si="43"/>
        <v>Pagado</v>
      </c>
      <c r="M534" s="36">
        <f>SUMIFS(Tabla_Pagos[IMPORTE ABONADO],Tabla_Pagos[FECHA DE ABONO],"&gt;0",Tabla_Pagos[NRO DOC],B534)</f>
        <v>15000</v>
      </c>
      <c r="N534" s="36">
        <f t="shared" si="44"/>
        <v>0</v>
      </c>
      <c r="O534" s="22" cm="1">
        <f t="array" ref="O534">MAX(IF((Tabla_Pagos[NRO DOC]=B534)*(Tabla_Pagos[IMPORTE ABONADO]&gt;0),Tabla_Pagos[FECHA DE ABONO]))</f>
        <v>45903</v>
      </c>
    </row>
    <row r="535" spans="2:15" ht="21" customHeight="1" x14ac:dyDescent="0.25">
      <c r="B535" s="39">
        <v>1443</v>
      </c>
      <c r="C535" s="20">
        <v>45903</v>
      </c>
      <c r="D535" s="40" t="s">
        <v>63</v>
      </c>
      <c r="E535" s="37" t="str">
        <f>IFERROR(VLOOKUP(D535,CLIENTES!$B$12:$G$2602,2,FALSE),"")</f>
        <v>MULTISERVICIOS SANABRIA SPA</v>
      </c>
      <c r="F535" s="31">
        <v>55930</v>
      </c>
      <c r="G535" s="41" t="s">
        <v>101</v>
      </c>
      <c r="H535" s="26">
        <v>30</v>
      </c>
      <c r="I535" s="21" t="str">
        <f t="shared" si="40"/>
        <v>Crédito</v>
      </c>
      <c r="J535" s="22">
        <f t="shared" si="41"/>
        <v>45933</v>
      </c>
      <c r="K535" s="27">
        <f t="shared" ca="1" si="42"/>
        <v>0</v>
      </c>
      <c r="L535" s="23" t="str">
        <f t="shared" si="43"/>
        <v>Pagado</v>
      </c>
      <c r="M535" s="36">
        <f>SUMIFS(Tabla_Pagos[IMPORTE ABONADO],Tabla_Pagos[FECHA DE ABONO],"&gt;0",Tabla_Pagos[NRO DOC],B535)</f>
        <v>55930</v>
      </c>
      <c r="N535" s="36">
        <f t="shared" si="44"/>
        <v>0</v>
      </c>
      <c r="O535" s="22" cm="1">
        <f t="array" ref="O535">MAX(IF((Tabla_Pagos[NRO DOC]=B535)*(Tabla_Pagos[IMPORTE ABONADO]&gt;0),Tabla_Pagos[FECHA DE ABONO]))</f>
        <v>45904</v>
      </c>
    </row>
    <row r="536" spans="2:15" ht="21" customHeight="1" x14ac:dyDescent="0.25">
      <c r="B536" s="39">
        <v>1444</v>
      </c>
      <c r="C536" s="20">
        <v>45904</v>
      </c>
      <c r="D536" s="40" t="s">
        <v>115</v>
      </c>
      <c r="E536" s="37" t="str">
        <f>IFERROR(VLOOKUP(D536,CLIENTES!$B$12:$G$2602,2,FALSE),"")</f>
        <v>SOCIEDAD DE SERVICIOS FUNERARIOS S.A.</v>
      </c>
      <c r="F536" s="31">
        <v>255850</v>
      </c>
      <c r="G536" s="41" t="s">
        <v>101</v>
      </c>
      <c r="H536" s="26">
        <v>30</v>
      </c>
      <c r="I536" s="21" t="str">
        <f t="shared" si="40"/>
        <v>Crédito</v>
      </c>
      <c r="J536" s="22">
        <f t="shared" si="41"/>
        <v>45934</v>
      </c>
      <c r="K536" s="27">
        <f t="shared" ca="1" si="42"/>
        <v>0</v>
      </c>
      <c r="L536" s="23" t="str">
        <f t="shared" si="43"/>
        <v>Pagado</v>
      </c>
      <c r="M536" s="36">
        <f>SUMIFS(Tabla_Pagos[IMPORTE ABONADO],Tabla_Pagos[FECHA DE ABONO],"&gt;0",Tabla_Pagos[NRO DOC],B536)</f>
        <v>255850</v>
      </c>
      <c r="N536" s="36">
        <f t="shared" si="44"/>
        <v>0</v>
      </c>
      <c r="O536" s="22" cm="1">
        <f t="array" ref="O536">MAX(IF((Tabla_Pagos[NRO DOC]=B536)*(Tabla_Pagos[IMPORTE ABONADO]&gt;0),Tabla_Pagos[FECHA DE ABONO]))</f>
        <v>45940</v>
      </c>
    </row>
    <row r="537" spans="2:15" ht="21" customHeight="1" x14ac:dyDescent="0.25">
      <c r="B537" s="39">
        <v>1445</v>
      </c>
      <c r="C537" s="20">
        <v>45904</v>
      </c>
      <c r="D537" s="40" t="s">
        <v>450</v>
      </c>
      <c r="E537" s="37" t="str">
        <f>IFERROR(VLOOKUP(D537,CLIENTES!$B$12:$G$2602,2,FALSE),"")</f>
        <v>SERVICIOS EDUCACIONALES BYENNÃˆT SPA</v>
      </c>
      <c r="F537" s="31">
        <v>345100</v>
      </c>
      <c r="G537" s="41" t="s">
        <v>101</v>
      </c>
      <c r="H537" s="26">
        <v>0</v>
      </c>
      <c r="I537" s="21" t="str">
        <f t="shared" si="40"/>
        <v>Contado</v>
      </c>
      <c r="J537" s="22">
        <f t="shared" si="41"/>
        <v>45904</v>
      </c>
      <c r="K537" s="27">
        <f t="shared" ca="1" si="42"/>
        <v>0</v>
      </c>
      <c r="L537" s="23" t="str">
        <f t="shared" si="43"/>
        <v>Pagado</v>
      </c>
      <c r="M537" s="36">
        <f>SUMIFS(Tabla_Pagos[IMPORTE ABONADO],Tabla_Pagos[FECHA DE ABONO],"&gt;0",Tabla_Pagos[NRO DOC],B537)</f>
        <v>345100</v>
      </c>
      <c r="N537" s="36">
        <f t="shared" si="44"/>
        <v>0</v>
      </c>
      <c r="O537" s="22" cm="1">
        <f t="array" ref="O537">MAX(IF((Tabla_Pagos[NRO DOC]=B537)*(Tabla_Pagos[IMPORTE ABONADO]&gt;0),Tabla_Pagos[FECHA DE ABONO]))</f>
        <v>45904</v>
      </c>
    </row>
    <row r="538" spans="2:15" ht="21" customHeight="1" x14ac:dyDescent="0.25">
      <c r="B538" s="39">
        <v>1446</v>
      </c>
      <c r="C538" s="20">
        <v>45904</v>
      </c>
      <c r="D538" s="40" t="s">
        <v>170</v>
      </c>
      <c r="E538" s="37" t="str">
        <f>IFERROR(VLOOKUP(D538,CLIENTES!$B$12:$G$2602,2,FALSE),"")</f>
        <v>RAMON ANGEL RIQUELME OLIVARES</v>
      </c>
      <c r="F538" s="31">
        <v>249781</v>
      </c>
      <c r="G538" s="41" t="s">
        <v>101</v>
      </c>
      <c r="H538" s="26">
        <v>0</v>
      </c>
      <c r="I538" s="21" t="str">
        <f t="shared" si="40"/>
        <v>Contado</v>
      </c>
      <c r="J538" s="22">
        <f t="shared" si="41"/>
        <v>45904</v>
      </c>
      <c r="K538" s="27">
        <f t="shared" ca="1" si="42"/>
        <v>0</v>
      </c>
      <c r="L538" s="23" t="str">
        <f t="shared" si="43"/>
        <v>Pagado</v>
      </c>
      <c r="M538" s="36">
        <f>SUMIFS(Tabla_Pagos[IMPORTE ABONADO],Tabla_Pagos[FECHA DE ABONO],"&gt;0",Tabla_Pagos[NRO DOC],B538)</f>
        <v>249781</v>
      </c>
      <c r="N538" s="36">
        <f t="shared" si="44"/>
        <v>0</v>
      </c>
      <c r="O538" s="22" cm="1">
        <f t="array" ref="O538">MAX(IF((Tabla_Pagos[NRO DOC]=B538)*(Tabla_Pagos[IMPORTE ABONADO]&gt;0),Tabla_Pagos[FECHA DE ABONO]))</f>
        <v>45904</v>
      </c>
    </row>
    <row r="539" spans="2:15" ht="21" customHeight="1" x14ac:dyDescent="0.25">
      <c r="B539" s="39">
        <v>1447</v>
      </c>
      <c r="C539" s="20">
        <v>45904</v>
      </c>
      <c r="D539" s="40" t="s">
        <v>170</v>
      </c>
      <c r="E539" s="37" t="str">
        <f>IFERROR(VLOOKUP(D539,CLIENTES!$B$12:$G$2602,2,FALSE),"")</f>
        <v>RAMON ANGEL RIQUELME OLIVARES</v>
      </c>
      <c r="F539" s="31">
        <v>53550</v>
      </c>
      <c r="G539" s="41" t="s">
        <v>101</v>
      </c>
      <c r="H539" s="26">
        <v>0</v>
      </c>
      <c r="I539" s="21" t="str">
        <f t="shared" si="40"/>
        <v>Contado</v>
      </c>
      <c r="J539" s="22">
        <f t="shared" si="41"/>
        <v>45904</v>
      </c>
      <c r="K539" s="27">
        <f t="shared" ca="1" si="42"/>
        <v>0</v>
      </c>
      <c r="L539" s="23" t="str">
        <f t="shared" si="43"/>
        <v>Pagado</v>
      </c>
      <c r="M539" s="36">
        <f>SUMIFS(Tabla_Pagos[IMPORTE ABONADO],Tabla_Pagos[FECHA DE ABONO],"&gt;0",Tabla_Pagos[NRO DOC],B539)</f>
        <v>53550</v>
      </c>
      <c r="N539" s="36">
        <f t="shared" si="44"/>
        <v>0</v>
      </c>
      <c r="O539" s="22" cm="1">
        <f t="array" ref="O539">MAX(IF((Tabla_Pagos[NRO DOC]=B539)*(Tabla_Pagos[IMPORTE ABONADO]&gt;0),Tabla_Pagos[FECHA DE ABONO]))</f>
        <v>45904</v>
      </c>
    </row>
    <row r="540" spans="2:15" ht="21" customHeight="1" x14ac:dyDescent="0.25">
      <c r="B540" s="39">
        <v>1448</v>
      </c>
      <c r="C540" s="20">
        <v>45904</v>
      </c>
      <c r="D540" s="40" t="s">
        <v>438</v>
      </c>
      <c r="E540" s="37" t="str">
        <f>IFERROR(VLOOKUP(D540,CLIENTES!$B$12:$G$2602,2,FALSE),"")</f>
        <v>MENDOZA CAZ  SPA</v>
      </c>
      <c r="F540" s="31">
        <v>55811</v>
      </c>
      <c r="G540" s="41" t="s">
        <v>101</v>
      </c>
      <c r="H540" s="26">
        <v>0</v>
      </c>
      <c r="I540" s="21" t="str">
        <f t="shared" si="40"/>
        <v>Contado</v>
      </c>
      <c r="J540" s="22">
        <f t="shared" si="41"/>
        <v>45904</v>
      </c>
      <c r="K540" s="27">
        <f t="shared" ca="1" si="42"/>
        <v>0</v>
      </c>
      <c r="L540" s="23" t="str">
        <f t="shared" si="43"/>
        <v>Pagado</v>
      </c>
      <c r="M540" s="36">
        <f>SUMIFS(Tabla_Pagos[IMPORTE ABONADO],Tabla_Pagos[FECHA DE ABONO],"&gt;0",Tabla_Pagos[NRO DOC],B540)</f>
        <v>55811</v>
      </c>
      <c r="N540" s="36">
        <f t="shared" si="44"/>
        <v>0</v>
      </c>
      <c r="O540" s="22" cm="1">
        <f t="array" ref="O540">MAX(IF((Tabla_Pagos[NRO DOC]=B540)*(Tabla_Pagos[IMPORTE ABONADO]&gt;0),Tabla_Pagos[FECHA DE ABONO]))</f>
        <v>45904</v>
      </c>
    </row>
    <row r="541" spans="2:15" ht="21" customHeight="1" x14ac:dyDescent="0.25">
      <c r="B541" s="39">
        <v>1449</v>
      </c>
      <c r="C541" s="20">
        <v>45905</v>
      </c>
      <c r="D541" s="40" t="s">
        <v>38</v>
      </c>
      <c r="E541" s="37" t="str">
        <f>IFERROR(VLOOKUP(D541,CLIENTES!$B$12:$G$2602,2,FALSE),"")</f>
        <v>CROSAN SPA</v>
      </c>
      <c r="F541" s="31">
        <v>164220</v>
      </c>
      <c r="G541" s="41" t="s">
        <v>101</v>
      </c>
      <c r="H541" s="26">
        <v>30</v>
      </c>
      <c r="I541" s="21" t="str">
        <f t="shared" si="40"/>
        <v>Crédito</v>
      </c>
      <c r="J541" s="22">
        <f t="shared" si="41"/>
        <v>45935</v>
      </c>
      <c r="K541" s="27">
        <f t="shared" ca="1" si="42"/>
        <v>0</v>
      </c>
      <c r="L541" s="23" t="str">
        <f t="shared" si="43"/>
        <v>Pagado</v>
      </c>
      <c r="M541" s="36">
        <f>SUMIFS(Tabla_Pagos[IMPORTE ABONADO],Tabla_Pagos[FECHA DE ABONO],"&gt;0",Tabla_Pagos[NRO DOC],B541)</f>
        <v>164220</v>
      </c>
      <c r="N541" s="36">
        <f t="shared" si="44"/>
        <v>0</v>
      </c>
      <c r="O541" s="22" cm="1">
        <f t="array" ref="O541">MAX(IF((Tabla_Pagos[NRO DOC]=B541)*(Tabla_Pagos[IMPORTE ABONADO]&gt;0),Tabla_Pagos[FECHA DE ABONO]))</f>
        <v>45905</v>
      </c>
    </row>
    <row r="542" spans="2:15" ht="21" customHeight="1" x14ac:dyDescent="0.25">
      <c r="B542" s="39">
        <v>1450</v>
      </c>
      <c r="C542" s="20">
        <v>45905</v>
      </c>
      <c r="D542" s="40" t="s">
        <v>389</v>
      </c>
      <c r="E542" s="37" t="str">
        <f>IFERROR(VLOOKUP(D542,CLIENTES!$B$12:$G$2602,2,FALSE),"")</f>
        <v>NEWTRANS LOGISTICS CHILE SPA</v>
      </c>
      <c r="F542" s="31">
        <v>15000</v>
      </c>
      <c r="G542" s="41" t="s">
        <v>101</v>
      </c>
      <c r="H542" s="26">
        <v>0</v>
      </c>
      <c r="I542" s="21" t="str">
        <f t="shared" si="40"/>
        <v>Contado</v>
      </c>
      <c r="J542" s="22">
        <f t="shared" si="41"/>
        <v>45905</v>
      </c>
      <c r="K542" s="27">
        <f t="shared" ca="1" si="42"/>
        <v>0</v>
      </c>
      <c r="L542" s="23" t="str">
        <f t="shared" si="43"/>
        <v>Pagado</v>
      </c>
      <c r="M542" s="36">
        <f>SUMIFS(Tabla_Pagos[IMPORTE ABONADO],Tabla_Pagos[FECHA DE ABONO],"&gt;0",Tabla_Pagos[NRO DOC],B542)</f>
        <v>15000</v>
      </c>
      <c r="N542" s="36">
        <f t="shared" si="44"/>
        <v>0</v>
      </c>
      <c r="O542" s="22" cm="1">
        <f t="array" ref="O542">MAX(IF((Tabla_Pagos[NRO DOC]=B542)*(Tabla_Pagos[IMPORTE ABONADO]&gt;0),Tabla_Pagos[FECHA DE ABONO]))</f>
        <v>45905</v>
      </c>
    </row>
    <row r="543" spans="2:15" ht="21" customHeight="1" x14ac:dyDescent="0.25">
      <c r="B543" s="39">
        <v>1451</v>
      </c>
      <c r="C543" s="20">
        <v>45905</v>
      </c>
      <c r="D543" s="40" t="s">
        <v>458</v>
      </c>
      <c r="E543" s="37" t="str">
        <f>IFERROR(VLOOKUP(D543,CLIENTES!$B$12:$G$2602,2,FALSE),"")</f>
        <v>VIDRIOS Y ALUMINIOS SERVAL SPA</v>
      </c>
      <c r="F543" s="31">
        <v>250000</v>
      </c>
      <c r="G543" s="41" t="s">
        <v>101</v>
      </c>
      <c r="H543" s="26">
        <v>30</v>
      </c>
      <c r="I543" s="21" t="str">
        <f t="shared" si="40"/>
        <v>Crédito</v>
      </c>
      <c r="J543" s="22">
        <f t="shared" si="41"/>
        <v>45935</v>
      </c>
      <c r="K543" s="27">
        <f t="shared" ca="1" si="42"/>
        <v>0</v>
      </c>
      <c r="L543" s="23" t="str">
        <f t="shared" si="43"/>
        <v>Pagado</v>
      </c>
      <c r="M543" s="36">
        <f>SUMIFS(Tabla_Pagos[IMPORTE ABONADO],Tabla_Pagos[FECHA DE ABONO],"&gt;0",Tabla_Pagos[NRO DOC],B543)</f>
        <v>250000</v>
      </c>
      <c r="N543" s="36">
        <f t="shared" si="44"/>
        <v>0</v>
      </c>
      <c r="O543" s="22" cm="1">
        <f t="array" ref="O543">MAX(IF((Tabla_Pagos[NRO DOC]=B543)*(Tabla_Pagos[IMPORTE ABONADO]&gt;0),Tabla_Pagos[FECHA DE ABONO]))</f>
        <v>45943</v>
      </c>
    </row>
    <row r="544" spans="2:15" ht="21" customHeight="1" x14ac:dyDescent="0.25">
      <c r="B544" s="39">
        <v>1452</v>
      </c>
      <c r="C544" s="20">
        <v>45905</v>
      </c>
      <c r="D544" s="40" t="s">
        <v>459</v>
      </c>
      <c r="E544" s="37" t="str">
        <f>IFERROR(VLOOKUP(D544,CLIENTES!$B$12:$G$2602,2,FALSE),"")</f>
        <v>JAG SERVICIOS CHILE SPA</v>
      </c>
      <c r="F544" s="31">
        <v>169575</v>
      </c>
      <c r="G544" s="41" t="s">
        <v>101</v>
      </c>
      <c r="H544" s="26">
        <v>0</v>
      </c>
      <c r="I544" s="21" t="str">
        <f t="shared" si="40"/>
        <v>Contado</v>
      </c>
      <c r="J544" s="22">
        <f t="shared" si="41"/>
        <v>45905</v>
      </c>
      <c r="K544" s="27">
        <f t="shared" ca="1" si="42"/>
        <v>0</v>
      </c>
      <c r="L544" s="23" t="str">
        <f t="shared" si="43"/>
        <v>Pagado</v>
      </c>
      <c r="M544" s="36">
        <f>SUMIFS(Tabla_Pagos[IMPORTE ABONADO],Tabla_Pagos[FECHA DE ABONO],"&gt;0",Tabla_Pagos[NRO DOC],B544)</f>
        <v>169575</v>
      </c>
      <c r="N544" s="36">
        <f t="shared" si="44"/>
        <v>0</v>
      </c>
      <c r="O544" s="22" cm="1">
        <f t="array" ref="O544">MAX(IF((Tabla_Pagos[NRO DOC]=B544)*(Tabla_Pagos[IMPORTE ABONADO]&gt;0),Tabla_Pagos[FECHA DE ABONO]))</f>
        <v>45905</v>
      </c>
    </row>
    <row r="545" spans="2:15" ht="21" customHeight="1" x14ac:dyDescent="0.25">
      <c r="B545" s="39">
        <v>1453</v>
      </c>
      <c r="C545" s="20">
        <v>45905</v>
      </c>
      <c r="D545" s="40" t="s">
        <v>460</v>
      </c>
      <c r="E545" s="37" t="str">
        <f>IFERROR(VLOOKUP(D545,CLIENTES!$B$12:$G$2602,2,FALSE),"")</f>
        <v>INGENIERIA GACITUA SPA</v>
      </c>
      <c r="F545" s="31">
        <v>60000</v>
      </c>
      <c r="G545" s="41" t="s">
        <v>101</v>
      </c>
      <c r="H545" s="26">
        <v>0</v>
      </c>
      <c r="I545" s="21" t="str">
        <f t="shared" si="40"/>
        <v>Contado</v>
      </c>
      <c r="J545" s="22">
        <f t="shared" si="41"/>
        <v>45905</v>
      </c>
      <c r="K545" s="27">
        <f t="shared" ca="1" si="42"/>
        <v>0</v>
      </c>
      <c r="L545" s="23" t="str">
        <f t="shared" si="43"/>
        <v>Pagado</v>
      </c>
      <c r="M545" s="36">
        <f>SUMIFS(Tabla_Pagos[IMPORTE ABONADO],Tabla_Pagos[FECHA DE ABONO],"&gt;0",Tabla_Pagos[NRO DOC],B545)</f>
        <v>60000</v>
      </c>
      <c r="N545" s="36">
        <f t="shared" si="44"/>
        <v>0</v>
      </c>
      <c r="O545" s="22" cm="1">
        <f t="array" ref="O545">MAX(IF((Tabla_Pagos[NRO DOC]=B545)*(Tabla_Pagos[IMPORTE ABONADO]&gt;0),Tabla_Pagos[FECHA DE ABONO]))</f>
        <v>45905</v>
      </c>
    </row>
    <row r="546" spans="2:15" ht="21" customHeight="1" x14ac:dyDescent="0.25">
      <c r="B546" s="39">
        <v>1454</v>
      </c>
      <c r="C546" s="20">
        <v>45905</v>
      </c>
      <c r="D546" s="40" t="s">
        <v>461</v>
      </c>
      <c r="E546" s="37" t="str">
        <f>IFERROR(VLOOKUP(D546,CLIENTES!$B$12:$G$2602,2,FALSE),"")</f>
        <v>SOCIEDAD DE ALIMENTACION SUPO SPA</v>
      </c>
      <c r="F546" s="31">
        <v>262990</v>
      </c>
      <c r="G546" s="41" t="s">
        <v>394</v>
      </c>
      <c r="H546" s="26">
        <v>0</v>
      </c>
      <c r="I546" s="21" t="str">
        <f t="shared" si="40"/>
        <v>Contado</v>
      </c>
      <c r="J546" s="22">
        <f t="shared" si="41"/>
        <v>45905</v>
      </c>
      <c r="K546" s="27">
        <f t="shared" ca="1" si="42"/>
        <v>0</v>
      </c>
      <c r="L546" s="23" t="str">
        <f t="shared" si="43"/>
        <v>Pagado</v>
      </c>
      <c r="M546" s="36">
        <f>SUMIFS(Tabla_Pagos[IMPORTE ABONADO],Tabla_Pagos[FECHA DE ABONO],"&gt;0",Tabla_Pagos[NRO DOC],B546)</f>
        <v>262990</v>
      </c>
      <c r="N546" s="36">
        <f t="shared" si="44"/>
        <v>0</v>
      </c>
      <c r="O546" s="22" cm="1">
        <f t="array" ref="O546">MAX(IF((Tabla_Pagos[NRO DOC]=B546)*(Tabla_Pagos[IMPORTE ABONADO]&gt;0),Tabla_Pagos[FECHA DE ABONO]))</f>
        <v>45905</v>
      </c>
    </row>
    <row r="547" spans="2:15" ht="21" customHeight="1" x14ac:dyDescent="0.25">
      <c r="B547" s="39">
        <v>1455</v>
      </c>
      <c r="C547" s="20">
        <v>45905</v>
      </c>
      <c r="D547" s="40" t="s">
        <v>53</v>
      </c>
      <c r="E547" s="37" t="str">
        <f>IFERROR(VLOOKUP(D547,CLIENTES!$B$12:$G$2602,2,FALSE),"")</f>
        <v>SODIMAC S.A.</v>
      </c>
      <c r="F547" s="31">
        <v>2088212</v>
      </c>
      <c r="G547" s="41" t="s">
        <v>394</v>
      </c>
      <c r="H547" s="26">
        <v>30</v>
      </c>
      <c r="I547" s="21" t="str">
        <f t="shared" si="40"/>
        <v>Crédito</v>
      </c>
      <c r="J547" s="22">
        <f t="shared" si="41"/>
        <v>45935</v>
      </c>
      <c r="K547" s="27">
        <f t="shared" ca="1" si="42"/>
        <v>0</v>
      </c>
      <c r="L547" s="23" t="str">
        <f t="shared" si="43"/>
        <v>Pagado</v>
      </c>
      <c r="M547" s="36">
        <f>SUMIFS(Tabla_Pagos[IMPORTE ABONADO],Tabla_Pagos[FECHA DE ABONO],"&gt;0",Tabla_Pagos[NRO DOC],B547)</f>
        <v>2088212</v>
      </c>
      <c r="N547" s="36">
        <f t="shared" si="44"/>
        <v>0</v>
      </c>
      <c r="O547" s="22" cm="1">
        <f t="array" ref="O547">MAX(IF((Tabla_Pagos[NRO DOC]=B547)*(Tabla_Pagos[IMPORTE ABONADO]&gt;0),Tabla_Pagos[FECHA DE ABONO]))</f>
        <v>45933</v>
      </c>
    </row>
    <row r="548" spans="2:15" ht="21" customHeight="1" x14ac:dyDescent="0.25">
      <c r="B548" s="39">
        <v>1456</v>
      </c>
      <c r="C548" s="20">
        <v>45905</v>
      </c>
      <c r="D548" s="40" t="s">
        <v>62</v>
      </c>
      <c r="E548" s="37" t="str">
        <f>IFERROR(VLOOKUP(D548,CLIENTES!$B$12:$G$2602,2,FALSE),"")</f>
        <v>SEMINET SPA</v>
      </c>
      <c r="F548" s="31">
        <v>197064</v>
      </c>
      <c r="G548" s="41" t="s">
        <v>394</v>
      </c>
      <c r="H548" s="26">
        <v>30</v>
      </c>
      <c r="I548" s="21" t="str">
        <f t="shared" si="40"/>
        <v>Crédito</v>
      </c>
      <c r="J548" s="22">
        <f t="shared" si="41"/>
        <v>45935</v>
      </c>
      <c r="K548" s="27">
        <f t="shared" ca="1" si="42"/>
        <v>0</v>
      </c>
      <c r="L548" s="23" t="str">
        <f t="shared" si="43"/>
        <v>Pagado</v>
      </c>
      <c r="M548" s="36">
        <f>SUMIFS(Tabla_Pagos[IMPORTE ABONADO],Tabla_Pagos[FECHA DE ABONO],"&gt;0",Tabla_Pagos[NRO DOC],B548)</f>
        <v>197064</v>
      </c>
      <c r="N548" s="36">
        <f t="shared" si="44"/>
        <v>0</v>
      </c>
      <c r="O548" s="22" cm="1">
        <f t="array" ref="O548">MAX(IF((Tabla_Pagos[NRO DOC]=B548)*(Tabla_Pagos[IMPORTE ABONADO]&gt;0),Tabla_Pagos[FECHA DE ABONO]))</f>
        <v>45931</v>
      </c>
    </row>
    <row r="549" spans="2:15" ht="21" customHeight="1" x14ac:dyDescent="0.25">
      <c r="B549" s="39">
        <v>1457</v>
      </c>
      <c r="C549" s="20">
        <v>45908</v>
      </c>
      <c r="D549" s="40" t="s">
        <v>311</v>
      </c>
      <c r="E549" s="37" t="str">
        <f>IFERROR(VLOOKUP(D549,CLIENTES!$B$12:$G$2602,2,FALSE),"")</f>
        <v>SOCIEDAD COMERCIALIZADORA Y DISTRIBUIDORA TRES VALLES SPA</v>
      </c>
      <c r="F549" s="31">
        <v>236215</v>
      </c>
      <c r="G549" s="41" t="s">
        <v>101</v>
      </c>
      <c r="H549" s="26">
        <v>0</v>
      </c>
      <c r="I549" s="21" t="str">
        <f t="shared" si="40"/>
        <v>Contado</v>
      </c>
      <c r="J549" s="22">
        <f t="shared" si="41"/>
        <v>45908</v>
      </c>
      <c r="K549" s="27">
        <f t="shared" ca="1" si="42"/>
        <v>0</v>
      </c>
      <c r="L549" s="23" t="str">
        <f t="shared" si="43"/>
        <v>Pagado</v>
      </c>
      <c r="M549" s="36">
        <f>SUMIFS(Tabla_Pagos[IMPORTE ABONADO],Tabla_Pagos[FECHA DE ABONO],"&gt;0",Tabla_Pagos[NRO DOC],B549)</f>
        <v>236215</v>
      </c>
      <c r="N549" s="36">
        <f t="shared" si="44"/>
        <v>0</v>
      </c>
      <c r="O549" s="22" cm="1">
        <f t="array" ref="O549">MAX(IF((Tabla_Pagos[NRO DOC]=B549)*(Tabla_Pagos[IMPORTE ABONADO]&gt;0),Tabla_Pagos[FECHA DE ABONO]))</f>
        <v>45908</v>
      </c>
    </row>
    <row r="550" spans="2:15" ht="21" customHeight="1" x14ac:dyDescent="0.25">
      <c r="B550" s="39">
        <v>1458</v>
      </c>
      <c r="C550" s="20">
        <v>45908</v>
      </c>
      <c r="D550" s="40" t="s">
        <v>54</v>
      </c>
      <c r="E550" s="37" t="str">
        <f>IFERROR(VLOOKUP(D550,CLIENTES!$B$12:$G$2602,2,FALSE),"")</f>
        <v>AUCAN LOGISTIC SPA</v>
      </c>
      <c r="F550" s="31">
        <v>76160</v>
      </c>
      <c r="G550" s="41" t="s">
        <v>101</v>
      </c>
      <c r="H550" s="26">
        <v>0</v>
      </c>
      <c r="I550" s="21" t="str">
        <f t="shared" si="40"/>
        <v>Contado</v>
      </c>
      <c r="J550" s="22">
        <f t="shared" si="41"/>
        <v>45908</v>
      </c>
      <c r="K550" s="27">
        <f t="shared" ca="1" si="42"/>
        <v>0</v>
      </c>
      <c r="L550" s="23" t="str">
        <f t="shared" si="43"/>
        <v>Pagado</v>
      </c>
      <c r="M550" s="36">
        <f>SUMIFS(Tabla_Pagos[IMPORTE ABONADO],Tabla_Pagos[FECHA DE ABONO],"&gt;0",Tabla_Pagos[NRO DOC],B550)</f>
        <v>76160</v>
      </c>
      <c r="N550" s="36">
        <f t="shared" si="44"/>
        <v>0</v>
      </c>
      <c r="O550" s="22" cm="1">
        <f t="array" ref="O550">MAX(IF((Tabla_Pagos[NRO DOC]=B550)*(Tabla_Pagos[IMPORTE ABONADO]&gt;0),Tabla_Pagos[FECHA DE ABONO]))</f>
        <v>45908</v>
      </c>
    </row>
    <row r="551" spans="2:15" ht="21" customHeight="1" x14ac:dyDescent="0.25">
      <c r="B551" s="39">
        <v>1459</v>
      </c>
      <c r="C551" s="20">
        <v>45908</v>
      </c>
      <c r="D551" s="40" t="s">
        <v>466</v>
      </c>
      <c r="E551" s="37" t="str">
        <f>IFERROR(VLOOKUP(D551,CLIENTES!$B$12:$G$2602,2,FALSE),"")</f>
        <v>DHARMA SPA</v>
      </c>
      <c r="F551" s="31">
        <v>423402</v>
      </c>
      <c r="G551" s="41" t="s">
        <v>394</v>
      </c>
      <c r="H551" s="26">
        <v>0</v>
      </c>
      <c r="I551" s="21" t="str">
        <f t="shared" si="40"/>
        <v>Contado</v>
      </c>
      <c r="J551" s="22">
        <f t="shared" si="41"/>
        <v>45908</v>
      </c>
      <c r="K551" s="27">
        <f t="shared" ca="1" si="42"/>
        <v>0</v>
      </c>
      <c r="L551" s="23" t="str">
        <f t="shared" si="43"/>
        <v>Pagado</v>
      </c>
      <c r="M551" s="36">
        <f>SUMIFS(Tabla_Pagos[IMPORTE ABONADO],Tabla_Pagos[FECHA DE ABONO],"&gt;0",Tabla_Pagos[NRO DOC],B551)</f>
        <v>423402</v>
      </c>
      <c r="N551" s="36">
        <f t="shared" si="44"/>
        <v>0</v>
      </c>
      <c r="O551" s="22" cm="1">
        <f t="array" ref="O551">MAX(IF((Tabla_Pagos[NRO DOC]=B551)*(Tabla_Pagos[IMPORTE ABONADO]&gt;0),Tabla_Pagos[FECHA DE ABONO]))</f>
        <v>45908</v>
      </c>
    </row>
    <row r="552" spans="2:15" ht="21" customHeight="1" x14ac:dyDescent="0.25">
      <c r="B552" s="39">
        <v>1460</v>
      </c>
      <c r="C552" s="20">
        <v>45909</v>
      </c>
      <c r="D552" s="40" t="s">
        <v>467</v>
      </c>
      <c r="E552" s="37" t="str">
        <f>IFERROR(VLOOKUP(D552,CLIENTES!$B$12:$G$2602,2,FALSE),"")</f>
        <v>ASESORIAS E INVERSIONES BETANIAÂ´S COMPANY SPA</v>
      </c>
      <c r="F552" s="31">
        <v>20000</v>
      </c>
      <c r="G552" s="41" t="s">
        <v>101</v>
      </c>
      <c r="H552" s="26">
        <v>0</v>
      </c>
      <c r="I552" s="21" t="str">
        <f t="shared" ref="I552:I569" si="45">IF(H552="","",IF(H552=0,"Contado","Crédito"))</f>
        <v>Contado</v>
      </c>
      <c r="J552" s="22">
        <f t="shared" ref="J552:J569" si="46">IF(I552="","",C552+H552)</f>
        <v>45909</v>
      </c>
      <c r="K552" s="27">
        <f t="shared" ref="K552:K569" ca="1" si="47">IFERROR(IF(B552="","",IF(N552=0,0,J552-TODAY())),"")</f>
        <v>0</v>
      </c>
      <c r="L552" s="23" t="str">
        <f t="shared" ref="L552:L569" si="48">IF(I552="","",IF(N552=0,"Pagado",IF(K552&lt;0,"Vencido","No vencido")))</f>
        <v>Pagado</v>
      </c>
      <c r="M552" s="36">
        <f>SUMIFS(Tabla_Pagos[IMPORTE ABONADO],Tabla_Pagos[FECHA DE ABONO],"&gt;0",Tabla_Pagos[NRO DOC],B552)</f>
        <v>20000</v>
      </c>
      <c r="N552" s="36">
        <f t="shared" ref="N552:N569" si="49">F552-M552</f>
        <v>0</v>
      </c>
      <c r="O552" s="22" cm="1">
        <f t="array" ref="O552">MAX(IF((Tabla_Pagos[NRO DOC]=B552)*(Tabla_Pagos[IMPORTE ABONADO]&gt;0),Tabla_Pagos[FECHA DE ABONO]))</f>
        <v>45909</v>
      </c>
    </row>
    <row r="553" spans="2:15" ht="21" customHeight="1" x14ac:dyDescent="0.25">
      <c r="B553" s="39">
        <v>1461</v>
      </c>
      <c r="C553" s="20">
        <v>45909</v>
      </c>
      <c r="D553" s="40" t="s">
        <v>47</v>
      </c>
      <c r="E553" s="37" t="str">
        <f>IFERROR(VLOOKUP(D553,CLIENTES!$B$12:$G$2602,2,FALSE),"")</f>
        <v>PATAGONIA SERVICIOS SPA</v>
      </c>
      <c r="F553" s="31">
        <v>1130500</v>
      </c>
      <c r="G553" s="41" t="s">
        <v>134</v>
      </c>
      <c r="H553" s="26">
        <v>30</v>
      </c>
      <c r="I553" s="21" t="str">
        <f t="shared" si="45"/>
        <v>Crédito</v>
      </c>
      <c r="J553" s="22">
        <f t="shared" si="46"/>
        <v>45939</v>
      </c>
      <c r="K553" s="27">
        <f t="shared" ca="1" si="47"/>
        <v>0</v>
      </c>
      <c r="L553" s="23" t="str">
        <f t="shared" si="48"/>
        <v>Pagado</v>
      </c>
      <c r="M553" s="36">
        <f>SUMIFS(Tabla_Pagos[IMPORTE ABONADO],Tabla_Pagos[FECHA DE ABONO],"&gt;0",Tabla_Pagos[NRO DOC],B553)</f>
        <v>1130500</v>
      </c>
      <c r="N553" s="36">
        <f t="shared" si="49"/>
        <v>0</v>
      </c>
      <c r="O553" s="22" cm="1">
        <f t="array" ref="O553">MAX(IF((Tabla_Pagos[NRO DOC]=B553)*(Tabla_Pagos[IMPORTE ABONADO]&gt;0),Tabla_Pagos[FECHA DE ABONO]))</f>
        <v>45973</v>
      </c>
    </row>
    <row r="554" spans="2:15" ht="21" customHeight="1" x14ac:dyDescent="0.25">
      <c r="B554" s="39">
        <v>1462</v>
      </c>
      <c r="C554" s="20">
        <v>45909</v>
      </c>
      <c r="D554" s="40" t="s">
        <v>47</v>
      </c>
      <c r="E554" s="37" t="str">
        <f>IFERROR(VLOOKUP(D554,CLIENTES!$B$12:$G$2602,2,FALSE),"")</f>
        <v>PATAGONIA SERVICIOS SPA</v>
      </c>
      <c r="F554" s="31">
        <v>3320100</v>
      </c>
      <c r="G554" s="41" t="s">
        <v>134</v>
      </c>
      <c r="H554" s="26">
        <v>30</v>
      </c>
      <c r="I554" s="21" t="str">
        <f t="shared" si="45"/>
        <v>Crédito</v>
      </c>
      <c r="J554" s="22">
        <f t="shared" si="46"/>
        <v>45939</v>
      </c>
      <c r="K554" s="27">
        <f t="shared" ca="1" si="47"/>
        <v>0</v>
      </c>
      <c r="L554" s="23" t="str">
        <f t="shared" si="48"/>
        <v>Pagado</v>
      </c>
      <c r="M554" s="36">
        <f>SUMIFS(Tabla_Pagos[IMPORTE ABONADO],Tabla_Pagos[FECHA DE ABONO],"&gt;0",Tabla_Pagos[NRO DOC],B554)</f>
        <v>3320100</v>
      </c>
      <c r="N554" s="36">
        <f t="shared" si="49"/>
        <v>0</v>
      </c>
      <c r="O554" s="22" cm="1">
        <f t="array" ref="O554">MAX(IF((Tabla_Pagos[NRO DOC]=B554)*(Tabla_Pagos[IMPORTE ABONADO]&gt;0),Tabla_Pagos[FECHA DE ABONO]))</f>
        <v>45972</v>
      </c>
    </row>
    <row r="555" spans="2:15" ht="21" customHeight="1" x14ac:dyDescent="0.25">
      <c r="B555" s="39">
        <v>1463</v>
      </c>
      <c r="C555" s="20">
        <v>45909</v>
      </c>
      <c r="D555" s="40" t="s">
        <v>47</v>
      </c>
      <c r="E555" s="37" t="str">
        <f>IFERROR(VLOOKUP(D555,CLIENTES!$B$12:$G$2602,2,FALSE),"")</f>
        <v>PATAGONIA SERVICIOS SPA</v>
      </c>
      <c r="F555" s="31">
        <v>1190000</v>
      </c>
      <c r="G555" s="41" t="s">
        <v>134</v>
      </c>
      <c r="H555" s="26">
        <v>30</v>
      </c>
      <c r="I555" s="21" t="str">
        <f t="shared" si="45"/>
        <v>Crédito</v>
      </c>
      <c r="J555" s="22">
        <f t="shared" si="46"/>
        <v>45939</v>
      </c>
      <c r="K555" s="27">
        <f t="shared" ca="1" si="47"/>
        <v>0</v>
      </c>
      <c r="L555" s="23" t="str">
        <f t="shared" si="48"/>
        <v>Pagado</v>
      </c>
      <c r="M555" s="36">
        <f>SUMIFS(Tabla_Pagos[IMPORTE ABONADO],Tabla_Pagos[FECHA DE ABONO],"&gt;0",Tabla_Pagos[NRO DOC],B555)</f>
        <v>1190000</v>
      </c>
      <c r="N555" s="36">
        <f t="shared" si="49"/>
        <v>0</v>
      </c>
      <c r="O555" s="22" cm="1">
        <f t="array" ref="O555">MAX(IF((Tabla_Pagos[NRO DOC]=B555)*(Tabla_Pagos[IMPORTE ABONADO]&gt;0),Tabla_Pagos[FECHA DE ABONO]))</f>
        <v>46021</v>
      </c>
    </row>
    <row r="556" spans="2:15" ht="21" customHeight="1" x14ac:dyDescent="0.25">
      <c r="B556" s="39">
        <v>1464</v>
      </c>
      <c r="C556" s="20">
        <v>45909</v>
      </c>
      <c r="D556" s="40" t="s">
        <v>47</v>
      </c>
      <c r="E556" s="37" t="str">
        <f>IFERROR(VLOOKUP(D556,CLIENTES!$B$12:$G$2602,2,FALSE),"")</f>
        <v>PATAGONIA SERVICIOS SPA</v>
      </c>
      <c r="F556" s="31">
        <v>2118200</v>
      </c>
      <c r="G556" s="41" t="s">
        <v>134</v>
      </c>
      <c r="H556" s="26">
        <v>30</v>
      </c>
      <c r="I556" s="21" t="str">
        <f t="shared" si="45"/>
        <v>Crédito</v>
      </c>
      <c r="J556" s="22">
        <f t="shared" si="46"/>
        <v>45939</v>
      </c>
      <c r="K556" s="27">
        <f t="shared" ca="1" si="47"/>
        <v>0</v>
      </c>
      <c r="L556" s="23" t="str">
        <f t="shared" si="48"/>
        <v>Pagado</v>
      </c>
      <c r="M556" s="36">
        <f>SUMIFS(Tabla_Pagos[IMPORTE ABONADO],Tabla_Pagos[FECHA DE ABONO],"&gt;0",Tabla_Pagos[NRO DOC],B556)</f>
        <v>2118200</v>
      </c>
      <c r="N556" s="36">
        <f t="shared" si="49"/>
        <v>0</v>
      </c>
      <c r="O556" s="22" cm="1">
        <f t="array" ref="O556">MAX(IF((Tabla_Pagos[NRO DOC]=B556)*(Tabla_Pagos[IMPORTE ABONADO]&gt;0),Tabla_Pagos[FECHA DE ABONO]))</f>
        <v>45973</v>
      </c>
    </row>
    <row r="557" spans="2:15" ht="21" customHeight="1" x14ac:dyDescent="0.25">
      <c r="B557" s="39">
        <v>1465</v>
      </c>
      <c r="C557" s="20">
        <v>45909</v>
      </c>
      <c r="D557" s="40" t="s">
        <v>47</v>
      </c>
      <c r="E557" s="37" t="str">
        <f>IFERROR(VLOOKUP(D557,CLIENTES!$B$12:$G$2602,2,FALSE),"")</f>
        <v>PATAGONIA SERVICIOS SPA</v>
      </c>
      <c r="F557" s="31">
        <v>8817900</v>
      </c>
      <c r="G557" s="41" t="s">
        <v>134</v>
      </c>
      <c r="H557" s="26">
        <v>30</v>
      </c>
      <c r="I557" s="21" t="str">
        <f t="shared" si="45"/>
        <v>Crédito</v>
      </c>
      <c r="J557" s="22">
        <f t="shared" si="46"/>
        <v>45939</v>
      </c>
      <c r="K557" s="27">
        <f t="shared" ca="1" si="47"/>
        <v>0</v>
      </c>
      <c r="L557" s="23" t="str">
        <f t="shared" si="48"/>
        <v>Pagado</v>
      </c>
      <c r="M557" s="36">
        <f>SUMIFS(Tabla_Pagos[IMPORTE ABONADO],Tabla_Pagos[FECHA DE ABONO],"&gt;0",Tabla_Pagos[NRO DOC],B557)</f>
        <v>8817900</v>
      </c>
      <c r="N557" s="36">
        <f t="shared" si="49"/>
        <v>0</v>
      </c>
      <c r="O557" s="22" cm="1">
        <f t="array" ref="O557">MAX(IF((Tabla_Pagos[NRO DOC]=B557)*(Tabla_Pagos[IMPORTE ABONADO]&gt;0),Tabla_Pagos[FECHA DE ABONO]))</f>
        <v>45972</v>
      </c>
    </row>
    <row r="558" spans="2:15" ht="21" customHeight="1" x14ac:dyDescent="0.25">
      <c r="B558" s="39">
        <v>1466</v>
      </c>
      <c r="C558" s="20">
        <v>45909</v>
      </c>
      <c r="D558" s="40" t="s">
        <v>468</v>
      </c>
      <c r="E558" s="37" t="str">
        <f>IFERROR(VLOOKUP(D558,CLIENTES!$B$12:$G$2602,2,FALSE),"")</f>
        <v>ELIAS RESK CONTRERAS TRANSPORTES Y SERVICIOS LIMITADA</v>
      </c>
      <c r="F558" s="31">
        <v>142800</v>
      </c>
      <c r="G558" s="41" t="s">
        <v>101</v>
      </c>
      <c r="H558" s="26">
        <v>0</v>
      </c>
      <c r="I558" s="21" t="str">
        <f t="shared" si="45"/>
        <v>Contado</v>
      </c>
      <c r="J558" s="22">
        <f t="shared" si="46"/>
        <v>45909</v>
      </c>
      <c r="K558" s="27">
        <f t="shared" ca="1" si="47"/>
        <v>0</v>
      </c>
      <c r="L558" s="23" t="str">
        <f t="shared" si="48"/>
        <v>Pagado</v>
      </c>
      <c r="M558" s="36">
        <f>SUMIFS(Tabla_Pagos[IMPORTE ABONADO],Tabla_Pagos[FECHA DE ABONO],"&gt;0",Tabla_Pagos[NRO DOC],B558)</f>
        <v>142800</v>
      </c>
      <c r="N558" s="36">
        <f t="shared" si="49"/>
        <v>0</v>
      </c>
      <c r="O558" s="22" cm="1">
        <f t="array" ref="O558">MAX(IF((Tabla_Pagos[NRO DOC]=B558)*(Tabla_Pagos[IMPORTE ABONADO]&gt;0),Tabla_Pagos[FECHA DE ABONO]))</f>
        <v>45909</v>
      </c>
    </row>
    <row r="559" spans="2:15" ht="21" customHeight="1" x14ac:dyDescent="0.25">
      <c r="B559" s="39">
        <v>1467</v>
      </c>
      <c r="C559" s="20">
        <v>45910</v>
      </c>
      <c r="D559" s="40" t="s">
        <v>469</v>
      </c>
      <c r="E559" s="37" t="str">
        <f>IFERROR(VLOOKUP(D559,CLIENTES!$B$12:$G$2602,2,FALSE),"")</f>
        <v>SERVICIOS GRAFICOS DESERT GRAPHICS LIMITADA</v>
      </c>
      <c r="F559" s="31">
        <v>238000</v>
      </c>
      <c r="G559" s="41" t="s">
        <v>101</v>
      </c>
      <c r="H559" s="26">
        <v>0</v>
      </c>
      <c r="I559" s="21" t="str">
        <f t="shared" si="45"/>
        <v>Contado</v>
      </c>
      <c r="J559" s="22">
        <f t="shared" si="46"/>
        <v>45910</v>
      </c>
      <c r="K559" s="27">
        <f t="shared" ca="1" si="47"/>
        <v>0</v>
      </c>
      <c r="L559" s="23" t="str">
        <f t="shared" si="48"/>
        <v>Pagado</v>
      </c>
      <c r="M559" s="36">
        <f>SUMIFS(Tabla_Pagos[IMPORTE ABONADO],Tabla_Pagos[FECHA DE ABONO],"&gt;0",Tabla_Pagos[NRO DOC],B559)</f>
        <v>238000</v>
      </c>
      <c r="N559" s="36">
        <f t="shared" si="49"/>
        <v>0</v>
      </c>
      <c r="O559" s="22" cm="1">
        <f t="array" ref="O559">MAX(IF((Tabla_Pagos[NRO DOC]=B559)*(Tabla_Pagos[IMPORTE ABONADO]&gt;0),Tabla_Pagos[FECHA DE ABONO]))</f>
        <v>45910</v>
      </c>
    </row>
    <row r="560" spans="2:15" ht="21" customHeight="1" x14ac:dyDescent="0.25">
      <c r="B560" s="39">
        <v>1468</v>
      </c>
      <c r="C560" s="20">
        <v>45910</v>
      </c>
      <c r="D560" s="40" t="s">
        <v>470</v>
      </c>
      <c r="E560" s="37" t="str">
        <f>IFERROR(VLOOKUP(D560,CLIENTES!$B$12:$G$2602,2,FALSE),"")</f>
        <v>INVERSIONES SAFUMAR LIMITADA</v>
      </c>
      <c r="F560" s="31">
        <v>316540</v>
      </c>
      <c r="G560" s="41" t="s">
        <v>101</v>
      </c>
      <c r="H560" s="26">
        <v>30</v>
      </c>
      <c r="I560" s="21" t="str">
        <f t="shared" si="45"/>
        <v>Crédito</v>
      </c>
      <c r="J560" s="22">
        <f t="shared" si="46"/>
        <v>45940</v>
      </c>
      <c r="K560" s="27">
        <f t="shared" ca="1" si="47"/>
        <v>0</v>
      </c>
      <c r="L560" s="23" t="str">
        <f t="shared" si="48"/>
        <v>Pagado</v>
      </c>
      <c r="M560" s="36">
        <f>SUMIFS(Tabla_Pagos[IMPORTE ABONADO],Tabla_Pagos[FECHA DE ABONO],"&gt;0",Tabla_Pagos[NRO DOC],B560)</f>
        <v>316540</v>
      </c>
      <c r="N560" s="36">
        <f t="shared" si="49"/>
        <v>0</v>
      </c>
      <c r="O560" s="22" cm="1">
        <f t="array" ref="O560">MAX(IF((Tabla_Pagos[NRO DOC]=B560)*(Tabla_Pagos[IMPORTE ABONADO]&gt;0),Tabla_Pagos[FECHA DE ABONO]))</f>
        <v>45915</v>
      </c>
    </row>
    <row r="561" spans="2:15" ht="21" customHeight="1" x14ac:dyDescent="0.25">
      <c r="B561" s="39">
        <v>1469</v>
      </c>
      <c r="C561" s="20">
        <v>45910</v>
      </c>
      <c r="D561" s="40" t="s">
        <v>240</v>
      </c>
      <c r="E561" s="37" t="str">
        <f>IFERROR(VLOOKUP(D561,CLIENTES!$B$12:$G$2602,2,FALSE),"")</f>
        <v>SOCIEDAD DE INVERSIONES SAN ALONSO SPA</v>
      </c>
      <c r="F561" s="31">
        <v>595000</v>
      </c>
      <c r="G561" s="41" t="s">
        <v>101</v>
      </c>
      <c r="H561" s="26">
        <v>0</v>
      </c>
      <c r="I561" s="21" t="str">
        <f t="shared" si="45"/>
        <v>Contado</v>
      </c>
      <c r="J561" s="22">
        <f t="shared" si="46"/>
        <v>45910</v>
      </c>
      <c r="K561" s="27">
        <f t="shared" ca="1" si="47"/>
        <v>0</v>
      </c>
      <c r="L561" s="23" t="str">
        <f t="shared" si="48"/>
        <v>Pagado</v>
      </c>
      <c r="M561" s="36">
        <f>SUMIFS(Tabla_Pagos[IMPORTE ABONADO],Tabla_Pagos[FECHA DE ABONO],"&gt;0",Tabla_Pagos[NRO DOC],B561)</f>
        <v>595000</v>
      </c>
      <c r="N561" s="36">
        <f t="shared" si="49"/>
        <v>0</v>
      </c>
      <c r="O561" s="22" cm="1">
        <f t="array" ref="O561">MAX(IF((Tabla_Pagos[NRO DOC]=B561)*(Tabla_Pagos[IMPORTE ABONADO]&gt;0),Tabla_Pagos[FECHA DE ABONO]))</f>
        <v>45910</v>
      </c>
    </row>
    <row r="562" spans="2:15" ht="21" customHeight="1" x14ac:dyDescent="0.25">
      <c r="B562" s="39">
        <v>1470</v>
      </c>
      <c r="C562" s="20">
        <v>45910</v>
      </c>
      <c r="D562" s="40" t="s">
        <v>170</v>
      </c>
      <c r="E562" s="37" t="str">
        <f>IFERROR(VLOOKUP(D562,CLIENTES!$B$12:$G$2602,2,FALSE),"")</f>
        <v>RAMON ANGEL RIQUELME OLIVARES</v>
      </c>
      <c r="F562" s="31">
        <v>142800</v>
      </c>
      <c r="G562" s="41" t="s">
        <v>101</v>
      </c>
      <c r="H562" s="26">
        <v>0</v>
      </c>
      <c r="I562" s="21" t="str">
        <f t="shared" si="45"/>
        <v>Contado</v>
      </c>
      <c r="J562" s="22">
        <f t="shared" si="46"/>
        <v>45910</v>
      </c>
      <c r="K562" s="27">
        <f t="shared" ca="1" si="47"/>
        <v>0</v>
      </c>
      <c r="L562" s="23" t="str">
        <f t="shared" si="48"/>
        <v>Pagado</v>
      </c>
      <c r="M562" s="36">
        <f>SUMIFS(Tabla_Pagos[IMPORTE ABONADO],Tabla_Pagos[FECHA DE ABONO],"&gt;0",Tabla_Pagos[NRO DOC],B562)</f>
        <v>142800</v>
      </c>
      <c r="N562" s="36">
        <f t="shared" si="49"/>
        <v>0</v>
      </c>
      <c r="O562" s="22" cm="1">
        <f t="array" ref="O562">MAX(IF((Tabla_Pagos[NRO DOC]=B562)*(Tabla_Pagos[IMPORTE ABONADO]&gt;0),Tabla_Pagos[FECHA DE ABONO]))</f>
        <v>45910</v>
      </c>
    </row>
    <row r="563" spans="2:15" ht="21" customHeight="1" x14ac:dyDescent="0.25">
      <c r="B563" s="39">
        <v>1471</v>
      </c>
      <c r="C563" s="20">
        <v>45910</v>
      </c>
      <c r="D563" s="40" t="s">
        <v>471</v>
      </c>
      <c r="E563" s="37" t="str">
        <f>IFERROR(VLOOKUP(D563,CLIENTES!$B$12:$G$2602,2,FALSE),"")</f>
        <v>MARIO HERNAN CASTILLO FUENTES</v>
      </c>
      <c r="F563" s="31">
        <v>192780</v>
      </c>
      <c r="G563" s="41" t="s">
        <v>101</v>
      </c>
      <c r="H563" s="26">
        <v>0</v>
      </c>
      <c r="I563" s="21" t="str">
        <f t="shared" si="45"/>
        <v>Contado</v>
      </c>
      <c r="J563" s="22">
        <f t="shared" si="46"/>
        <v>45910</v>
      </c>
      <c r="K563" s="27">
        <f t="shared" ca="1" si="47"/>
        <v>0</v>
      </c>
      <c r="L563" s="23" t="str">
        <f t="shared" si="48"/>
        <v>Pagado</v>
      </c>
      <c r="M563" s="36">
        <f>SUMIFS(Tabla_Pagos[IMPORTE ABONADO],Tabla_Pagos[FECHA DE ABONO],"&gt;0",Tabla_Pagos[NRO DOC],B563)</f>
        <v>192780</v>
      </c>
      <c r="N563" s="36">
        <f t="shared" si="49"/>
        <v>0</v>
      </c>
      <c r="O563" s="22" cm="1">
        <f t="array" ref="O563">MAX(IF((Tabla_Pagos[NRO DOC]=B563)*(Tabla_Pagos[IMPORTE ABONADO]&gt;0),Tabla_Pagos[FECHA DE ABONO]))</f>
        <v>45910</v>
      </c>
    </row>
    <row r="564" spans="2:15" ht="21" customHeight="1" x14ac:dyDescent="0.25">
      <c r="B564" s="39">
        <v>1472</v>
      </c>
      <c r="C564" s="20">
        <v>45910</v>
      </c>
      <c r="D564" s="40" t="s">
        <v>241</v>
      </c>
      <c r="E564" s="37" t="str">
        <f>IFERROR(VLOOKUP(D564,CLIENTES!$B$12:$G$2602,2,FALSE),"")</f>
        <v>GALEB  GALEB EVENTOS LIMITADA</v>
      </c>
      <c r="F564" s="31">
        <v>150000</v>
      </c>
      <c r="G564" s="41" t="s">
        <v>101</v>
      </c>
      <c r="H564" s="26">
        <v>0</v>
      </c>
      <c r="I564" s="21" t="str">
        <f t="shared" si="45"/>
        <v>Contado</v>
      </c>
      <c r="J564" s="22">
        <f t="shared" si="46"/>
        <v>45910</v>
      </c>
      <c r="K564" s="27">
        <f t="shared" ca="1" si="47"/>
        <v>0</v>
      </c>
      <c r="L564" s="23" t="str">
        <f t="shared" si="48"/>
        <v>Pagado</v>
      </c>
      <c r="M564" s="36">
        <f>SUMIFS(Tabla_Pagos[IMPORTE ABONADO],Tabla_Pagos[FECHA DE ABONO],"&gt;0",Tabla_Pagos[NRO DOC],B564)</f>
        <v>150000</v>
      </c>
      <c r="N564" s="36">
        <f t="shared" si="49"/>
        <v>0</v>
      </c>
      <c r="O564" s="22" cm="1">
        <f t="array" ref="O564">MAX(IF((Tabla_Pagos[NRO DOC]=B564)*(Tabla_Pagos[IMPORTE ABONADO]&gt;0),Tabla_Pagos[FECHA DE ABONO]))</f>
        <v>45910</v>
      </c>
    </row>
    <row r="565" spans="2:15" ht="21" customHeight="1" x14ac:dyDescent="0.25">
      <c r="B565" s="39">
        <v>1473</v>
      </c>
      <c r="C565" s="20">
        <v>45910</v>
      </c>
      <c r="D565" s="40" t="s">
        <v>472</v>
      </c>
      <c r="E565" s="37" t="str">
        <f>IFERROR(VLOOKUP(D565,CLIENTES!$B$12:$G$2602,2,FALSE),"")</f>
        <v>UNIVERSIDAD DE ATACAMA</v>
      </c>
      <c r="F565" s="31">
        <v>58310</v>
      </c>
      <c r="G565" s="41" t="s">
        <v>394</v>
      </c>
      <c r="H565" s="26">
        <v>0</v>
      </c>
      <c r="I565" s="21" t="str">
        <f t="shared" si="45"/>
        <v>Contado</v>
      </c>
      <c r="J565" s="22">
        <f t="shared" si="46"/>
        <v>45910</v>
      </c>
      <c r="K565" s="27">
        <f t="shared" ca="1" si="47"/>
        <v>0</v>
      </c>
      <c r="L565" s="23" t="str">
        <f t="shared" si="48"/>
        <v>Pagado</v>
      </c>
      <c r="M565" s="36">
        <f>SUMIFS(Tabla_Pagos[IMPORTE ABONADO],Tabla_Pagos[FECHA DE ABONO],"&gt;0",Tabla_Pagos[NRO DOC],B565)</f>
        <v>58310</v>
      </c>
      <c r="N565" s="36">
        <f t="shared" si="49"/>
        <v>0</v>
      </c>
      <c r="O565" s="22" cm="1">
        <f t="array" ref="O565">MAX(IF((Tabla_Pagos[NRO DOC]=B565)*(Tabla_Pagos[IMPORTE ABONADO]&gt;0),Tabla_Pagos[FECHA DE ABONO]))</f>
        <v>45910</v>
      </c>
    </row>
    <row r="566" spans="2:15" ht="21" customHeight="1" x14ac:dyDescent="0.25">
      <c r="B566" s="39">
        <v>1474</v>
      </c>
      <c r="C566" s="20">
        <v>45910</v>
      </c>
      <c r="D566" s="40" t="s">
        <v>472</v>
      </c>
      <c r="E566" s="37" t="str">
        <f>IFERROR(VLOOKUP(D566,CLIENTES!$B$12:$G$2602,2,FALSE),"")</f>
        <v>UNIVERSIDAD DE ATACAMA</v>
      </c>
      <c r="F566" s="31">
        <v>58312</v>
      </c>
      <c r="G566" s="41" t="s">
        <v>394</v>
      </c>
      <c r="H566" s="26">
        <v>0</v>
      </c>
      <c r="I566" s="21" t="str">
        <f t="shared" si="45"/>
        <v>Contado</v>
      </c>
      <c r="J566" s="22">
        <f t="shared" si="46"/>
        <v>45910</v>
      </c>
      <c r="K566" s="27">
        <f t="shared" ca="1" si="47"/>
        <v>0</v>
      </c>
      <c r="L566" s="23" t="str">
        <f t="shared" si="48"/>
        <v>Pagado</v>
      </c>
      <c r="M566" s="36">
        <f>SUMIFS(Tabla_Pagos[IMPORTE ABONADO],Tabla_Pagos[FECHA DE ABONO],"&gt;0",Tabla_Pagos[NRO DOC],B566)</f>
        <v>58312</v>
      </c>
      <c r="N566" s="36">
        <f t="shared" si="49"/>
        <v>0</v>
      </c>
      <c r="O566" s="22" cm="1">
        <f t="array" ref="O566">MAX(IF((Tabla_Pagos[NRO DOC]=B566)*(Tabla_Pagos[IMPORTE ABONADO]&gt;0),Tabla_Pagos[FECHA DE ABONO]))</f>
        <v>45910</v>
      </c>
    </row>
    <row r="567" spans="2:15" ht="21" customHeight="1" x14ac:dyDescent="0.25">
      <c r="B567" s="39">
        <v>1475</v>
      </c>
      <c r="C567" s="20">
        <v>45911</v>
      </c>
      <c r="D567" s="40" t="s">
        <v>473</v>
      </c>
      <c r="E567" s="37" t="str">
        <f>IFERROR(VLOOKUP(D567,CLIENTES!$B$12:$G$2602,2,FALSE),"")</f>
        <v>MAQUINARIAS Y TRANSPORTES BULL SPA.</v>
      </c>
      <c r="F567" s="31">
        <v>36890</v>
      </c>
      <c r="G567" s="41" t="s">
        <v>101</v>
      </c>
      <c r="H567" s="26">
        <v>0</v>
      </c>
      <c r="I567" s="21" t="str">
        <f t="shared" si="45"/>
        <v>Contado</v>
      </c>
      <c r="J567" s="22">
        <f t="shared" si="46"/>
        <v>45911</v>
      </c>
      <c r="K567" s="27">
        <f t="shared" ca="1" si="47"/>
        <v>0</v>
      </c>
      <c r="L567" s="23" t="str">
        <f t="shared" si="48"/>
        <v>Pagado</v>
      </c>
      <c r="M567" s="36">
        <f>SUMIFS(Tabla_Pagos[IMPORTE ABONADO],Tabla_Pagos[FECHA DE ABONO],"&gt;0",Tabla_Pagos[NRO DOC],B567)</f>
        <v>36890</v>
      </c>
      <c r="N567" s="36">
        <f t="shared" si="49"/>
        <v>0</v>
      </c>
      <c r="O567" s="22" cm="1">
        <f t="array" ref="O567">MAX(IF((Tabla_Pagos[NRO DOC]=B567)*(Tabla_Pagos[IMPORTE ABONADO]&gt;0),Tabla_Pagos[FECHA DE ABONO]))</f>
        <v>45911</v>
      </c>
    </row>
    <row r="568" spans="2:15" ht="21" customHeight="1" x14ac:dyDescent="0.25">
      <c r="B568" s="39">
        <v>1476</v>
      </c>
      <c r="C568" s="20">
        <v>45911</v>
      </c>
      <c r="D568" s="40" t="s">
        <v>468</v>
      </c>
      <c r="E568" s="37" t="str">
        <f>IFERROR(VLOOKUP(D568,CLIENTES!$B$12:$G$2602,2,FALSE),"")</f>
        <v>ELIAS RESK CONTRERAS TRANSPORTES Y SERVICIOS LIMITADA</v>
      </c>
      <c r="F568" s="31">
        <v>29750</v>
      </c>
      <c r="G568" s="41" t="s">
        <v>101</v>
      </c>
      <c r="H568" s="26">
        <v>0</v>
      </c>
      <c r="I568" s="21" t="str">
        <f t="shared" si="45"/>
        <v>Contado</v>
      </c>
      <c r="J568" s="22">
        <f t="shared" si="46"/>
        <v>45911</v>
      </c>
      <c r="K568" s="27">
        <f t="shared" ca="1" si="47"/>
        <v>0</v>
      </c>
      <c r="L568" s="23" t="str">
        <f t="shared" si="48"/>
        <v>Pagado</v>
      </c>
      <c r="M568" s="36">
        <f>SUMIFS(Tabla_Pagos[IMPORTE ABONADO],Tabla_Pagos[FECHA DE ABONO],"&gt;0",Tabla_Pagos[NRO DOC],B568)</f>
        <v>29750</v>
      </c>
      <c r="N568" s="36">
        <f t="shared" si="49"/>
        <v>0</v>
      </c>
      <c r="O568" s="22" cm="1">
        <f t="array" ref="O568">MAX(IF((Tabla_Pagos[NRO DOC]=B568)*(Tabla_Pagos[IMPORTE ABONADO]&gt;0),Tabla_Pagos[FECHA DE ABONO]))</f>
        <v>45911</v>
      </c>
    </row>
    <row r="569" spans="2:15" ht="21" customHeight="1" x14ac:dyDescent="0.25">
      <c r="B569" s="39">
        <v>1477</v>
      </c>
      <c r="C569" s="20">
        <v>45912</v>
      </c>
      <c r="D569" s="40" t="s">
        <v>241</v>
      </c>
      <c r="E569" s="37" t="str">
        <f>IFERROR(VLOOKUP(D569,CLIENTES!$B$12:$G$2602,2,FALSE),"")</f>
        <v>GALEB  GALEB EVENTOS LIMITADA</v>
      </c>
      <c r="F569" s="31">
        <v>210000</v>
      </c>
      <c r="G569" s="41" t="s">
        <v>101</v>
      </c>
      <c r="H569" s="26">
        <v>0</v>
      </c>
      <c r="I569" s="21" t="str">
        <f t="shared" si="45"/>
        <v>Contado</v>
      </c>
      <c r="J569" s="22">
        <f t="shared" si="46"/>
        <v>45912</v>
      </c>
      <c r="K569" s="27">
        <f t="shared" ca="1" si="47"/>
        <v>0</v>
      </c>
      <c r="L569" s="23" t="str">
        <f t="shared" si="48"/>
        <v>Pagado</v>
      </c>
      <c r="M569" s="36">
        <f>SUMIFS(Tabla_Pagos[IMPORTE ABONADO],Tabla_Pagos[FECHA DE ABONO],"&gt;0",Tabla_Pagos[NRO DOC],B569)</f>
        <v>210000</v>
      </c>
      <c r="N569" s="36">
        <f t="shared" si="49"/>
        <v>0</v>
      </c>
      <c r="O569" s="22" cm="1">
        <f t="array" ref="O569">MAX(IF((Tabla_Pagos[NRO DOC]=B569)*(Tabla_Pagos[IMPORTE ABONADO]&gt;0),Tabla_Pagos[FECHA DE ABONO]))</f>
        <v>45912</v>
      </c>
    </row>
    <row r="570" spans="2:15" ht="21" customHeight="1" x14ac:dyDescent="0.25">
      <c r="B570" s="39">
        <v>1478</v>
      </c>
      <c r="C570" s="20">
        <v>45912</v>
      </c>
      <c r="D570" s="40" t="s">
        <v>198</v>
      </c>
      <c r="E570" s="37" t="str">
        <f>IFERROR(VLOOKUP(D570,CLIENTES!$B$12:$G$2602,2,FALSE),"")</f>
        <v>INVERSIONES RÃO BIO BIO SPA</v>
      </c>
      <c r="F570" s="31">
        <v>190400</v>
      </c>
      <c r="G570" s="41" t="s">
        <v>101</v>
      </c>
      <c r="H570" s="26">
        <v>0</v>
      </c>
      <c r="I570" s="21" t="str">
        <f>IF(H570="","",IF(H570=0,"Contado","Crédito"))</f>
        <v>Contado</v>
      </c>
      <c r="J570" s="22">
        <f>IF(I570="","",C570+H570)</f>
        <v>45912</v>
      </c>
      <c r="K570" s="27">
        <f ca="1">IFERROR(IF(B570="","",IF(N570=0,0,J570-TODAY())),"")</f>
        <v>0</v>
      </c>
      <c r="L570" s="23" t="str">
        <f>IF(I570="","",IF(N570=0,"Pagado",IF(K570&lt;0,"Vencido","No vencido")))</f>
        <v>Pagado</v>
      </c>
      <c r="M570" s="36">
        <f>SUMIFS(Tabla_Pagos[IMPORTE ABONADO],Tabla_Pagos[FECHA DE ABONO],"&gt;0",Tabla_Pagos[NRO DOC],B570)</f>
        <v>190400</v>
      </c>
      <c r="N570" s="36">
        <f>F570-M570</f>
        <v>0</v>
      </c>
      <c r="O570" s="22" cm="1">
        <f t="array" ref="O570">MAX(IF((Tabla_Pagos[NRO DOC]=B570)*(Tabla_Pagos[IMPORTE ABONADO]&gt;0),Tabla_Pagos[FECHA DE ABONO]))</f>
        <v>45912</v>
      </c>
    </row>
    <row r="571" spans="2:15" ht="21" customHeight="1" x14ac:dyDescent="0.25">
      <c r="B571" s="39">
        <v>1479</v>
      </c>
      <c r="C571" s="20">
        <v>45915</v>
      </c>
      <c r="D571" s="40" t="s">
        <v>482</v>
      </c>
      <c r="E571" s="37" t="str">
        <f>IFERROR(VLOOKUP(D571,CLIENTES!$B$12:$G$2602,2,FALSE),"")</f>
        <v>PULLMAN CARGO S A</v>
      </c>
      <c r="F571" s="31">
        <v>23800</v>
      </c>
      <c r="G571" s="41" t="s">
        <v>101</v>
      </c>
      <c r="H571" s="26">
        <v>0</v>
      </c>
      <c r="I571" s="21" t="str">
        <f t="shared" ref="I571:I579" si="50">IF(H571="","",IF(H571=0,"Contado","Crédito"))</f>
        <v>Contado</v>
      </c>
      <c r="J571" s="22">
        <f t="shared" ref="J571:J579" si="51">IF(I571="","",C571+H571)</f>
        <v>45915</v>
      </c>
      <c r="K571" s="27">
        <f t="shared" ref="K571:K579" ca="1" si="52">IFERROR(IF(B571="","",IF(N571=0,0,J571-TODAY())),"")</f>
        <v>0</v>
      </c>
      <c r="L571" s="23" t="str">
        <f t="shared" ref="L571:L579" si="53">IF(I571="","",IF(N571=0,"Pagado",IF(K571&lt;0,"Vencido","No vencido")))</f>
        <v>Pagado</v>
      </c>
      <c r="M571" s="36">
        <f>SUMIFS(Tabla_Pagos[IMPORTE ABONADO],Tabla_Pagos[FECHA DE ABONO],"&gt;0",Tabla_Pagos[NRO DOC],B571)</f>
        <v>23800</v>
      </c>
      <c r="N571" s="36">
        <f t="shared" ref="N571:N579" si="54">F571-M571</f>
        <v>0</v>
      </c>
      <c r="O571" s="22" cm="1">
        <f t="array" ref="O571">MAX(IF((Tabla_Pagos[NRO DOC]=B571)*(Tabla_Pagos[IMPORTE ABONADO]&gt;0),Tabla_Pagos[FECHA DE ABONO]))</f>
        <v>45915</v>
      </c>
    </row>
    <row r="572" spans="2:15" ht="21" customHeight="1" x14ac:dyDescent="0.25">
      <c r="B572" s="39">
        <v>1480</v>
      </c>
      <c r="C572" s="20">
        <v>45915</v>
      </c>
      <c r="D572" s="40" t="s">
        <v>240</v>
      </c>
      <c r="E572" s="37" t="str">
        <f>IFERROR(VLOOKUP(D572,CLIENTES!$B$12:$G$2602,2,FALSE),"")</f>
        <v>SOCIEDAD DE INVERSIONES SAN ALONSO SPA</v>
      </c>
      <c r="F572" s="31">
        <v>714000</v>
      </c>
      <c r="G572" s="41" t="s">
        <v>101</v>
      </c>
      <c r="H572" s="26">
        <v>0</v>
      </c>
      <c r="I572" s="21" t="str">
        <f t="shared" si="50"/>
        <v>Contado</v>
      </c>
      <c r="J572" s="22">
        <f t="shared" si="51"/>
        <v>45915</v>
      </c>
      <c r="K572" s="27">
        <f t="shared" ca="1" si="52"/>
        <v>0</v>
      </c>
      <c r="L572" s="23" t="str">
        <f t="shared" si="53"/>
        <v>Pagado</v>
      </c>
      <c r="M572" s="36">
        <f>SUMIFS(Tabla_Pagos[IMPORTE ABONADO],Tabla_Pagos[FECHA DE ABONO],"&gt;0",Tabla_Pagos[NRO DOC],B572)</f>
        <v>714000</v>
      </c>
      <c r="N572" s="36">
        <f t="shared" si="54"/>
        <v>0</v>
      </c>
      <c r="O572" s="22" cm="1">
        <f t="array" ref="O572">MAX(IF((Tabla_Pagos[NRO DOC]=B572)*(Tabla_Pagos[IMPORTE ABONADO]&gt;0),Tabla_Pagos[FECHA DE ABONO]))</f>
        <v>45915</v>
      </c>
    </row>
    <row r="573" spans="2:15" ht="21" customHeight="1" x14ac:dyDescent="0.25">
      <c r="B573" s="39">
        <v>1481</v>
      </c>
      <c r="C573" s="20">
        <v>45916</v>
      </c>
      <c r="D573" s="40" t="s">
        <v>483</v>
      </c>
      <c r="E573" s="37" t="str">
        <f>IFERROR(VLOOKUP(D573,CLIENTES!$B$12:$G$2602,2,FALSE),"")</f>
        <v>SERVICIOS INTEGRALES GENERALES SPA</v>
      </c>
      <c r="F573" s="31">
        <v>821100</v>
      </c>
      <c r="G573" s="41" t="s">
        <v>101</v>
      </c>
      <c r="H573" s="26">
        <v>0</v>
      </c>
      <c r="I573" s="21" t="str">
        <f t="shared" si="50"/>
        <v>Contado</v>
      </c>
      <c r="J573" s="22">
        <f t="shared" si="51"/>
        <v>45916</v>
      </c>
      <c r="K573" s="27">
        <f t="shared" ca="1" si="52"/>
        <v>0</v>
      </c>
      <c r="L573" s="23" t="str">
        <f t="shared" si="53"/>
        <v>Pagado</v>
      </c>
      <c r="M573" s="36">
        <f>SUMIFS(Tabla_Pagos[IMPORTE ABONADO],Tabla_Pagos[FECHA DE ABONO],"&gt;0",Tabla_Pagos[NRO DOC],B573)</f>
        <v>821100</v>
      </c>
      <c r="N573" s="36">
        <f t="shared" si="54"/>
        <v>0</v>
      </c>
      <c r="O573" s="22" cm="1">
        <f t="array" ref="O573">MAX(IF((Tabla_Pagos[NRO DOC]=B573)*(Tabla_Pagos[IMPORTE ABONADO]&gt;0),Tabla_Pagos[FECHA DE ABONO]))</f>
        <v>45916</v>
      </c>
    </row>
    <row r="574" spans="2:15" ht="21" customHeight="1" x14ac:dyDescent="0.25">
      <c r="B574" s="39">
        <v>1482</v>
      </c>
      <c r="C574" s="20">
        <v>45916</v>
      </c>
      <c r="D574" s="40" t="s">
        <v>53</v>
      </c>
      <c r="E574" s="37" t="str">
        <f>IFERROR(VLOOKUP(D574,CLIENTES!$B$12:$G$2602,2,FALSE),"")</f>
        <v>SODIMAC S.A.</v>
      </c>
      <c r="F574" s="31">
        <v>470526</v>
      </c>
      <c r="G574" s="41" t="s">
        <v>394</v>
      </c>
      <c r="H574" s="26">
        <v>30</v>
      </c>
      <c r="I574" s="21" t="str">
        <f t="shared" si="50"/>
        <v>Crédito</v>
      </c>
      <c r="J574" s="22">
        <f t="shared" si="51"/>
        <v>45946</v>
      </c>
      <c r="K574" s="27">
        <f t="shared" ca="1" si="52"/>
        <v>0</v>
      </c>
      <c r="L574" s="23" t="str">
        <f t="shared" si="53"/>
        <v>Pagado</v>
      </c>
      <c r="M574" s="36">
        <f>SUMIFS(Tabla_Pagos[IMPORTE ABONADO],Tabla_Pagos[FECHA DE ABONO],"&gt;0",Tabla_Pagos[NRO DOC],B574)</f>
        <v>470526</v>
      </c>
      <c r="N574" s="36">
        <f t="shared" si="54"/>
        <v>0</v>
      </c>
      <c r="O574" s="22" cm="1">
        <f t="array" ref="O574">MAX(IF((Tabla_Pagos[NRO DOC]=B574)*(Tabla_Pagos[IMPORTE ABONADO]&gt;0),Tabla_Pagos[FECHA DE ABONO]))</f>
        <v>45945</v>
      </c>
    </row>
    <row r="575" spans="2:15" ht="21" customHeight="1" x14ac:dyDescent="0.25">
      <c r="B575" s="39">
        <v>1483</v>
      </c>
      <c r="C575" s="20">
        <v>45917</v>
      </c>
      <c r="D575" s="40" t="s">
        <v>484</v>
      </c>
      <c r="E575" s="37" t="str">
        <f>IFERROR(VLOOKUP(D575,CLIENTES!$B$12:$G$2602,2,FALSE),"")</f>
        <v>TECNOLOGIA Y EQUIPOS METCAM SPA</v>
      </c>
      <c r="F575" s="31">
        <v>14280</v>
      </c>
      <c r="G575" s="41" t="s">
        <v>101</v>
      </c>
      <c r="H575" s="26">
        <v>0</v>
      </c>
      <c r="I575" s="21" t="str">
        <f t="shared" si="50"/>
        <v>Contado</v>
      </c>
      <c r="J575" s="22">
        <f t="shared" si="51"/>
        <v>45917</v>
      </c>
      <c r="K575" s="27">
        <f t="shared" ca="1" si="52"/>
        <v>0</v>
      </c>
      <c r="L575" s="23" t="str">
        <f t="shared" si="53"/>
        <v>Pagado</v>
      </c>
      <c r="M575" s="36">
        <f>SUMIFS(Tabla_Pagos[IMPORTE ABONADO],Tabla_Pagos[FECHA DE ABONO],"&gt;0",Tabla_Pagos[NRO DOC],B575)</f>
        <v>14280</v>
      </c>
      <c r="N575" s="36">
        <f t="shared" si="54"/>
        <v>0</v>
      </c>
      <c r="O575" s="22" cm="1">
        <f t="array" ref="O575">MAX(IF((Tabla_Pagos[NRO DOC]=B575)*(Tabla_Pagos[IMPORTE ABONADO]&gt;0),Tabla_Pagos[FECHA DE ABONO]))</f>
        <v>45917</v>
      </c>
    </row>
    <row r="576" spans="2:15" ht="21" customHeight="1" x14ac:dyDescent="0.25">
      <c r="B576" s="39">
        <v>1484</v>
      </c>
      <c r="C576" s="20">
        <v>45917</v>
      </c>
      <c r="D576" s="40" t="s">
        <v>484</v>
      </c>
      <c r="E576" s="37" t="str">
        <f>IFERROR(VLOOKUP(D576,CLIENTES!$B$12:$G$2602,2,FALSE),"")</f>
        <v>TECNOLOGIA Y EQUIPOS METCAM SPA</v>
      </c>
      <c r="F576" s="31">
        <v>20230</v>
      </c>
      <c r="G576" s="41" t="s">
        <v>101</v>
      </c>
      <c r="H576" s="26">
        <v>0</v>
      </c>
      <c r="I576" s="21" t="str">
        <f t="shared" si="50"/>
        <v>Contado</v>
      </c>
      <c r="J576" s="22">
        <f t="shared" si="51"/>
        <v>45917</v>
      </c>
      <c r="K576" s="27">
        <f t="shared" ca="1" si="52"/>
        <v>0</v>
      </c>
      <c r="L576" s="23" t="str">
        <f t="shared" si="53"/>
        <v>Pagado</v>
      </c>
      <c r="M576" s="36">
        <f>SUMIFS(Tabla_Pagos[IMPORTE ABONADO],Tabla_Pagos[FECHA DE ABONO],"&gt;0",Tabla_Pagos[NRO DOC],B576)</f>
        <v>20230</v>
      </c>
      <c r="N576" s="36">
        <f t="shared" si="54"/>
        <v>0</v>
      </c>
      <c r="O576" s="22" cm="1">
        <f t="array" ref="O576">MAX(IF((Tabla_Pagos[NRO DOC]=B576)*(Tabla_Pagos[IMPORTE ABONADO]&gt;0),Tabla_Pagos[FECHA DE ABONO]))</f>
        <v>45917</v>
      </c>
    </row>
    <row r="577" spans="2:15" ht="21" customHeight="1" x14ac:dyDescent="0.25">
      <c r="B577" s="39">
        <v>1485</v>
      </c>
      <c r="C577" s="20">
        <v>45917</v>
      </c>
      <c r="D577" s="40" t="s">
        <v>395</v>
      </c>
      <c r="E577" s="37" t="str">
        <f>IFERROR(VLOOKUP(D577,CLIENTES!$B$12:$G$2602,2,FALSE),"")</f>
        <v>SOLUCIONES GLOBALES CARLOS HERBERTO MOSCOSO</v>
      </c>
      <c r="F577" s="31">
        <v>130900</v>
      </c>
      <c r="G577" s="41" t="s">
        <v>101</v>
      </c>
      <c r="H577" s="26">
        <v>30</v>
      </c>
      <c r="I577" s="21" t="str">
        <f t="shared" si="50"/>
        <v>Crédito</v>
      </c>
      <c r="J577" s="22">
        <f t="shared" si="51"/>
        <v>45947</v>
      </c>
      <c r="K577" s="27">
        <f t="shared" ca="1" si="52"/>
        <v>0</v>
      </c>
      <c r="L577" s="23" t="str">
        <f t="shared" si="53"/>
        <v>Pagado</v>
      </c>
      <c r="M577" s="36">
        <f>SUMIFS(Tabla_Pagos[IMPORTE ABONADO],Tabla_Pagos[FECHA DE ABONO],"&gt;0",Tabla_Pagos[NRO DOC],B577)</f>
        <v>130900</v>
      </c>
      <c r="N577" s="36">
        <f t="shared" si="54"/>
        <v>0</v>
      </c>
      <c r="O577" s="22" cm="1">
        <f t="array" ref="O577">MAX(IF((Tabla_Pagos[NRO DOC]=B577)*(Tabla_Pagos[IMPORTE ABONADO]&gt;0),Tabla_Pagos[FECHA DE ABONO]))</f>
        <v>45927</v>
      </c>
    </row>
    <row r="578" spans="2:15" ht="21" customHeight="1" x14ac:dyDescent="0.25">
      <c r="B578" s="39">
        <v>1486</v>
      </c>
      <c r="C578" s="20">
        <v>45922</v>
      </c>
      <c r="D578" s="40" t="s">
        <v>446</v>
      </c>
      <c r="E578" s="37" t="str">
        <f>IFERROR(VLOOKUP(D578,CLIENTES!$B$12:$G$2602,2,FALSE),"")</f>
        <v>VITAPRO LIMPIEZA SPA</v>
      </c>
      <c r="F578" s="31">
        <v>21420</v>
      </c>
      <c r="G578" s="41" t="s">
        <v>101</v>
      </c>
      <c r="H578" s="26">
        <v>0</v>
      </c>
      <c r="I578" s="21" t="str">
        <f t="shared" si="50"/>
        <v>Contado</v>
      </c>
      <c r="J578" s="22">
        <f t="shared" si="51"/>
        <v>45922</v>
      </c>
      <c r="K578" s="27">
        <f t="shared" ca="1" si="52"/>
        <v>0</v>
      </c>
      <c r="L578" s="23" t="str">
        <f t="shared" si="53"/>
        <v>Pagado</v>
      </c>
      <c r="M578" s="36">
        <f>SUMIFS(Tabla_Pagos[IMPORTE ABONADO],Tabla_Pagos[FECHA DE ABONO],"&gt;0",Tabla_Pagos[NRO DOC],B578)</f>
        <v>21420</v>
      </c>
      <c r="N578" s="36">
        <f t="shared" si="54"/>
        <v>0</v>
      </c>
      <c r="O578" s="22" cm="1">
        <f t="array" ref="O578">MAX(IF((Tabla_Pagos[NRO DOC]=B578)*(Tabla_Pagos[IMPORTE ABONADO]&gt;0),Tabla_Pagos[FECHA DE ABONO]))</f>
        <v>45922</v>
      </c>
    </row>
    <row r="579" spans="2:15" ht="21" customHeight="1" x14ac:dyDescent="0.25">
      <c r="B579" s="39">
        <v>1487</v>
      </c>
      <c r="C579" s="20">
        <v>45922</v>
      </c>
      <c r="D579" s="40" t="s">
        <v>485</v>
      </c>
      <c r="E579" s="37" t="str">
        <f>IFERROR(VLOOKUP(D579,CLIENTES!$B$12:$G$2602,2,FALSE),"")</f>
        <v>SAN RAFAEL INGENIERIA Y  SERVICIOS LIMITADA</v>
      </c>
      <c r="F579" s="31">
        <v>238000</v>
      </c>
      <c r="G579" s="41" t="s">
        <v>101</v>
      </c>
      <c r="H579" s="26">
        <v>30</v>
      </c>
      <c r="I579" s="21" t="str">
        <f t="shared" si="50"/>
        <v>Crédito</v>
      </c>
      <c r="J579" s="22">
        <f t="shared" si="51"/>
        <v>45952</v>
      </c>
      <c r="K579" s="27">
        <f t="shared" ca="1" si="52"/>
        <v>0</v>
      </c>
      <c r="L579" s="23" t="str">
        <f t="shared" si="53"/>
        <v>Pagado</v>
      </c>
      <c r="M579" s="36">
        <f>SUMIFS(Tabla_Pagos[IMPORTE ABONADO],Tabla_Pagos[FECHA DE ABONO],"&gt;0",Tabla_Pagos[NRO DOC],B579)</f>
        <v>238000</v>
      </c>
      <c r="N579" s="36">
        <f t="shared" si="54"/>
        <v>0</v>
      </c>
      <c r="O579" s="22" cm="1">
        <f t="array" ref="O579">MAX(IF((Tabla_Pagos[NRO DOC]=B579)*(Tabla_Pagos[IMPORTE ABONADO]&gt;0),Tabla_Pagos[FECHA DE ABONO]))</f>
        <v>45917</v>
      </c>
    </row>
    <row r="580" spans="2:15" ht="21" customHeight="1" x14ac:dyDescent="0.25">
      <c r="B580" s="39">
        <v>1488</v>
      </c>
      <c r="C580" s="20">
        <v>45922</v>
      </c>
      <c r="D580" s="40" t="s">
        <v>168</v>
      </c>
      <c r="E580" s="37" t="str">
        <f>IFERROR(VLOOKUP(D580,CLIENTES!$B$12:$G$2602,2,FALSE),"")</f>
        <v>CENTRO DE RECICLAJE DEL NORTE LIMITADA</v>
      </c>
      <c r="F580" s="31">
        <v>59500</v>
      </c>
      <c r="G580" s="41" t="s">
        <v>101</v>
      </c>
      <c r="H580" s="26">
        <v>30</v>
      </c>
      <c r="I580" s="21" t="str">
        <f>IF(H580="","",IF(H580=0,"Contado","Crédito"))</f>
        <v>Crédito</v>
      </c>
      <c r="J580" s="22">
        <f>IF(I580="","",C580+H580)</f>
        <v>45952</v>
      </c>
      <c r="K580" s="27">
        <f ca="1">IFERROR(IF(B580="","",IF(N580=0,0,J580-TODAY())),"")</f>
        <v>0</v>
      </c>
      <c r="L580" s="23" t="str">
        <f>IF(I580="","",IF(N580=0,"Pagado",IF(K580&lt;0,"Vencido","No vencido")))</f>
        <v>Pagado</v>
      </c>
      <c r="M580" s="36">
        <f>SUMIFS(Tabla_Pagos[IMPORTE ABONADO],Tabla_Pagos[FECHA DE ABONO],"&gt;0",Tabla_Pagos[NRO DOC],B580)</f>
        <v>59500</v>
      </c>
      <c r="N580" s="36">
        <f>F580-M580</f>
        <v>0</v>
      </c>
      <c r="O580" s="22" cm="1">
        <f t="array" ref="O580">MAX(IF((Tabla_Pagos[NRO DOC]=B580)*(Tabla_Pagos[IMPORTE ABONADO]&gt;0),Tabla_Pagos[FECHA DE ABONO]))</f>
        <v>46014</v>
      </c>
    </row>
    <row r="581" spans="2:15" ht="21" customHeight="1" x14ac:dyDescent="0.25">
      <c r="B581" s="39">
        <v>1490</v>
      </c>
      <c r="C581" s="20">
        <v>45923</v>
      </c>
      <c r="D581" s="40" t="s">
        <v>106</v>
      </c>
      <c r="E581" s="37" t="str">
        <f>IFERROR(VLOOKUP(D581,CLIENTES!$B$12:$G$2602,2,FALSE),"")</f>
        <v>COMERCIAL SERPAN SPA</v>
      </c>
      <c r="F581" s="31">
        <v>11900</v>
      </c>
      <c r="G581" s="41" t="s">
        <v>101</v>
      </c>
      <c r="H581" s="26">
        <v>30</v>
      </c>
      <c r="I581" s="21" t="str">
        <f>IF(H581="","",IF(H581=0,"Contado","Crédito"))</f>
        <v>Crédito</v>
      </c>
      <c r="J581" s="22">
        <f>IF(I581="","",C581+H581)</f>
        <v>45953</v>
      </c>
      <c r="K581" s="27">
        <f ca="1">IFERROR(IF(B581="","",IF(N581=0,0,J581-TODAY())),"")</f>
        <v>0</v>
      </c>
      <c r="L581" s="23" t="str">
        <f>IF(I581="","",IF(N581=0,"Pagado",IF(K581&lt;0,"Vencido","No vencido")))</f>
        <v>Pagado</v>
      </c>
      <c r="M581" s="36">
        <f>SUMIFS(Tabla_Pagos[IMPORTE ABONADO],Tabla_Pagos[FECHA DE ABONO],"&gt;0",Tabla_Pagos[NRO DOC],B581)</f>
        <v>11900</v>
      </c>
      <c r="N581" s="36">
        <f>F581-M581</f>
        <v>0</v>
      </c>
      <c r="O581" s="22" cm="1">
        <f t="array" ref="O581">MAX(IF((Tabla_Pagos[NRO DOC]=B581)*(Tabla_Pagos[IMPORTE ABONADO]&gt;0),Tabla_Pagos[FECHA DE ABONO]))</f>
        <v>45960</v>
      </c>
    </row>
    <row r="582" spans="2:15" ht="21" customHeight="1" x14ac:dyDescent="0.25">
      <c r="B582" s="39">
        <v>1491</v>
      </c>
      <c r="C582" s="20">
        <v>45923</v>
      </c>
      <c r="D582" s="40" t="s">
        <v>44</v>
      </c>
      <c r="E582" s="37" t="str">
        <f>IFERROR(VLOOKUP(D582,CLIENTES!$B$12:$G$2602,2,FALSE),"")</f>
        <v>SKC RED SPA</v>
      </c>
      <c r="F582" s="31">
        <v>17850</v>
      </c>
      <c r="G582" s="41" t="s">
        <v>101</v>
      </c>
      <c r="H582" s="26">
        <v>30</v>
      </c>
      <c r="I582" s="21" t="str">
        <f t="shared" ref="I582:I592" si="55">IF(H582="","",IF(H582=0,"Contado","Crédito"))</f>
        <v>Crédito</v>
      </c>
      <c r="J582" s="22">
        <f t="shared" ref="J582:J592" si="56">IF(I582="","",C582+H582)</f>
        <v>45953</v>
      </c>
      <c r="K582" s="27">
        <f t="shared" ref="K582:K592" ca="1" si="57">IFERROR(IF(B582="","",IF(N582=0,0,J582-TODAY())),"")</f>
        <v>0</v>
      </c>
      <c r="L582" s="23" t="str">
        <f t="shared" ref="L582:L592" si="58">IF(I582="","",IF(N582=0,"Pagado",IF(K582&lt;0,"Vencido","No vencido")))</f>
        <v>Pagado</v>
      </c>
      <c r="M582" s="36">
        <f>SUMIFS(Tabla_Pagos[IMPORTE ABONADO],Tabla_Pagos[FECHA DE ABONO],"&gt;0",Tabla_Pagos[NRO DOC],B582)</f>
        <v>17850</v>
      </c>
      <c r="N582" s="36">
        <f t="shared" ref="N582:N592" si="59">F582-M582</f>
        <v>0</v>
      </c>
      <c r="O582" s="22" cm="1">
        <f t="array" ref="O582">MAX(IF((Tabla_Pagos[NRO DOC]=B582)*(Tabla_Pagos[IMPORTE ABONADO]&gt;0),Tabla_Pagos[FECHA DE ABONO]))</f>
        <v>45954</v>
      </c>
    </row>
    <row r="583" spans="2:15" ht="21" customHeight="1" x14ac:dyDescent="0.25">
      <c r="B583" s="39">
        <v>1492</v>
      </c>
      <c r="C583" s="20">
        <v>45923</v>
      </c>
      <c r="D583" s="40" t="s">
        <v>44</v>
      </c>
      <c r="E583" s="37" t="str">
        <f>IFERROR(VLOOKUP(D583,CLIENTES!$B$12:$G$2602,2,FALSE),"")</f>
        <v>SKC RED SPA</v>
      </c>
      <c r="F583" s="31">
        <v>77350</v>
      </c>
      <c r="G583" s="41" t="s">
        <v>101</v>
      </c>
      <c r="H583" s="26">
        <v>30</v>
      </c>
      <c r="I583" s="21" t="str">
        <f t="shared" si="55"/>
        <v>Crédito</v>
      </c>
      <c r="J583" s="22">
        <f t="shared" si="56"/>
        <v>45953</v>
      </c>
      <c r="K583" s="27">
        <f t="shared" ca="1" si="57"/>
        <v>0</v>
      </c>
      <c r="L583" s="23" t="str">
        <f t="shared" si="58"/>
        <v>Pagado</v>
      </c>
      <c r="M583" s="36">
        <f>SUMIFS(Tabla_Pagos[IMPORTE ABONADO],Tabla_Pagos[FECHA DE ABONO],"&gt;0",Tabla_Pagos[NRO DOC],B583)</f>
        <v>77350</v>
      </c>
      <c r="N583" s="36">
        <f t="shared" si="59"/>
        <v>0</v>
      </c>
      <c r="O583" s="22" cm="1">
        <f t="array" ref="O583">MAX(IF((Tabla_Pagos[NRO DOC]=B583)*(Tabla_Pagos[IMPORTE ABONADO]&gt;0),Tabla_Pagos[FECHA DE ABONO]))</f>
        <v>45954</v>
      </c>
    </row>
    <row r="584" spans="2:15" ht="21" customHeight="1" x14ac:dyDescent="0.25">
      <c r="B584" s="39">
        <v>1493</v>
      </c>
      <c r="C584" s="20">
        <v>45923</v>
      </c>
      <c r="D584" s="40" t="s">
        <v>44</v>
      </c>
      <c r="E584" s="37" t="str">
        <f>IFERROR(VLOOKUP(D584,CLIENTES!$B$12:$G$2602,2,FALSE),"")</f>
        <v>SKC RED SPA</v>
      </c>
      <c r="F584" s="31">
        <v>220150</v>
      </c>
      <c r="G584" s="41" t="s">
        <v>101</v>
      </c>
      <c r="H584" s="26">
        <v>30</v>
      </c>
      <c r="I584" s="21" t="str">
        <f t="shared" si="55"/>
        <v>Crédito</v>
      </c>
      <c r="J584" s="22">
        <f t="shared" si="56"/>
        <v>45953</v>
      </c>
      <c r="K584" s="27">
        <f t="shared" ca="1" si="57"/>
        <v>0</v>
      </c>
      <c r="L584" s="23" t="str">
        <f t="shared" si="58"/>
        <v>Pagado</v>
      </c>
      <c r="M584" s="36">
        <f>SUMIFS(Tabla_Pagos[IMPORTE ABONADO],Tabla_Pagos[FECHA DE ABONO],"&gt;0",Tabla_Pagos[NRO DOC],B584)</f>
        <v>220150</v>
      </c>
      <c r="N584" s="36">
        <f t="shared" si="59"/>
        <v>0</v>
      </c>
      <c r="O584" s="22" cm="1">
        <f t="array" ref="O584">MAX(IF((Tabla_Pagos[NRO DOC]=B584)*(Tabla_Pagos[IMPORTE ABONADO]&gt;0),Tabla_Pagos[FECHA DE ABONO]))</f>
        <v>45954</v>
      </c>
    </row>
    <row r="585" spans="2:15" ht="21" customHeight="1" x14ac:dyDescent="0.25">
      <c r="B585" s="39">
        <v>1494</v>
      </c>
      <c r="C585" s="20">
        <v>45924</v>
      </c>
      <c r="D585" s="40" t="s">
        <v>460</v>
      </c>
      <c r="E585" s="37" t="str">
        <f>IFERROR(VLOOKUP(D585,CLIENTES!$B$12:$G$2602,2,FALSE),"")</f>
        <v>INGENIERIA GACITUA SPA</v>
      </c>
      <c r="F585" s="31">
        <v>11900</v>
      </c>
      <c r="G585" s="41" t="s">
        <v>101</v>
      </c>
      <c r="H585" s="26">
        <v>0</v>
      </c>
      <c r="I585" s="21" t="str">
        <f t="shared" si="55"/>
        <v>Contado</v>
      </c>
      <c r="J585" s="22">
        <f t="shared" si="56"/>
        <v>45924</v>
      </c>
      <c r="K585" s="27">
        <f t="shared" ca="1" si="57"/>
        <v>0</v>
      </c>
      <c r="L585" s="23" t="str">
        <f t="shared" si="58"/>
        <v>Pagado</v>
      </c>
      <c r="M585" s="36">
        <f>SUMIFS(Tabla_Pagos[IMPORTE ABONADO],Tabla_Pagos[FECHA DE ABONO],"&gt;0",Tabla_Pagos[NRO DOC],B585)</f>
        <v>11900</v>
      </c>
      <c r="N585" s="36">
        <f t="shared" si="59"/>
        <v>0</v>
      </c>
      <c r="O585" s="22" cm="1">
        <f t="array" ref="O585">MAX(IF((Tabla_Pagos[NRO DOC]=B585)*(Tabla_Pagos[IMPORTE ABONADO]&gt;0),Tabla_Pagos[FECHA DE ABONO]))</f>
        <v>45924</v>
      </c>
    </row>
    <row r="586" spans="2:15" ht="21" customHeight="1" x14ac:dyDescent="0.25">
      <c r="B586" s="39">
        <v>1495</v>
      </c>
      <c r="C586" s="20">
        <v>45924</v>
      </c>
      <c r="D586" s="40" t="s">
        <v>490</v>
      </c>
      <c r="E586" s="37" t="str">
        <f>IFERROR(VLOOKUP(D586,CLIENTES!$B$12:$G$2602,2,FALSE),"")</f>
        <v>S.C.I. DIGNA SPA</v>
      </c>
      <c r="F586" s="31">
        <v>17850</v>
      </c>
      <c r="G586" s="41" t="s">
        <v>101</v>
      </c>
      <c r="H586" s="26">
        <v>0</v>
      </c>
      <c r="I586" s="21" t="str">
        <f t="shared" si="55"/>
        <v>Contado</v>
      </c>
      <c r="J586" s="22">
        <f t="shared" si="56"/>
        <v>45924</v>
      </c>
      <c r="K586" s="27">
        <f t="shared" ca="1" si="57"/>
        <v>0</v>
      </c>
      <c r="L586" s="23" t="str">
        <f t="shared" si="58"/>
        <v>Pagado</v>
      </c>
      <c r="M586" s="36">
        <f>SUMIFS(Tabla_Pagos[IMPORTE ABONADO],Tabla_Pagos[FECHA DE ABONO],"&gt;0",Tabla_Pagos[NRO DOC],B586)</f>
        <v>17850</v>
      </c>
      <c r="N586" s="36">
        <f t="shared" si="59"/>
        <v>0</v>
      </c>
      <c r="O586" s="22" cm="1">
        <f t="array" ref="O586">MAX(IF((Tabla_Pagos[NRO DOC]=B586)*(Tabla_Pagos[IMPORTE ABONADO]&gt;0),Tabla_Pagos[FECHA DE ABONO]))</f>
        <v>45924</v>
      </c>
    </row>
    <row r="587" spans="2:15" ht="21" customHeight="1" x14ac:dyDescent="0.25">
      <c r="B587" s="39">
        <v>1496</v>
      </c>
      <c r="C587" s="20">
        <v>45925</v>
      </c>
      <c r="D587" s="40" t="s">
        <v>54</v>
      </c>
      <c r="E587" s="37" t="str">
        <f>IFERROR(VLOOKUP(D587,CLIENTES!$B$12:$G$2602,2,FALSE),"")</f>
        <v>AUCAN LOGISTIC SPA</v>
      </c>
      <c r="F587" s="31">
        <v>335580</v>
      </c>
      <c r="G587" s="41" t="s">
        <v>101</v>
      </c>
      <c r="H587" s="26">
        <v>0</v>
      </c>
      <c r="I587" s="21" t="str">
        <f t="shared" si="55"/>
        <v>Contado</v>
      </c>
      <c r="J587" s="22">
        <f t="shared" si="56"/>
        <v>45925</v>
      </c>
      <c r="K587" s="27">
        <f t="shared" ca="1" si="57"/>
        <v>0</v>
      </c>
      <c r="L587" s="23" t="str">
        <f t="shared" si="58"/>
        <v>Pagado</v>
      </c>
      <c r="M587" s="36">
        <f>SUMIFS(Tabla_Pagos[IMPORTE ABONADO],Tabla_Pagos[FECHA DE ABONO],"&gt;0",Tabla_Pagos[NRO DOC],B587)</f>
        <v>335580</v>
      </c>
      <c r="N587" s="36">
        <f t="shared" si="59"/>
        <v>0</v>
      </c>
      <c r="O587" s="22" cm="1">
        <f t="array" ref="O587">MAX(IF((Tabla_Pagos[NRO DOC]=B587)*(Tabla_Pagos[IMPORTE ABONADO]&gt;0),Tabla_Pagos[FECHA DE ABONO]))</f>
        <v>45925</v>
      </c>
    </row>
    <row r="588" spans="2:15" ht="21" customHeight="1" x14ac:dyDescent="0.25">
      <c r="B588" s="39">
        <v>1497</v>
      </c>
      <c r="C588" s="20">
        <v>45926</v>
      </c>
      <c r="D588" s="40" t="s">
        <v>319</v>
      </c>
      <c r="E588" s="37" t="str">
        <f>IFERROR(VLOOKUP(D588,CLIENTES!$B$12:$G$2602,2,FALSE),"")</f>
        <v>COMERCIAL BOREAL SPA</v>
      </c>
      <c r="F588" s="31">
        <v>23800</v>
      </c>
      <c r="G588" s="41" t="s">
        <v>101</v>
      </c>
      <c r="H588" s="26">
        <v>0</v>
      </c>
      <c r="I588" s="21" t="str">
        <f t="shared" si="55"/>
        <v>Contado</v>
      </c>
      <c r="J588" s="22">
        <f t="shared" si="56"/>
        <v>45926</v>
      </c>
      <c r="K588" s="27">
        <f t="shared" ca="1" si="57"/>
        <v>0</v>
      </c>
      <c r="L588" s="23" t="str">
        <f t="shared" si="58"/>
        <v>Pagado</v>
      </c>
      <c r="M588" s="36">
        <f>SUMIFS(Tabla_Pagos[IMPORTE ABONADO],Tabla_Pagos[FECHA DE ABONO],"&gt;0",Tabla_Pagos[NRO DOC],B588)</f>
        <v>23800</v>
      </c>
      <c r="N588" s="36">
        <f t="shared" si="59"/>
        <v>0</v>
      </c>
      <c r="O588" s="22" cm="1">
        <f t="array" ref="O588">MAX(IF((Tabla_Pagos[NRO DOC]=B588)*(Tabla_Pagos[IMPORTE ABONADO]&gt;0),Tabla_Pagos[FECHA DE ABONO]))</f>
        <v>45926</v>
      </c>
    </row>
    <row r="589" spans="2:15" ht="21" customHeight="1" x14ac:dyDescent="0.25">
      <c r="B589" s="39">
        <v>1498</v>
      </c>
      <c r="C589" s="20">
        <v>45926</v>
      </c>
      <c r="D589" s="40" t="s">
        <v>491</v>
      </c>
      <c r="E589" s="37" t="str">
        <f>IFERROR(VLOOKUP(D589,CLIENTES!$B$12:$G$2602,2,FALSE),"")</f>
        <v>NAVARRO Y AVALOS SPA</v>
      </c>
      <c r="F589" s="31">
        <v>464100</v>
      </c>
      <c r="G589" s="41" t="s">
        <v>101</v>
      </c>
      <c r="H589" s="26">
        <v>0</v>
      </c>
      <c r="I589" s="21" t="str">
        <f t="shared" si="55"/>
        <v>Contado</v>
      </c>
      <c r="J589" s="22">
        <f t="shared" si="56"/>
        <v>45926</v>
      </c>
      <c r="K589" s="27">
        <f t="shared" ca="1" si="57"/>
        <v>0</v>
      </c>
      <c r="L589" s="23" t="str">
        <f t="shared" si="58"/>
        <v>Pagado</v>
      </c>
      <c r="M589" s="36">
        <f>SUMIFS(Tabla_Pagos[IMPORTE ABONADO],Tabla_Pagos[FECHA DE ABONO],"&gt;0",Tabla_Pagos[NRO DOC],B589)</f>
        <v>464100</v>
      </c>
      <c r="N589" s="36">
        <f t="shared" si="59"/>
        <v>0</v>
      </c>
      <c r="O589" s="22" cm="1">
        <f t="array" ref="O589">MAX(IF((Tabla_Pagos[NRO DOC]=B589)*(Tabla_Pagos[IMPORTE ABONADO]&gt;0),Tabla_Pagos[FECHA DE ABONO]))</f>
        <v>45926</v>
      </c>
    </row>
    <row r="590" spans="2:15" ht="21" customHeight="1" x14ac:dyDescent="0.25">
      <c r="B590" s="39">
        <v>1499</v>
      </c>
      <c r="C590" s="20">
        <v>45927</v>
      </c>
      <c r="D590" s="40" t="s">
        <v>492</v>
      </c>
      <c r="E590" s="37" t="str">
        <f>IFERROR(VLOOKUP(D590,CLIENTES!$B$12:$G$2602,2,FALSE),"")</f>
        <v>FREDY ELISEO ONATE REYES</v>
      </c>
      <c r="F590" s="31">
        <v>42840</v>
      </c>
      <c r="G590" s="41" t="s">
        <v>101</v>
      </c>
      <c r="H590" s="26">
        <v>0</v>
      </c>
      <c r="I590" s="21" t="str">
        <f t="shared" si="55"/>
        <v>Contado</v>
      </c>
      <c r="J590" s="22">
        <f t="shared" si="56"/>
        <v>45927</v>
      </c>
      <c r="K590" s="27">
        <f t="shared" ca="1" si="57"/>
        <v>0</v>
      </c>
      <c r="L590" s="23" t="str">
        <f t="shared" si="58"/>
        <v>Pagado</v>
      </c>
      <c r="M590" s="36">
        <f>SUMIFS(Tabla_Pagos[IMPORTE ABONADO],Tabla_Pagos[FECHA DE ABONO],"&gt;0",Tabla_Pagos[NRO DOC],B590)</f>
        <v>42840</v>
      </c>
      <c r="N590" s="36">
        <f t="shared" si="59"/>
        <v>0</v>
      </c>
      <c r="O590" s="22" cm="1">
        <f t="array" ref="O590">MAX(IF((Tabla_Pagos[NRO DOC]=B590)*(Tabla_Pagos[IMPORTE ABONADO]&gt;0),Tabla_Pagos[FECHA DE ABONO]))</f>
        <v>45927</v>
      </c>
    </row>
    <row r="591" spans="2:15" ht="21" customHeight="1" x14ac:dyDescent="0.25">
      <c r="B591" s="39">
        <v>1500</v>
      </c>
      <c r="C591" s="20">
        <v>45929</v>
      </c>
      <c r="D591" s="40" t="s">
        <v>325</v>
      </c>
      <c r="E591" s="37" t="str">
        <f>IFERROR(VLOOKUP(D591,CLIENTES!$B$12:$G$2602,2,FALSE),"")</f>
        <v>INVERSIONES VIALUM SPA</v>
      </c>
      <c r="F591" s="31">
        <v>20000</v>
      </c>
      <c r="G591" s="41" t="s">
        <v>101</v>
      </c>
      <c r="H591" s="26">
        <v>0</v>
      </c>
      <c r="I591" s="21" t="str">
        <f t="shared" si="55"/>
        <v>Contado</v>
      </c>
      <c r="J591" s="22">
        <f t="shared" si="56"/>
        <v>45929</v>
      </c>
      <c r="K591" s="27">
        <f t="shared" ca="1" si="57"/>
        <v>0</v>
      </c>
      <c r="L591" s="23" t="str">
        <f t="shared" si="58"/>
        <v>Pagado</v>
      </c>
      <c r="M591" s="36">
        <f>SUMIFS(Tabla_Pagos[IMPORTE ABONADO],Tabla_Pagos[FECHA DE ABONO],"&gt;0",Tabla_Pagos[NRO DOC],B591)</f>
        <v>20000</v>
      </c>
      <c r="N591" s="36">
        <f t="shared" si="59"/>
        <v>0</v>
      </c>
      <c r="O591" s="22" cm="1">
        <f t="array" ref="O591">MAX(IF((Tabla_Pagos[NRO DOC]=B591)*(Tabla_Pagos[IMPORTE ABONADO]&gt;0),Tabla_Pagos[FECHA DE ABONO]))</f>
        <v>45929</v>
      </c>
    </row>
    <row r="592" spans="2:15" ht="21" customHeight="1" x14ac:dyDescent="0.25">
      <c r="B592" s="39">
        <v>1501</v>
      </c>
      <c r="C592" s="20">
        <v>45929</v>
      </c>
      <c r="D592" s="40" t="s">
        <v>493</v>
      </c>
      <c r="E592" s="37" t="str">
        <f>IFERROR(VLOOKUP(D592,CLIENTES!$B$12:$G$2602,2,FALSE),"")</f>
        <v>AGRUPACION CULTURAL SOCIAL QUINZEL</v>
      </c>
      <c r="F592" s="31">
        <v>190000</v>
      </c>
      <c r="G592" s="41" t="s">
        <v>101</v>
      </c>
      <c r="H592" s="26">
        <v>0</v>
      </c>
      <c r="I592" s="21" t="str">
        <f t="shared" si="55"/>
        <v>Contado</v>
      </c>
      <c r="J592" s="22">
        <f t="shared" si="56"/>
        <v>45929</v>
      </c>
      <c r="K592" s="27">
        <f t="shared" ca="1" si="57"/>
        <v>0</v>
      </c>
      <c r="L592" s="23" t="str">
        <f t="shared" si="58"/>
        <v>Pagado</v>
      </c>
      <c r="M592" s="36">
        <f>SUMIFS(Tabla_Pagos[IMPORTE ABONADO],Tabla_Pagos[FECHA DE ABONO],"&gt;0",Tabla_Pagos[NRO DOC],B592)</f>
        <v>190000</v>
      </c>
      <c r="N592" s="36">
        <f t="shared" si="59"/>
        <v>0</v>
      </c>
      <c r="O592" s="22" cm="1">
        <f t="array" ref="O592">MAX(IF((Tabla_Pagos[NRO DOC]=B592)*(Tabla_Pagos[IMPORTE ABONADO]&gt;0),Tabla_Pagos[FECHA DE ABONO]))</f>
        <v>45929</v>
      </c>
    </row>
    <row r="593" spans="2:15" ht="21" customHeight="1" x14ac:dyDescent="0.25">
      <c r="B593" s="39">
        <v>1502</v>
      </c>
      <c r="C593" s="20">
        <v>45929</v>
      </c>
      <c r="D593" s="40" t="s">
        <v>32</v>
      </c>
      <c r="E593" s="37" t="str">
        <f>IFERROR(VLOOKUP(D593,CLIENTES!$B$12:$G$2602,2,FALSE),"")</f>
        <v>AUTOMOTRIZ NICOLAS LTDA.</v>
      </c>
      <c r="F593" s="31">
        <v>30000</v>
      </c>
      <c r="G593" s="41" t="s">
        <v>101</v>
      </c>
      <c r="H593" s="26">
        <v>0</v>
      </c>
      <c r="I593" s="21" t="str">
        <f>IF(H593="","",IF(H593=0,"Contado","Crédito"))</f>
        <v>Contado</v>
      </c>
      <c r="J593" s="22">
        <f>IF(I593="","",C593+H593)</f>
        <v>45929</v>
      </c>
      <c r="K593" s="27">
        <f ca="1">IFERROR(IF(B593="","",IF(N593=0,0,J593-TODAY())),"")</f>
        <v>0</v>
      </c>
      <c r="L593" s="23" t="str">
        <f>IF(I593="","",IF(N593=0,"Pagado",IF(K593&lt;0,"Vencido","No vencido")))</f>
        <v>Pagado</v>
      </c>
      <c r="M593" s="36">
        <f>SUMIFS(Tabla_Pagos[IMPORTE ABONADO],Tabla_Pagos[FECHA DE ABONO],"&gt;0",Tabla_Pagos[NRO DOC],B593)</f>
        <v>30000</v>
      </c>
      <c r="N593" s="36">
        <f>F593-M593</f>
        <v>0</v>
      </c>
      <c r="O593" s="22" cm="1">
        <f t="array" ref="O593">MAX(IF((Tabla_Pagos[NRO DOC]=B593)*(Tabla_Pagos[IMPORTE ABONADO]&gt;0),Tabla_Pagos[FECHA DE ABONO]))</f>
        <v>45929</v>
      </c>
    </row>
    <row r="594" spans="2:15" ht="21" customHeight="1" x14ac:dyDescent="0.25">
      <c r="B594" s="39">
        <v>1503</v>
      </c>
      <c r="C594" s="20">
        <v>45930</v>
      </c>
      <c r="D594" s="40" t="s">
        <v>460</v>
      </c>
      <c r="E594" s="37" t="str">
        <f>IFERROR(VLOOKUP(D594,CLIENTES!$B$12:$G$2602,2,FALSE),"")</f>
        <v>INGENIERIA GACITUA SPA</v>
      </c>
      <c r="F594" s="31">
        <v>35700</v>
      </c>
      <c r="G594" s="41" t="s">
        <v>101</v>
      </c>
      <c r="H594" s="26">
        <v>0</v>
      </c>
      <c r="I594" s="21" t="str">
        <f>IF(H594="","",IF(H594=0,"Contado","Crédito"))</f>
        <v>Contado</v>
      </c>
      <c r="J594" s="22">
        <f>IF(I594="","",C594+H594)</f>
        <v>45930</v>
      </c>
      <c r="K594" s="27">
        <f ca="1">IFERROR(IF(B594="","",IF(N594=0,0,J594-TODAY())),"")</f>
        <v>0</v>
      </c>
      <c r="L594" s="23" t="str">
        <f>IF(I594="","",IF(N594=0,"Pagado",IF(K594&lt;0,"Vencido","No vencido")))</f>
        <v>Pagado</v>
      </c>
      <c r="M594" s="36">
        <f>SUMIFS(Tabla_Pagos[IMPORTE ABONADO],Tabla_Pagos[FECHA DE ABONO],"&gt;0",Tabla_Pagos[NRO DOC],B594)</f>
        <v>35700</v>
      </c>
      <c r="N594" s="36">
        <f>F594-M594</f>
        <v>0</v>
      </c>
      <c r="O594" s="22" cm="1">
        <f t="array" ref="O594">MAX(IF((Tabla_Pagos[NRO DOC]=B594)*(Tabla_Pagos[IMPORTE ABONADO]&gt;0),Tabla_Pagos[FECHA DE ABONO]))</f>
        <v>45930</v>
      </c>
    </row>
    <row r="595" spans="2:15" ht="21" customHeight="1" x14ac:dyDescent="0.25">
      <c r="B595" s="39">
        <v>1504</v>
      </c>
      <c r="C595" s="20">
        <v>45930</v>
      </c>
      <c r="D595" s="40" t="s">
        <v>498</v>
      </c>
      <c r="E595" s="37" t="str">
        <f>IFERROR(VLOOKUP(D595,CLIENTES!$B$12:$G$2602,2,FALSE),"")</f>
        <v>MATILDE DEL CARMEN ZAMBRA LOPEZ</v>
      </c>
      <c r="F595" s="31">
        <v>124950</v>
      </c>
      <c r="G595" s="41" t="s">
        <v>101</v>
      </c>
      <c r="H595" s="26">
        <v>0</v>
      </c>
      <c r="I595" s="21" t="str">
        <f>IF(H595="","",IF(H595=0,"Contado","Crédito"))</f>
        <v>Contado</v>
      </c>
      <c r="J595" s="22">
        <f>IF(I595="","",C595+H595)</f>
        <v>45930</v>
      </c>
      <c r="K595" s="27">
        <f ca="1">IFERROR(IF(B595="","",IF(N595=0,0,J595-TODAY())),"")</f>
        <v>0</v>
      </c>
      <c r="L595" s="23" t="str">
        <f>IF(I595="","",IF(N595=0,"Pagado",IF(K595&lt;0,"Vencido","No vencido")))</f>
        <v>Pagado</v>
      </c>
      <c r="M595" s="36">
        <f>SUMIFS(Tabla_Pagos[IMPORTE ABONADO],Tabla_Pagos[FECHA DE ABONO],"&gt;0",Tabla_Pagos[NRO DOC],B595)</f>
        <v>124950</v>
      </c>
      <c r="N595" s="36">
        <f>F595-M595</f>
        <v>0</v>
      </c>
      <c r="O595" s="22" cm="1">
        <f t="array" ref="O595">MAX(IF((Tabla_Pagos[NRO DOC]=B595)*(Tabla_Pagos[IMPORTE ABONADO]&gt;0),Tabla_Pagos[FECHA DE ABONO]))</f>
        <v>45930</v>
      </c>
    </row>
    <row r="596" spans="2:15" ht="21" customHeight="1" x14ac:dyDescent="0.25">
      <c r="B596" s="39">
        <v>1505</v>
      </c>
      <c r="C596" s="20">
        <v>45931</v>
      </c>
      <c r="D596" s="40" t="s">
        <v>500</v>
      </c>
      <c r="E596" s="37" t="str">
        <f>IFERROR(VLOOKUP(D596,CLIENTES!$B$12:$G$2602,2,FALSE),"")</f>
        <v>LAVADO DE VEHÃCULOS RICHARDS MICHAEL VILLALOBOS ROJAS E.I.R.L.</v>
      </c>
      <c r="F596" s="31">
        <v>660450</v>
      </c>
      <c r="G596" s="41" t="s">
        <v>101</v>
      </c>
      <c r="H596" s="26">
        <v>0</v>
      </c>
      <c r="I596" s="21" t="str">
        <f>IF(H596="","",IF(H596=0,"Contado","Crédito"))</f>
        <v>Contado</v>
      </c>
      <c r="J596" s="22">
        <f>IF(I596="","",C596+H596)</f>
        <v>45931</v>
      </c>
      <c r="K596" s="27">
        <f ca="1">IFERROR(IF(B596="","",IF(N596=0,0,J596-TODAY())),"")</f>
        <v>0</v>
      </c>
      <c r="L596" s="23" t="str">
        <f>IF(I596="","",IF(N596=0,"Pagado",IF(K596&lt;0,"Vencido","No vencido")))</f>
        <v>Pagado</v>
      </c>
      <c r="M596" s="36">
        <f>SUMIFS(Tabla_Pagos[IMPORTE ABONADO],Tabla_Pagos[FECHA DE ABONO],"&gt;0",Tabla_Pagos[NRO DOC],B596)</f>
        <v>660450</v>
      </c>
      <c r="N596" s="36">
        <f>F596-M596</f>
        <v>0</v>
      </c>
      <c r="O596" s="22" cm="1">
        <f t="array" ref="O596">MAX(IF((Tabla_Pagos[NRO DOC]=B596)*(Tabla_Pagos[IMPORTE ABONADO]&gt;0),Tabla_Pagos[FECHA DE ABONO]))</f>
        <v>45931</v>
      </c>
    </row>
    <row r="597" spans="2:15" ht="21" customHeight="1" x14ac:dyDescent="0.25">
      <c r="B597" s="39">
        <v>1506</v>
      </c>
      <c r="C597" s="20">
        <v>45931</v>
      </c>
      <c r="D597" s="40" t="s">
        <v>53</v>
      </c>
      <c r="E597" s="37" t="str">
        <f>IFERROR(VLOOKUP(D597,CLIENTES!$B$12:$G$2602,2,FALSE),"")</f>
        <v>SODIMAC S.A.</v>
      </c>
      <c r="F597" s="31">
        <v>869414</v>
      </c>
      <c r="G597" s="41" t="s">
        <v>394</v>
      </c>
      <c r="H597" s="26">
        <v>30</v>
      </c>
      <c r="I597" s="21" t="str">
        <f t="shared" ref="I597:I612" si="60">IF(H597="","",IF(H597=0,"Contado","Crédito"))</f>
        <v>Crédito</v>
      </c>
      <c r="J597" s="22">
        <f t="shared" ref="J597:J612" si="61">IF(I597="","",C597+H597)</f>
        <v>45961</v>
      </c>
      <c r="K597" s="27">
        <f t="shared" ref="K597:K612" ca="1" si="62">IFERROR(IF(B597="","",IF(N597=0,0,J597-TODAY())),"")</f>
        <v>0</v>
      </c>
      <c r="L597" s="23" t="str">
        <f t="shared" ref="L597:L612" si="63">IF(I597="","",IF(N597=0,"Pagado",IF(K597&lt;0,"Vencido","No vencido")))</f>
        <v>Pagado</v>
      </c>
      <c r="M597" s="36">
        <f>SUMIFS(Tabla_Pagos[IMPORTE ABONADO],Tabla_Pagos[FECHA DE ABONO],"&gt;0",Tabla_Pagos[NRO DOC],B597)</f>
        <v>869414</v>
      </c>
      <c r="N597" s="36">
        <f t="shared" ref="N597:N612" si="64">F597-M597</f>
        <v>0</v>
      </c>
      <c r="O597" s="22" cm="1">
        <f t="array" ref="O597">MAX(IF((Tabla_Pagos[NRO DOC]=B597)*(Tabla_Pagos[IMPORTE ABONADO]&gt;0),Tabla_Pagos[FECHA DE ABONO]))</f>
        <v>45959</v>
      </c>
    </row>
    <row r="598" spans="2:15" ht="21" customHeight="1" x14ac:dyDescent="0.25">
      <c r="B598" s="39">
        <v>1507</v>
      </c>
      <c r="C598" s="20">
        <v>45931</v>
      </c>
      <c r="D598" s="40" t="s">
        <v>501</v>
      </c>
      <c r="E598" s="37" t="str">
        <f>IFERROR(VLOOKUP(D598,CLIENTES!$B$12:$G$2602,2,FALSE),"")</f>
        <v>RES ENERGY SERVICES SPA</v>
      </c>
      <c r="F598" s="31">
        <v>1359456</v>
      </c>
      <c r="G598" s="41" t="s">
        <v>101</v>
      </c>
      <c r="H598" s="26">
        <v>30</v>
      </c>
      <c r="I598" s="21" t="str">
        <f t="shared" si="60"/>
        <v>Crédito</v>
      </c>
      <c r="J598" s="22">
        <f t="shared" si="61"/>
        <v>45961</v>
      </c>
      <c r="K598" s="27">
        <f t="shared" ca="1" si="62"/>
        <v>0</v>
      </c>
      <c r="L598" s="23" t="str">
        <f t="shared" si="63"/>
        <v>Pagado</v>
      </c>
      <c r="M598" s="36">
        <f>SUMIFS(Tabla_Pagos[IMPORTE ABONADO],Tabla_Pagos[FECHA DE ABONO],"&gt;0",Tabla_Pagos[NRO DOC],B598)</f>
        <v>1359456</v>
      </c>
      <c r="N598" s="36">
        <f t="shared" si="64"/>
        <v>0</v>
      </c>
      <c r="O598" s="22" cm="1">
        <f t="array" ref="O598">MAX(IF((Tabla_Pagos[NRO DOC]=B598)*(Tabla_Pagos[IMPORTE ABONADO]&gt;0),Tabla_Pagos[FECHA DE ABONO]))</f>
        <v>45937</v>
      </c>
    </row>
    <row r="599" spans="2:15" ht="21" customHeight="1" x14ac:dyDescent="0.25">
      <c r="B599" s="39">
        <v>1508</v>
      </c>
      <c r="C599" s="20">
        <v>45931</v>
      </c>
      <c r="D599" s="40" t="s">
        <v>470</v>
      </c>
      <c r="E599" s="37" t="str">
        <f>IFERROR(VLOOKUP(D599,CLIENTES!$B$12:$G$2602,2,FALSE),"")</f>
        <v>INVERSIONES SAFUMAR LIMITADA</v>
      </c>
      <c r="F599" s="31">
        <v>130900</v>
      </c>
      <c r="G599" s="41" t="s">
        <v>101</v>
      </c>
      <c r="H599" s="26">
        <v>30</v>
      </c>
      <c r="I599" s="21" t="str">
        <f t="shared" si="60"/>
        <v>Crédito</v>
      </c>
      <c r="J599" s="22">
        <f t="shared" si="61"/>
        <v>45961</v>
      </c>
      <c r="K599" s="27">
        <f t="shared" ca="1" si="62"/>
        <v>0</v>
      </c>
      <c r="L599" s="23" t="str">
        <f t="shared" si="63"/>
        <v>Pagado</v>
      </c>
      <c r="M599" s="36">
        <f>SUMIFS(Tabla_Pagos[IMPORTE ABONADO],Tabla_Pagos[FECHA DE ABONO],"&gt;0",Tabla_Pagos[NRO DOC],B599)</f>
        <v>130900</v>
      </c>
      <c r="N599" s="36">
        <f t="shared" si="64"/>
        <v>0</v>
      </c>
      <c r="O599" s="22" cm="1">
        <f t="array" ref="O599">MAX(IF((Tabla_Pagos[NRO DOC]=B599)*(Tabla_Pagos[IMPORTE ABONADO]&gt;0),Tabla_Pagos[FECHA DE ABONO]))</f>
        <v>45937</v>
      </c>
    </row>
    <row r="600" spans="2:15" ht="21" customHeight="1" x14ac:dyDescent="0.25">
      <c r="B600" s="39">
        <v>1509</v>
      </c>
      <c r="C600" s="20">
        <v>45931</v>
      </c>
      <c r="D600" s="40" t="s">
        <v>438</v>
      </c>
      <c r="E600" s="37" t="str">
        <f>IFERROR(VLOOKUP(D600,CLIENTES!$B$12:$G$2602,2,FALSE),"")</f>
        <v>MENDOZA CAZ  SPA</v>
      </c>
      <c r="F600" s="31">
        <v>170527</v>
      </c>
      <c r="G600" s="41" t="s">
        <v>101</v>
      </c>
      <c r="H600" s="26">
        <v>0</v>
      </c>
      <c r="I600" s="21" t="str">
        <f t="shared" si="60"/>
        <v>Contado</v>
      </c>
      <c r="J600" s="22">
        <f t="shared" si="61"/>
        <v>45931</v>
      </c>
      <c r="K600" s="27">
        <f t="shared" ca="1" si="62"/>
        <v>0</v>
      </c>
      <c r="L600" s="23" t="str">
        <f t="shared" si="63"/>
        <v>Pagado</v>
      </c>
      <c r="M600" s="36">
        <f>SUMIFS(Tabla_Pagos[IMPORTE ABONADO],Tabla_Pagos[FECHA DE ABONO],"&gt;0",Tabla_Pagos[NRO DOC],B600)</f>
        <v>170527</v>
      </c>
      <c r="N600" s="36">
        <f t="shared" si="64"/>
        <v>0</v>
      </c>
      <c r="O600" s="22" cm="1">
        <f t="array" ref="O600">MAX(IF((Tabla_Pagos[NRO DOC]=B600)*(Tabla_Pagos[IMPORTE ABONADO]&gt;0),Tabla_Pagos[FECHA DE ABONO]))</f>
        <v>45931</v>
      </c>
    </row>
    <row r="601" spans="2:15" ht="21" customHeight="1" x14ac:dyDescent="0.25">
      <c r="B601" s="39">
        <v>1510</v>
      </c>
      <c r="C601" s="20">
        <v>45931</v>
      </c>
      <c r="D601" s="40" t="s">
        <v>171</v>
      </c>
      <c r="E601" s="37" t="str">
        <f>IFERROR(VLOOKUP(D601,CLIENTES!$B$12:$G$2602,2,FALSE),"")</f>
        <v>EDWIN HOLVOET Y COMPANIA LIMITADA</v>
      </c>
      <c r="F601" s="31">
        <v>2891700</v>
      </c>
      <c r="G601" s="41" t="s">
        <v>101</v>
      </c>
      <c r="H601" s="26">
        <v>30</v>
      </c>
      <c r="I601" s="21" t="str">
        <f t="shared" si="60"/>
        <v>Crédito</v>
      </c>
      <c r="J601" s="22">
        <f t="shared" si="61"/>
        <v>45961</v>
      </c>
      <c r="K601" s="27">
        <f t="shared" ca="1" si="62"/>
        <v>0</v>
      </c>
      <c r="L601" s="23" t="str">
        <f t="shared" si="63"/>
        <v>Pagado</v>
      </c>
      <c r="M601" s="36">
        <f>SUMIFS(Tabla_Pagos[IMPORTE ABONADO],Tabla_Pagos[FECHA DE ABONO],"&gt;0",Tabla_Pagos[NRO DOC],B601)</f>
        <v>2891700</v>
      </c>
      <c r="N601" s="36">
        <f t="shared" si="64"/>
        <v>0</v>
      </c>
      <c r="O601" s="22" cm="1">
        <f t="array" ref="O601">MAX(IF((Tabla_Pagos[NRO DOC]=B601)*(Tabla_Pagos[IMPORTE ABONADO]&gt;0),Tabla_Pagos[FECHA DE ABONO]))</f>
        <v>45973</v>
      </c>
    </row>
    <row r="602" spans="2:15" ht="21" customHeight="1" x14ac:dyDescent="0.25">
      <c r="B602" s="39">
        <v>1511</v>
      </c>
      <c r="C602" s="20">
        <v>45931</v>
      </c>
      <c r="D602" s="40" t="s">
        <v>171</v>
      </c>
      <c r="E602" s="37" t="str">
        <f>IFERROR(VLOOKUP(D602,CLIENTES!$B$12:$G$2602,2,FALSE),"")</f>
        <v>EDWIN HOLVOET Y COMPANIA LIMITADA</v>
      </c>
      <c r="F602" s="31">
        <v>107100</v>
      </c>
      <c r="G602" s="41" t="s">
        <v>101</v>
      </c>
      <c r="H602" s="26">
        <v>30</v>
      </c>
      <c r="I602" s="21" t="str">
        <f t="shared" si="60"/>
        <v>Crédito</v>
      </c>
      <c r="J602" s="22">
        <f t="shared" si="61"/>
        <v>45961</v>
      </c>
      <c r="K602" s="27">
        <f t="shared" ca="1" si="62"/>
        <v>0</v>
      </c>
      <c r="L602" s="23" t="str">
        <f t="shared" si="63"/>
        <v>Pagado</v>
      </c>
      <c r="M602" s="36">
        <f>SUMIFS(Tabla_Pagos[IMPORTE ABONADO],Tabla_Pagos[FECHA DE ABONO],"&gt;0",Tabla_Pagos[NRO DOC],B602)</f>
        <v>107100</v>
      </c>
      <c r="N602" s="36">
        <f t="shared" si="64"/>
        <v>0</v>
      </c>
      <c r="O602" s="22" cm="1">
        <f t="array" ref="O602">MAX(IF((Tabla_Pagos[NRO DOC]=B602)*(Tabla_Pagos[IMPORTE ABONADO]&gt;0),Tabla_Pagos[FECHA DE ABONO]))</f>
        <v>45931</v>
      </c>
    </row>
    <row r="603" spans="2:15" ht="21" customHeight="1" x14ac:dyDescent="0.25">
      <c r="B603" s="39">
        <v>1512</v>
      </c>
      <c r="C603" s="20">
        <v>45932</v>
      </c>
      <c r="D603" s="40" t="s">
        <v>502</v>
      </c>
      <c r="E603" s="37" t="str">
        <f>IFERROR(VLOOKUP(D603,CLIENTES!$B$12:$G$2602,2,FALSE),"")</f>
        <v>OXYTEK SPA</v>
      </c>
      <c r="F603" s="31">
        <v>20000</v>
      </c>
      <c r="G603" s="41" t="s">
        <v>101</v>
      </c>
      <c r="H603" s="26">
        <v>0</v>
      </c>
      <c r="I603" s="21" t="str">
        <f t="shared" si="60"/>
        <v>Contado</v>
      </c>
      <c r="J603" s="22">
        <f t="shared" si="61"/>
        <v>45932</v>
      </c>
      <c r="K603" s="27">
        <f t="shared" ca="1" si="62"/>
        <v>0</v>
      </c>
      <c r="L603" s="23" t="str">
        <f t="shared" si="63"/>
        <v>Pagado</v>
      </c>
      <c r="M603" s="36">
        <f>SUMIFS(Tabla_Pagos[IMPORTE ABONADO],Tabla_Pagos[FECHA DE ABONO],"&gt;0",Tabla_Pagos[NRO DOC],B603)</f>
        <v>20000</v>
      </c>
      <c r="N603" s="36">
        <f t="shared" si="64"/>
        <v>0</v>
      </c>
      <c r="O603" s="22" cm="1">
        <f t="array" ref="O603">MAX(IF((Tabla_Pagos[NRO DOC]=B603)*(Tabla_Pagos[IMPORTE ABONADO]&gt;0),Tabla_Pagos[FECHA DE ABONO]))</f>
        <v>45932</v>
      </c>
    </row>
    <row r="604" spans="2:15" ht="21" customHeight="1" x14ac:dyDescent="0.25">
      <c r="B604" s="39">
        <v>1513</v>
      </c>
      <c r="C604" s="20">
        <v>45932</v>
      </c>
      <c r="D604" s="40" t="s">
        <v>44</v>
      </c>
      <c r="E604" s="37" t="str">
        <f>IFERROR(VLOOKUP(D604,CLIENTES!$B$12:$G$2602,2,FALSE),"")</f>
        <v>SKC RED SPA</v>
      </c>
      <c r="F604" s="31">
        <v>476000</v>
      </c>
      <c r="G604" s="41" t="s">
        <v>101</v>
      </c>
      <c r="H604" s="26">
        <v>30</v>
      </c>
      <c r="I604" s="21" t="str">
        <f t="shared" si="60"/>
        <v>Crédito</v>
      </c>
      <c r="J604" s="22">
        <f t="shared" si="61"/>
        <v>45962</v>
      </c>
      <c r="K604" s="27">
        <f t="shared" ca="1" si="62"/>
        <v>0</v>
      </c>
      <c r="L604" s="23" t="str">
        <f t="shared" si="63"/>
        <v>Pagado</v>
      </c>
      <c r="M604" s="36">
        <f>SUMIFS(Tabla_Pagos[IMPORTE ABONADO],Tabla_Pagos[FECHA DE ABONO],"&gt;0",Tabla_Pagos[NRO DOC],B604)</f>
        <v>476000</v>
      </c>
      <c r="N604" s="36">
        <f t="shared" si="64"/>
        <v>0</v>
      </c>
      <c r="O604" s="22" cm="1">
        <f t="array" ref="O604">MAX(IF((Tabla_Pagos[NRO DOC]=B604)*(Tabla_Pagos[IMPORTE ABONADO]&gt;0),Tabla_Pagos[FECHA DE ABONO]))</f>
        <v>45947</v>
      </c>
    </row>
    <row r="605" spans="2:15" ht="21" customHeight="1" x14ac:dyDescent="0.25">
      <c r="B605" s="39">
        <v>1514</v>
      </c>
      <c r="C605" s="20">
        <v>45932</v>
      </c>
      <c r="D605" s="40" t="s">
        <v>44</v>
      </c>
      <c r="E605" s="37" t="str">
        <f>IFERROR(VLOOKUP(D605,CLIENTES!$B$12:$G$2602,2,FALSE),"")</f>
        <v>SKC RED SPA</v>
      </c>
      <c r="F605" s="31">
        <v>83300</v>
      </c>
      <c r="G605" s="41" t="s">
        <v>101</v>
      </c>
      <c r="H605" s="26">
        <v>30</v>
      </c>
      <c r="I605" s="21" t="str">
        <f t="shared" si="60"/>
        <v>Crédito</v>
      </c>
      <c r="J605" s="22">
        <f t="shared" si="61"/>
        <v>45962</v>
      </c>
      <c r="K605" s="27">
        <f t="shared" ca="1" si="62"/>
        <v>0</v>
      </c>
      <c r="L605" s="23" t="str">
        <f t="shared" si="63"/>
        <v>Pagado</v>
      </c>
      <c r="M605" s="36">
        <f>SUMIFS(Tabla_Pagos[IMPORTE ABONADO],Tabla_Pagos[FECHA DE ABONO],"&gt;0",Tabla_Pagos[NRO DOC],B605)</f>
        <v>83300</v>
      </c>
      <c r="N605" s="36">
        <f t="shared" si="64"/>
        <v>0</v>
      </c>
      <c r="O605" s="22" cm="1">
        <f t="array" ref="O605">MAX(IF((Tabla_Pagos[NRO DOC]=B605)*(Tabla_Pagos[IMPORTE ABONADO]&gt;0),Tabla_Pagos[FECHA DE ABONO]))</f>
        <v>45964</v>
      </c>
    </row>
    <row r="606" spans="2:15" ht="21" customHeight="1" x14ac:dyDescent="0.25">
      <c r="B606" s="39">
        <v>1515</v>
      </c>
      <c r="C606" s="20">
        <v>45932</v>
      </c>
      <c r="D606" s="40" t="s">
        <v>503</v>
      </c>
      <c r="E606" s="37" t="str">
        <f>IFERROR(VLOOKUP(D606,CLIENTES!$B$12:$G$2602,2,FALSE),"")</f>
        <v>TRANSMART SPA</v>
      </c>
      <c r="F606" s="31">
        <v>240000</v>
      </c>
      <c r="G606" s="41" t="s">
        <v>101</v>
      </c>
      <c r="H606" s="26">
        <v>0</v>
      </c>
      <c r="I606" s="21" t="str">
        <f t="shared" si="60"/>
        <v>Contado</v>
      </c>
      <c r="J606" s="22">
        <f t="shared" si="61"/>
        <v>45932</v>
      </c>
      <c r="K606" s="27">
        <f t="shared" ca="1" si="62"/>
        <v>0</v>
      </c>
      <c r="L606" s="23" t="str">
        <f t="shared" si="63"/>
        <v>Pagado</v>
      </c>
      <c r="M606" s="36">
        <f>SUMIFS(Tabla_Pagos[IMPORTE ABONADO],Tabla_Pagos[FECHA DE ABONO],"&gt;0",Tabla_Pagos[NRO DOC],B606)</f>
        <v>240000</v>
      </c>
      <c r="N606" s="36">
        <f t="shared" si="64"/>
        <v>0</v>
      </c>
      <c r="O606" s="22" cm="1">
        <f t="array" ref="O606">MAX(IF((Tabla_Pagos[NRO DOC]=B606)*(Tabla_Pagos[IMPORTE ABONADO]&gt;0),Tabla_Pagos[FECHA DE ABONO]))</f>
        <v>45932</v>
      </c>
    </row>
    <row r="607" spans="2:15" ht="21" customHeight="1" x14ac:dyDescent="0.25">
      <c r="B607" s="39">
        <v>1516</v>
      </c>
      <c r="C607" s="20">
        <v>45933</v>
      </c>
      <c r="D607" s="40" t="s">
        <v>504</v>
      </c>
      <c r="E607" s="37" t="str">
        <f>IFERROR(VLOOKUP(D607,CLIENTES!$B$12:$G$2602,2,FALSE),"")</f>
        <v>INTEGRAL SPA</v>
      </c>
      <c r="F607" s="31">
        <v>20000</v>
      </c>
      <c r="G607" s="41" t="s">
        <v>101</v>
      </c>
      <c r="H607" s="26">
        <v>0</v>
      </c>
      <c r="I607" s="21" t="str">
        <f t="shared" si="60"/>
        <v>Contado</v>
      </c>
      <c r="J607" s="22">
        <f t="shared" si="61"/>
        <v>45933</v>
      </c>
      <c r="K607" s="27">
        <f t="shared" ca="1" si="62"/>
        <v>0</v>
      </c>
      <c r="L607" s="23" t="str">
        <f t="shared" si="63"/>
        <v>Pagado</v>
      </c>
      <c r="M607" s="36">
        <f>SUMIFS(Tabla_Pagos[IMPORTE ABONADO],Tabla_Pagos[FECHA DE ABONO],"&gt;0",Tabla_Pagos[NRO DOC],B607)</f>
        <v>20000</v>
      </c>
      <c r="N607" s="36">
        <f t="shared" si="64"/>
        <v>0</v>
      </c>
      <c r="O607" s="22" cm="1">
        <f t="array" ref="O607">MAX(IF((Tabla_Pagos[NRO DOC]=B607)*(Tabla_Pagos[IMPORTE ABONADO]&gt;0),Tabla_Pagos[FECHA DE ABONO]))</f>
        <v>45933</v>
      </c>
    </row>
    <row r="608" spans="2:15" ht="21" customHeight="1" x14ac:dyDescent="0.25">
      <c r="B608" s="39">
        <v>1517</v>
      </c>
      <c r="C608" s="20">
        <v>45936</v>
      </c>
      <c r="D608" s="40" t="s">
        <v>505</v>
      </c>
      <c r="E608" s="37" t="str">
        <f>IFERROR(VLOOKUP(D608,CLIENTES!$B$12:$G$2602,2,FALSE),"")</f>
        <v>ANDES ANALYTICAL ASSAY SPA</v>
      </c>
      <c r="F608" s="31">
        <v>47600</v>
      </c>
      <c r="G608" s="41" t="s">
        <v>101</v>
      </c>
      <c r="H608" s="26">
        <v>0</v>
      </c>
      <c r="I608" s="21" t="str">
        <f t="shared" si="60"/>
        <v>Contado</v>
      </c>
      <c r="J608" s="22">
        <f t="shared" si="61"/>
        <v>45936</v>
      </c>
      <c r="K608" s="27">
        <f t="shared" ca="1" si="62"/>
        <v>0</v>
      </c>
      <c r="L608" s="23" t="str">
        <f t="shared" si="63"/>
        <v>Pagado</v>
      </c>
      <c r="M608" s="36">
        <f>SUMIFS(Tabla_Pagos[IMPORTE ABONADO],Tabla_Pagos[FECHA DE ABONO],"&gt;0",Tabla_Pagos[NRO DOC],B608)</f>
        <v>47600</v>
      </c>
      <c r="N608" s="36">
        <f t="shared" si="64"/>
        <v>0</v>
      </c>
      <c r="O608" s="22" cm="1">
        <f t="array" ref="O608">MAX(IF((Tabla_Pagos[NRO DOC]=B608)*(Tabla_Pagos[IMPORTE ABONADO]&gt;0),Tabla_Pagos[FECHA DE ABONO]))</f>
        <v>45936</v>
      </c>
    </row>
    <row r="609" spans="2:15" ht="21" customHeight="1" x14ac:dyDescent="0.25">
      <c r="B609" s="39">
        <v>1518</v>
      </c>
      <c r="C609" s="20">
        <v>45936</v>
      </c>
      <c r="D609" s="40" t="s">
        <v>102</v>
      </c>
      <c r="E609" s="37" t="str">
        <f>IFERROR(VLOOKUP(D609,CLIENTES!$B$12:$G$2602,2,FALSE),"")</f>
        <v>CONSTRUCTORA CARLOS ALBERTO ANDRES ALBISTUR REYES E.I.R.L.</v>
      </c>
      <c r="F609" s="31">
        <v>39270</v>
      </c>
      <c r="G609" s="41" t="s">
        <v>101</v>
      </c>
      <c r="H609" s="26">
        <v>30</v>
      </c>
      <c r="I609" s="21" t="str">
        <f t="shared" si="60"/>
        <v>Crédito</v>
      </c>
      <c r="J609" s="22">
        <f t="shared" si="61"/>
        <v>45966</v>
      </c>
      <c r="K609" s="27">
        <f t="shared" ca="1" si="62"/>
        <v>0</v>
      </c>
      <c r="L609" s="23" t="str">
        <f t="shared" si="63"/>
        <v>Pagado</v>
      </c>
      <c r="M609" s="36">
        <f>SUMIFS(Tabla_Pagos[IMPORTE ABONADO],Tabla_Pagos[FECHA DE ABONO],"&gt;0",Tabla_Pagos[NRO DOC],B609)</f>
        <v>39270</v>
      </c>
      <c r="N609" s="36">
        <f t="shared" si="64"/>
        <v>0</v>
      </c>
      <c r="O609" s="22" cm="1">
        <f t="array" ref="O609">MAX(IF((Tabla_Pagos[NRO DOC]=B609)*(Tabla_Pagos[IMPORTE ABONADO]&gt;0),Tabla_Pagos[FECHA DE ABONO]))</f>
        <v>45978</v>
      </c>
    </row>
    <row r="610" spans="2:15" ht="21" customHeight="1" x14ac:dyDescent="0.25">
      <c r="B610" s="39">
        <v>1519</v>
      </c>
      <c r="C610" s="20">
        <v>45937</v>
      </c>
      <c r="D610" s="40" t="s">
        <v>205</v>
      </c>
      <c r="E610" s="37" t="str">
        <f>IFERROR(VLOOKUP(D610,CLIENTES!$B$12:$G$2602,2,FALSE),"")</f>
        <v>CONSTRUCTORA DE PAVIMENTOS ASFALTICOS BITUMIX S.A</v>
      </c>
      <c r="F610" s="31">
        <v>224910</v>
      </c>
      <c r="G610" s="41" t="s">
        <v>101</v>
      </c>
      <c r="H610" s="26">
        <v>30</v>
      </c>
      <c r="I610" s="21" t="str">
        <f t="shared" si="60"/>
        <v>Crédito</v>
      </c>
      <c r="J610" s="22">
        <f t="shared" si="61"/>
        <v>45967</v>
      </c>
      <c r="K610" s="27">
        <f t="shared" ca="1" si="62"/>
        <v>0</v>
      </c>
      <c r="L610" s="23" t="str">
        <f t="shared" si="63"/>
        <v>Pagado</v>
      </c>
      <c r="M610" s="36">
        <f>SUMIFS(Tabla_Pagos[IMPORTE ABONADO],Tabla_Pagos[FECHA DE ABONO],"&gt;0",Tabla_Pagos[NRO DOC],B610)</f>
        <v>224910</v>
      </c>
      <c r="N610" s="36">
        <f t="shared" si="64"/>
        <v>0</v>
      </c>
      <c r="O610" s="22" cm="1">
        <f t="array" ref="O610">MAX(IF((Tabla_Pagos[NRO DOC]=B610)*(Tabla_Pagos[IMPORTE ABONADO]&gt;0),Tabla_Pagos[FECHA DE ABONO]))</f>
        <v>45975</v>
      </c>
    </row>
    <row r="611" spans="2:15" ht="21" customHeight="1" x14ac:dyDescent="0.25">
      <c r="B611" s="39">
        <v>1520</v>
      </c>
      <c r="C611" s="20">
        <v>45937</v>
      </c>
      <c r="D611" s="40" t="s">
        <v>205</v>
      </c>
      <c r="E611" s="37" t="str">
        <f>IFERROR(VLOOKUP(D611,CLIENTES!$B$12:$G$2602,2,FALSE),"")</f>
        <v>CONSTRUCTORA DE PAVIMENTOS ASFALTICOS BITUMIX S.A</v>
      </c>
      <c r="F611" s="31">
        <v>150535</v>
      </c>
      <c r="G611" s="41" t="s">
        <v>101</v>
      </c>
      <c r="H611" s="26">
        <v>30</v>
      </c>
      <c r="I611" s="21" t="str">
        <f t="shared" si="60"/>
        <v>Crédito</v>
      </c>
      <c r="J611" s="22">
        <f t="shared" si="61"/>
        <v>45967</v>
      </c>
      <c r="K611" s="27">
        <f t="shared" ca="1" si="62"/>
        <v>0</v>
      </c>
      <c r="L611" s="23" t="str">
        <f t="shared" si="63"/>
        <v>Pagado</v>
      </c>
      <c r="M611" s="36">
        <f>SUMIFS(Tabla_Pagos[IMPORTE ABONADO],Tabla_Pagos[FECHA DE ABONO],"&gt;0",Tabla_Pagos[NRO DOC],B611)</f>
        <v>150535</v>
      </c>
      <c r="N611" s="36">
        <f t="shared" si="64"/>
        <v>0</v>
      </c>
      <c r="O611" s="22" cm="1">
        <f t="array" ref="O611">MAX(IF((Tabla_Pagos[NRO DOC]=B611)*(Tabla_Pagos[IMPORTE ABONADO]&gt;0),Tabla_Pagos[FECHA DE ABONO]))</f>
        <v>45975</v>
      </c>
    </row>
    <row r="612" spans="2:15" ht="21" customHeight="1" x14ac:dyDescent="0.25">
      <c r="B612" s="39">
        <v>1521</v>
      </c>
      <c r="C612" s="20">
        <v>45937</v>
      </c>
      <c r="D612" s="40" t="s">
        <v>103</v>
      </c>
      <c r="E612" s="37" t="str">
        <f>IFERROR(VLOOKUP(D612,CLIENTES!$B$12:$G$2602,2,FALSE),"")</f>
        <v>SERVICIOS,TRANSPORTE Y ARRIENDO DE MAQUINARIAS LIMITADA</v>
      </c>
      <c r="F612" s="31">
        <v>190400</v>
      </c>
      <c r="G612" s="41" t="s">
        <v>101</v>
      </c>
      <c r="H612" s="26">
        <v>0</v>
      </c>
      <c r="I612" s="21" t="str">
        <f t="shared" si="60"/>
        <v>Contado</v>
      </c>
      <c r="J612" s="22">
        <f t="shared" si="61"/>
        <v>45937</v>
      </c>
      <c r="K612" s="27">
        <f t="shared" ca="1" si="62"/>
        <v>0</v>
      </c>
      <c r="L612" s="23" t="str">
        <f t="shared" si="63"/>
        <v>Pagado</v>
      </c>
      <c r="M612" s="36">
        <f>SUMIFS(Tabla_Pagos[IMPORTE ABONADO],Tabla_Pagos[FECHA DE ABONO],"&gt;0",Tabla_Pagos[NRO DOC],B612)</f>
        <v>190400</v>
      </c>
      <c r="N612" s="36">
        <f t="shared" si="64"/>
        <v>0</v>
      </c>
      <c r="O612" s="22" cm="1">
        <f t="array" ref="O612">MAX(IF((Tabla_Pagos[NRO DOC]=B612)*(Tabla_Pagos[IMPORTE ABONADO]&gt;0),Tabla_Pagos[FECHA DE ABONO]))</f>
        <v>45937</v>
      </c>
    </row>
    <row r="613" spans="2:15" ht="21" customHeight="1" x14ac:dyDescent="0.25">
      <c r="B613" s="39">
        <v>1522</v>
      </c>
      <c r="C613" s="20">
        <v>45938</v>
      </c>
      <c r="D613" s="40" t="s">
        <v>512</v>
      </c>
      <c r="E613" s="37" t="str">
        <f>IFERROR(VLOOKUP(D613,CLIENTES!$B$12:$G$2602,2,FALSE),"")</f>
        <v>FARMATERRA SPA</v>
      </c>
      <c r="F613" s="31">
        <v>249900</v>
      </c>
      <c r="G613" s="41" t="s">
        <v>101</v>
      </c>
      <c r="H613" s="26">
        <v>0</v>
      </c>
      <c r="I613" s="21" t="str">
        <f t="shared" ref="I613:I626" si="65">IF(H613="","",IF(H613=0,"Contado","Crédito"))</f>
        <v>Contado</v>
      </c>
      <c r="J613" s="22">
        <f t="shared" ref="J613:J626" si="66">IF(I613="","",C613+H613)</f>
        <v>45938</v>
      </c>
      <c r="K613" s="27">
        <f ca="1">IFERROR(IF(B613="","",IF(N613=0,0,J613-TODAY())),"")</f>
        <v>0</v>
      </c>
      <c r="L613" s="23" t="str">
        <f>IF(I613="","",IF(N613=0,"Pagado",IF(K613&lt;0,"Vencido","No vencido")))</f>
        <v>Pagado</v>
      </c>
      <c r="M613" s="36">
        <f>SUMIFS(Tabla_Pagos[IMPORTE ABONADO],Tabla_Pagos[FECHA DE ABONO],"&gt;0",Tabla_Pagos[NRO DOC],B613)</f>
        <v>249900</v>
      </c>
      <c r="N613" s="36">
        <f>F613-M613</f>
        <v>0</v>
      </c>
      <c r="O613" s="22" cm="1">
        <f t="array" ref="O613">MAX(IF((Tabla_Pagos[NRO DOC]=B613)*(Tabla_Pagos[IMPORTE ABONADO]&gt;0),Tabla_Pagos[FECHA DE ABONO]))</f>
        <v>45938</v>
      </c>
    </row>
    <row r="614" spans="2:15" ht="21" customHeight="1" x14ac:dyDescent="0.25">
      <c r="B614" s="39">
        <v>1523</v>
      </c>
      <c r="C614" s="20">
        <v>45939</v>
      </c>
      <c r="D614" s="40" t="s">
        <v>513</v>
      </c>
      <c r="E614" s="37" t="str">
        <f>IFERROR(VLOOKUP(D614,CLIENTES!$B$12:$G$2602,2,FALSE),"")</f>
        <v>LIDERA AGENCIA DE MARKETING SPA</v>
      </c>
      <c r="F614" s="31">
        <v>69999</v>
      </c>
      <c r="G614" s="41" t="s">
        <v>101</v>
      </c>
      <c r="H614" s="26">
        <v>0</v>
      </c>
      <c r="I614" s="21" t="str">
        <f t="shared" si="65"/>
        <v>Contado</v>
      </c>
      <c r="J614" s="22">
        <f t="shared" si="66"/>
        <v>45939</v>
      </c>
      <c r="K614" s="27">
        <f t="shared" ref="K614:K626" ca="1" si="67">IFERROR(IF(B614="","",IF(N614=0,0,J614-TODAY())),"")</f>
        <v>0</v>
      </c>
      <c r="L614" s="23" t="str">
        <f t="shared" ref="L614:L626" si="68">IF(I614="","",IF(N614=0,"Pagado",IF(K614&lt;0,"Vencido","No vencido")))</f>
        <v>Pagado</v>
      </c>
      <c r="M614" s="36">
        <f>SUMIFS(Tabla_Pagos[IMPORTE ABONADO],Tabla_Pagos[FECHA DE ABONO],"&gt;0",Tabla_Pagos[NRO DOC],B614)</f>
        <v>69999</v>
      </c>
      <c r="N614" s="36">
        <f t="shared" ref="N614:N626" si="69">F614-M614</f>
        <v>0</v>
      </c>
      <c r="O614" s="22" cm="1">
        <f t="array" ref="O614">MAX(IF((Tabla_Pagos[NRO DOC]=B614)*(Tabla_Pagos[IMPORTE ABONADO]&gt;0),Tabla_Pagos[FECHA DE ABONO]))</f>
        <v>45939</v>
      </c>
    </row>
    <row r="615" spans="2:15" ht="21" customHeight="1" x14ac:dyDescent="0.25">
      <c r="B615" s="39">
        <v>1524</v>
      </c>
      <c r="C615" s="20">
        <v>45939</v>
      </c>
      <c r="D615" s="40" t="s">
        <v>170</v>
      </c>
      <c r="E615" s="37" t="str">
        <f>IFERROR(VLOOKUP(D615,CLIENTES!$B$12:$G$2602,2,FALSE),"")</f>
        <v>RAMON ANGEL RIQUELME OLIVARES</v>
      </c>
      <c r="F615" s="31">
        <v>142800</v>
      </c>
      <c r="G615" s="41" t="s">
        <v>101</v>
      </c>
      <c r="H615" s="26">
        <v>0</v>
      </c>
      <c r="I615" s="21" t="str">
        <f t="shared" si="65"/>
        <v>Contado</v>
      </c>
      <c r="J615" s="22">
        <f t="shared" si="66"/>
        <v>45939</v>
      </c>
      <c r="K615" s="27">
        <f t="shared" ca="1" si="67"/>
        <v>0</v>
      </c>
      <c r="L615" s="23" t="str">
        <f t="shared" si="68"/>
        <v>Pagado</v>
      </c>
      <c r="M615" s="36">
        <f>SUMIFS(Tabla_Pagos[IMPORTE ABONADO],Tabla_Pagos[FECHA DE ABONO],"&gt;0",Tabla_Pagos[NRO DOC],B615)</f>
        <v>142800</v>
      </c>
      <c r="N615" s="36">
        <f t="shared" si="69"/>
        <v>0</v>
      </c>
      <c r="O615" s="22" cm="1">
        <f t="array" ref="O615">MAX(IF((Tabla_Pagos[NRO DOC]=B615)*(Tabla_Pagos[IMPORTE ABONADO]&gt;0),Tabla_Pagos[FECHA DE ABONO]))</f>
        <v>45939</v>
      </c>
    </row>
    <row r="616" spans="2:15" ht="21" customHeight="1" x14ac:dyDescent="0.25">
      <c r="B616" s="39">
        <v>1525</v>
      </c>
      <c r="C616" s="20">
        <v>45940</v>
      </c>
      <c r="D616" s="40" t="s">
        <v>514</v>
      </c>
      <c r="E616" s="37" t="str">
        <f>IFERROR(VLOOKUP(D616,CLIENTES!$B$12:$G$2602,2,FALSE),"")</f>
        <v>RIVERA COMPANY SPA</v>
      </c>
      <c r="F616" s="31">
        <v>84999</v>
      </c>
      <c r="G616" s="41" t="s">
        <v>101</v>
      </c>
      <c r="H616" s="26">
        <v>0</v>
      </c>
      <c r="I616" s="21" t="str">
        <f t="shared" si="65"/>
        <v>Contado</v>
      </c>
      <c r="J616" s="22">
        <f t="shared" si="66"/>
        <v>45940</v>
      </c>
      <c r="K616" s="27">
        <f t="shared" ca="1" si="67"/>
        <v>0</v>
      </c>
      <c r="L616" s="23" t="str">
        <f t="shared" si="68"/>
        <v>Pagado</v>
      </c>
      <c r="M616" s="36">
        <f>SUMIFS(Tabla_Pagos[IMPORTE ABONADO],Tabla_Pagos[FECHA DE ABONO],"&gt;0",Tabla_Pagos[NRO DOC],B616)</f>
        <v>84999</v>
      </c>
      <c r="N616" s="36">
        <f t="shared" si="69"/>
        <v>0</v>
      </c>
      <c r="O616" s="22" cm="1">
        <f t="array" ref="O616">MAX(IF((Tabla_Pagos[NRO DOC]=B616)*(Tabla_Pagos[IMPORTE ABONADO]&gt;0),Tabla_Pagos[FECHA DE ABONO]))</f>
        <v>45940</v>
      </c>
    </row>
    <row r="617" spans="2:15" ht="21" customHeight="1" x14ac:dyDescent="0.25">
      <c r="B617" s="39">
        <v>1526</v>
      </c>
      <c r="C617" s="20">
        <v>45940</v>
      </c>
      <c r="D617" s="40" t="s">
        <v>103</v>
      </c>
      <c r="E617" s="37" t="str">
        <f>IFERROR(VLOOKUP(D617,CLIENTES!$B$12:$G$2602,2,FALSE),"")</f>
        <v>SERVICIOS,TRANSPORTE Y ARRIENDO DE MAQUINARIAS LIMITADA</v>
      </c>
      <c r="F617" s="31">
        <v>190400</v>
      </c>
      <c r="G617" s="41" t="s">
        <v>101</v>
      </c>
      <c r="H617" s="26">
        <v>0</v>
      </c>
      <c r="I617" s="21" t="str">
        <f t="shared" si="65"/>
        <v>Contado</v>
      </c>
      <c r="J617" s="22">
        <f t="shared" si="66"/>
        <v>45940</v>
      </c>
      <c r="K617" s="27">
        <f t="shared" ca="1" si="67"/>
        <v>0</v>
      </c>
      <c r="L617" s="23" t="str">
        <f t="shared" si="68"/>
        <v>Pagado</v>
      </c>
      <c r="M617" s="36">
        <f>SUMIFS(Tabla_Pagos[IMPORTE ABONADO],Tabla_Pagos[FECHA DE ABONO],"&gt;0",Tabla_Pagos[NRO DOC],B617)</f>
        <v>190400</v>
      </c>
      <c r="N617" s="36">
        <f t="shared" si="69"/>
        <v>0</v>
      </c>
      <c r="O617" s="22" cm="1">
        <f t="array" ref="O617">MAX(IF((Tabla_Pagos[NRO DOC]=B617)*(Tabla_Pagos[IMPORTE ABONADO]&gt;0),Tabla_Pagos[FECHA DE ABONO]))</f>
        <v>45940</v>
      </c>
    </row>
    <row r="618" spans="2:15" ht="21" customHeight="1" x14ac:dyDescent="0.25">
      <c r="B618" s="39">
        <v>1527</v>
      </c>
      <c r="C618" s="20">
        <v>45941</v>
      </c>
      <c r="D618" s="40" t="s">
        <v>515</v>
      </c>
      <c r="E618" s="37" t="str">
        <f>IFERROR(VLOOKUP(D618,CLIENTES!$B$12:$G$2602,2,FALSE),"")</f>
        <v>MER INFRAESTRUCTURA CHILE S.A.</v>
      </c>
      <c r="F618" s="31">
        <v>71400</v>
      </c>
      <c r="G618" s="41" t="s">
        <v>101</v>
      </c>
      <c r="H618" s="26">
        <v>0</v>
      </c>
      <c r="I618" s="21" t="str">
        <f t="shared" si="65"/>
        <v>Contado</v>
      </c>
      <c r="J618" s="22">
        <f t="shared" si="66"/>
        <v>45941</v>
      </c>
      <c r="K618" s="27">
        <f t="shared" ca="1" si="67"/>
        <v>0</v>
      </c>
      <c r="L618" s="23" t="str">
        <f t="shared" si="68"/>
        <v>Pagado</v>
      </c>
      <c r="M618" s="36">
        <f>SUMIFS(Tabla_Pagos[IMPORTE ABONADO],Tabla_Pagos[FECHA DE ABONO],"&gt;0",Tabla_Pagos[NRO DOC],B618)</f>
        <v>71400</v>
      </c>
      <c r="N618" s="36">
        <f t="shared" si="69"/>
        <v>0</v>
      </c>
      <c r="O618" s="22" cm="1">
        <f t="array" ref="O618">MAX(IF((Tabla_Pagos[NRO DOC]=B618)*(Tabla_Pagos[IMPORTE ABONADO]&gt;0),Tabla_Pagos[FECHA DE ABONO]))</f>
        <v>45941</v>
      </c>
    </row>
    <row r="619" spans="2:15" ht="21" customHeight="1" x14ac:dyDescent="0.25">
      <c r="B619" s="39">
        <v>1528</v>
      </c>
      <c r="C619" s="20">
        <v>45943</v>
      </c>
      <c r="D619" s="40" t="s">
        <v>516</v>
      </c>
      <c r="E619" s="37" t="str">
        <f>IFERROR(VLOOKUP(D619,CLIENTES!$B$12:$G$2602,2,FALSE),"")</f>
        <v>SOC NICOLAS GEYWITZ Y COMPANIA LIMITADA</v>
      </c>
      <c r="F619" s="31">
        <v>226100</v>
      </c>
      <c r="G619" s="41" t="s">
        <v>101</v>
      </c>
      <c r="H619" s="26">
        <v>0</v>
      </c>
      <c r="I619" s="21" t="str">
        <f t="shared" si="65"/>
        <v>Contado</v>
      </c>
      <c r="J619" s="22">
        <f t="shared" si="66"/>
        <v>45943</v>
      </c>
      <c r="K619" s="27">
        <f t="shared" ca="1" si="67"/>
        <v>0</v>
      </c>
      <c r="L619" s="23" t="str">
        <f t="shared" si="68"/>
        <v>Pagado</v>
      </c>
      <c r="M619" s="36">
        <f>SUMIFS(Tabla_Pagos[IMPORTE ABONADO],Tabla_Pagos[FECHA DE ABONO],"&gt;0",Tabla_Pagos[NRO DOC],B619)</f>
        <v>226100</v>
      </c>
      <c r="N619" s="36">
        <f t="shared" si="69"/>
        <v>0</v>
      </c>
      <c r="O619" s="22" cm="1">
        <f t="array" ref="O619">MAX(IF((Tabla_Pagos[NRO DOC]=B619)*(Tabla_Pagos[IMPORTE ABONADO]&gt;0),Tabla_Pagos[FECHA DE ABONO]))</f>
        <v>45943</v>
      </c>
    </row>
    <row r="620" spans="2:15" ht="21" customHeight="1" x14ac:dyDescent="0.25">
      <c r="B620" s="39">
        <v>1529</v>
      </c>
      <c r="C620" s="20">
        <v>45943</v>
      </c>
      <c r="D620" s="40" t="s">
        <v>242</v>
      </c>
      <c r="E620" s="37" t="str">
        <f>IFERROR(VLOOKUP(D620,CLIENTES!$B$12:$G$2602,2,FALSE),"")</f>
        <v>TRANSPORTES TOLECAR SPA</v>
      </c>
      <c r="F620" s="31">
        <v>53550</v>
      </c>
      <c r="G620" s="41" t="s">
        <v>101</v>
      </c>
      <c r="H620" s="26">
        <v>0</v>
      </c>
      <c r="I620" s="21" t="str">
        <f t="shared" si="65"/>
        <v>Contado</v>
      </c>
      <c r="J620" s="22">
        <f t="shared" si="66"/>
        <v>45943</v>
      </c>
      <c r="K620" s="27">
        <f t="shared" ca="1" si="67"/>
        <v>0</v>
      </c>
      <c r="L620" s="23" t="str">
        <f t="shared" si="68"/>
        <v>Pagado</v>
      </c>
      <c r="M620" s="36">
        <f>SUMIFS(Tabla_Pagos[IMPORTE ABONADO],Tabla_Pagos[FECHA DE ABONO],"&gt;0",Tabla_Pagos[NRO DOC],B620)</f>
        <v>53550</v>
      </c>
      <c r="N620" s="36">
        <f t="shared" si="69"/>
        <v>0</v>
      </c>
      <c r="O620" s="22" cm="1">
        <f t="array" ref="O620">MAX(IF((Tabla_Pagos[NRO DOC]=B620)*(Tabla_Pagos[IMPORTE ABONADO]&gt;0),Tabla_Pagos[FECHA DE ABONO]))</f>
        <v>45943</v>
      </c>
    </row>
    <row r="621" spans="2:15" ht="21" customHeight="1" x14ac:dyDescent="0.25">
      <c r="B621" s="39">
        <v>1530</v>
      </c>
      <c r="C621" s="20">
        <v>45943</v>
      </c>
      <c r="D621" s="40" t="s">
        <v>438</v>
      </c>
      <c r="E621" s="37" t="str">
        <f>IFERROR(VLOOKUP(D621,CLIENTES!$B$12:$G$2602,2,FALSE),"")</f>
        <v>MENDOZA CAZ  SPA</v>
      </c>
      <c r="F621" s="31">
        <v>178500</v>
      </c>
      <c r="G621" s="41" t="s">
        <v>101</v>
      </c>
      <c r="H621" s="26">
        <v>0</v>
      </c>
      <c r="I621" s="21" t="str">
        <f t="shared" si="65"/>
        <v>Contado</v>
      </c>
      <c r="J621" s="22">
        <f t="shared" si="66"/>
        <v>45943</v>
      </c>
      <c r="K621" s="27">
        <f t="shared" ca="1" si="67"/>
        <v>0</v>
      </c>
      <c r="L621" s="23" t="str">
        <f t="shared" si="68"/>
        <v>Pagado</v>
      </c>
      <c r="M621" s="36">
        <f>SUMIFS(Tabla_Pagos[IMPORTE ABONADO],Tabla_Pagos[FECHA DE ABONO],"&gt;0",Tabla_Pagos[NRO DOC],B621)</f>
        <v>178500</v>
      </c>
      <c r="N621" s="36">
        <f t="shared" si="69"/>
        <v>0</v>
      </c>
      <c r="O621" s="22" cm="1">
        <f t="array" ref="O621">MAX(IF((Tabla_Pagos[NRO DOC]=B621)*(Tabla_Pagos[IMPORTE ABONADO]&gt;0),Tabla_Pagos[FECHA DE ABONO]))</f>
        <v>45943</v>
      </c>
    </row>
    <row r="622" spans="2:15" ht="21" customHeight="1" x14ac:dyDescent="0.25">
      <c r="B622" s="39">
        <v>1531</v>
      </c>
      <c r="C622" s="20">
        <v>45943</v>
      </c>
      <c r="D622" s="40" t="s">
        <v>45</v>
      </c>
      <c r="E622" s="37" t="str">
        <f>IFERROR(VLOOKUP(D622,CLIENTES!$B$12:$G$2602,2,FALSE),"")</f>
        <v>INGEGROUP INGENIERIA  SPA</v>
      </c>
      <c r="F622" s="31">
        <v>47600</v>
      </c>
      <c r="G622" s="41" t="s">
        <v>101</v>
      </c>
      <c r="H622" s="26">
        <v>0</v>
      </c>
      <c r="I622" s="21" t="str">
        <f t="shared" si="65"/>
        <v>Contado</v>
      </c>
      <c r="J622" s="22">
        <f t="shared" si="66"/>
        <v>45943</v>
      </c>
      <c r="K622" s="27">
        <f t="shared" ca="1" si="67"/>
        <v>0</v>
      </c>
      <c r="L622" s="23" t="str">
        <f t="shared" si="68"/>
        <v>Pagado</v>
      </c>
      <c r="M622" s="36">
        <f>SUMIFS(Tabla_Pagos[IMPORTE ABONADO],Tabla_Pagos[FECHA DE ABONO],"&gt;0",Tabla_Pagos[NRO DOC],B622)</f>
        <v>47600</v>
      </c>
      <c r="N622" s="36">
        <f t="shared" si="69"/>
        <v>0</v>
      </c>
      <c r="O622" s="22" cm="1">
        <f t="array" ref="O622">MAX(IF((Tabla_Pagos[NRO DOC]=B622)*(Tabla_Pagos[IMPORTE ABONADO]&gt;0),Tabla_Pagos[FECHA DE ABONO]))</f>
        <v>45943</v>
      </c>
    </row>
    <row r="623" spans="2:15" ht="21" customHeight="1" x14ac:dyDescent="0.25">
      <c r="B623" s="39">
        <v>1532</v>
      </c>
      <c r="C623" s="20">
        <v>45943</v>
      </c>
      <c r="D623" s="40" t="s">
        <v>515</v>
      </c>
      <c r="E623" s="37" t="str">
        <f>IFERROR(VLOOKUP(D623,CLIENTES!$B$12:$G$2602,2,FALSE),"")</f>
        <v>MER INFRAESTRUCTURA CHILE S.A.</v>
      </c>
      <c r="F623" s="31">
        <v>71400</v>
      </c>
      <c r="G623" s="41" t="s">
        <v>101</v>
      </c>
      <c r="H623" s="26">
        <v>0</v>
      </c>
      <c r="I623" s="21" t="str">
        <f t="shared" si="65"/>
        <v>Contado</v>
      </c>
      <c r="J623" s="22">
        <f t="shared" si="66"/>
        <v>45943</v>
      </c>
      <c r="K623" s="27">
        <f t="shared" ca="1" si="67"/>
        <v>0</v>
      </c>
      <c r="L623" s="23" t="str">
        <f t="shared" si="68"/>
        <v>Pagado</v>
      </c>
      <c r="M623" s="36">
        <f>SUMIFS(Tabla_Pagos[IMPORTE ABONADO],Tabla_Pagos[FECHA DE ABONO],"&gt;0",Tabla_Pagos[NRO DOC],B623)</f>
        <v>71400</v>
      </c>
      <c r="N623" s="36">
        <f t="shared" si="69"/>
        <v>0</v>
      </c>
      <c r="O623" s="22" cm="1">
        <f t="array" ref="O623">MAX(IF((Tabla_Pagos[NRO DOC]=B623)*(Tabla_Pagos[IMPORTE ABONADO]&gt;0),Tabla_Pagos[FECHA DE ABONO]))</f>
        <v>45943</v>
      </c>
    </row>
    <row r="624" spans="2:15" ht="21" customHeight="1" x14ac:dyDescent="0.25">
      <c r="B624" s="39">
        <v>1533</v>
      </c>
      <c r="C624" s="20">
        <v>45944</v>
      </c>
      <c r="D624" s="40" t="s">
        <v>312</v>
      </c>
      <c r="E624" s="37" t="str">
        <f>IFERROR(VLOOKUP(D624,CLIENTES!$B$12:$G$2602,2,FALSE),"")</f>
        <v>I MUNICIPALIDAD DE COPIAPO</v>
      </c>
      <c r="F624" s="31">
        <v>1666000</v>
      </c>
      <c r="G624" s="41" t="s">
        <v>101</v>
      </c>
      <c r="H624" s="26">
        <v>0</v>
      </c>
      <c r="I624" s="21" t="str">
        <f t="shared" si="65"/>
        <v>Contado</v>
      </c>
      <c r="J624" s="22">
        <f t="shared" si="66"/>
        <v>45944</v>
      </c>
      <c r="K624" s="27">
        <f t="shared" ca="1" si="67"/>
        <v>0</v>
      </c>
      <c r="L624" s="23" t="str">
        <f t="shared" si="68"/>
        <v>Pagado</v>
      </c>
      <c r="M624" s="36">
        <f>SUMIFS(Tabla_Pagos[IMPORTE ABONADO],Tabla_Pagos[FECHA DE ABONO],"&gt;0",Tabla_Pagos[NRO DOC],B624)</f>
        <v>1666000</v>
      </c>
      <c r="N624" s="36">
        <f t="shared" si="69"/>
        <v>0</v>
      </c>
      <c r="O624" s="22" cm="1">
        <f t="array" ref="O624">MAX(IF((Tabla_Pagos[NRO DOC]=B624)*(Tabla_Pagos[IMPORTE ABONADO]&gt;0),Tabla_Pagos[FECHA DE ABONO]))</f>
        <v>45944</v>
      </c>
    </row>
    <row r="625" spans="2:15" ht="21" customHeight="1" x14ac:dyDescent="0.25">
      <c r="B625" s="39">
        <v>1534</v>
      </c>
      <c r="C625" s="20">
        <v>45944</v>
      </c>
      <c r="D625" s="40" t="s">
        <v>500</v>
      </c>
      <c r="E625" s="37" t="str">
        <f>IFERROR(VLOOKUP(D625,CLIENTES!$B$12:$G$2602,2,FALSE),"")</f>
        <v>LAVADO DE VEHÃCULOS RICHARDS MICHAEL VILLALOBOS ROJAS E.I.R.L.</v>
      </c>
      <c r="F625" s="31">
        <v>148750</v>
      </c>
      <c r="G625" s="41" t="s">
        <v>101</v>
      </c>
      <c r="H625" s="26">
        <v>0</v>
      </c>
      <c r="I625" s="21" t="str">
        <f t="shared" si="65"/>
        <v>Contado</v>
      </c>
      <c r="J625" s="22">
        <f t="shared" si="66"/>
        <v>45944</v>
      </c>
      <c r="K625" s="27">
        <f t="shared" ca="1" si="67"/>
        <v>0</v>
      </c>
      <c r="L625" s="23" t="str">
        <f t="shared" si="68"/>
        <v>Pagado</v>
      </c>
      <c r="M625" s="36">
        <f>SUMIFS(Tabla_Pagos[IMPORTE ABONADO],Tabla_Pagos[FECHA DE ABONO],"&gt;0",Tabla_Pagos[NRO DOC],B625)</f>
        <v>148750</v>
      </c>
      <c r="N625" s="36">
        <f t="shared" si="69"/>
        <v>0</v>
      </c>
      <c r="O625" s="22" cm="1">
        <f t="array" ref="O625">MAX(IF((Tabla_Pagos[NRO DOC]=B625)*(Tabla_Pagos[IMPORTE ABONADO]&gt;0),Tabla_Pagos[FECHA DE ABONO]))</f>
        <v>45944</v>
      </c>
    </row>
    <row r="626" spans="2:15" ht="21" customHeight="1" x14ac:dyDescent="0.25">
      <c r="B626" s="39">
        <v>1535</v>
      </c>
      <c r="C626" s="20">
        <v>45945</v>
      </c>
      <c r="D626" s="40" t="s">
        <v>40</v>
      </c>
      <c r="E626" s="37" t="str">
        <f>IFERROR(VLOOKUP(D626,CLIENTES!$B$12:$G$2602,2,FALSE),"")</f>
        <v>INGENIERIA Y SERVICIOS TERRACOP SPA</v>
      </c>
      <c r="F626" s="31">
        <v>71400</v>
      </c>
      <c r="G626" s="41" t="s">
        <v>101</v>
      </c>
      <c r="H626" s="26">
        <v>0</v>
      </c>
      <c r="I626" s="21" t="str">
        <f t="shared" si="65"/>
        <v>Contado</v>
      </c>
      <c r="J626" s="22">
        <f t="shared" si="66"/>
        <v>45945</v>
      </c>
      <c r="K626" s="27">
        <f t="shared" ca="1" si="67"/>
        <v>0</v>
      </c>
      <c r="L626" s="23" t="str">
        <f t="shared" si="68"/>
        <v>Pagado</v>
      </c>
      <c r="M626" s="36">
        <f>SUMIFS(Tabla_Pagos[IMPORTE ABONADO],Tabla_Pagos[FECHA DE ABONO],"&gt;0",Tabla_Pagos[NRO DOC],B626)</f>
        <v>71400</v>
      </c>
      <c r="N626" s="36">
        <f t="shared" si="69"/>
        <v>0</v>
      </c>
      <c r="O626" s="22" cm="1">
        <f t="array" ref="O626">MAX(IF((Tabla_Pagos[NRO DOC]=B626)*(Tabla_Pagos[IMPORTE ABONADO]&gt;0),Tabla_Pagos[FECHA DE ABONO]))</f>
        <v>45945</v>
      </c>
    </row>
    <row r="627" spans="2:15" ht="21" customHeight="1" x14ac:dyDescent="0.25">
      <c r="B627" s="39">
        <v>1536</v>
      </c>
      <c r="C627" s="20">
        <v>45945</v>
      </c>
      <c r="D627" s="40" t="s">
        <v>522</v>
      </c>
      <c r="E627" s="37" t="str">
        <f>IFERROR(VLOOKUP(D627,CLIENTES!$B$12:$G$2602,2,FALSE),"")</f>
        <v>INSTITUTO INTEGRAL DE SALUD OCUPACIONAL SPA</v>
      </c>
      <c r="F627" s="31">
        <v>853230</v>
      </c>
      <c r="G627" s="41" t="s">
        <v>101</v>
      </c>
      <c r="H627" s="26">
        <v>30</v>
      </c>
      <c r="I627" s="21" t="str">
        <f>IF(H627="","",IF(H627=0,"Contado","Crédito"))</f>
        <v>Crédito</v>
      </c>
      <c r="J627" s="22">
        <f>IF(I627="","",C627+H627)</f>
        <v>45975</v>
      </c>
      <c r="K627" s="27">
        <f ca="1">IFERROR(IF(B627="","",IF(N627=0,0,J627-TODAY())),"")</f>
        <v>0</v>
      </c>
      <c r="L627" s="23" t="str">
        <f>IF(I627="","",IF(N627=0,"Pagado",IF(K627&lt;0,"Vencido","No vencido")))</f>
        <v>Pagado</v>
      </c>
      <c r="M627" s="36">
        <f>SUMIFS(Tabla_Pagos[IMPORTE ABONADO],Tabla_Pagos[FECHA DE ABONO],"&gt;0",Tabla_Pagos[NRO DOC],B627)</f>
        <v>853230</v>
      </c>
      <c r="N627" s="36">
        <f>F627-M627</f>
        <v>0</v>
      </c>
      <c r="O627" s="22" cm="1">
        <f t="array" ref="O627">MAX(IF((Tabla_Pagos[NRO DOC]=B627)*(Tabla_Pagos[IMPORTE ABONADO]&gt;0),Tabla_Pagos[FECHA DE ABONO]))</f>
        <v>45960</v>
      </c>
    </row>
    <row r="628" spans="2:15" ht="21" customHeight="1" x14ac:dyDescent="0.25">
      <c r="B628" s="39">
        <v>1537</v>
      </c>
      <c r="C628" s="20">
        <v>45945</v>
      </c>
      <c r="D628" s="40" t="s">
        <v>523</v>
      </c>
      <c r="E628" s="37" t="str">
        <f>IFERROR(VLOOKUP(D628,CLIENTES!$B$12:$G$2602,2,FALSE),"")</f>
        <v>SERVICIOS SAN LUIS SPA</v>
      </c>
      <c r="F628" s="31">
        <v>214200</v>
      </c>
      <c r="G628" s="41" t="s">
        <v>101</v>
      </c>
      <c r="H628" s="26">
        <v>0</v>
      </c>
      <c r="I628" s="21" t="str">
        <f t="shared" ref="I628:I634" si="70">IF(H628="","",IF(H628=0,"Contado","Crédito"))</f>
        <v>Contado</v>
      </c>
      <c r="J628" s="22">
        <f t="shared" ref="J628:J634" si="71">IF(I628="","",C628+H628)</f>
        <v>45945</v>
      </c>
      <c r="K628" s="27">
        <f t="shared" ref="K628:K634" ca="1" si="72">IFERROR(IF(B628="","",IF(N628=0,0,J628-TODAY())),"")</f>
        <v>0</v>
      </c>
      <c r="L628" s="23" t="str">
        <f t="shared" ref="L628:L634" si="73">IF(I628="","",IF(N628=0,"Pagado",IF(K628&lt;0,"Vencido","No vencido")))</f>
        <v>Pagado</v>
      </c>
      <c r="M628" s="36">
        <f>SUMIFS(Tabla_Pagos[IMPORTE ABONADO],Tabla_Pagos[FECHA DE ABONO],"&gt;0",Tabla_Pagos[NRO DOC],B628)</f>
        <v>214200</v>
      </c>
      <c r="N628" s="36">
        <f t="shared" ref="N628:N634" si="74">F628-M628</f>
        <v>0</v>
      </c>
      <c r="O628" s="22" cm="1">
        <f t="array" ref="O628">MAX(IF((Tabla_Pagos[NRO DOC]=B628)*(Tabla_Pagos[IMPORTE ABONADO]&gt;0),Tabla_Pagos[FECHA DE ABONO]))</f>
        <v>45945</v>
      </c>
    </row>
    <row r="629" spans="2:15" ht="21" customHeight="1" x14ac:dyDescent="0.25">
      <c r="B629" s="39">
        <v>1538</v>
      </c>
      <c r="C629" s="20">
        <v>45945</v>
      </c>
      <c r="D629" s="40" t="s">
        <v>491</v>
      </c>
      <c r="E629" s="37" t="str">
        <f>IFERROR(VLOOKUP(D629,CLIENTES!$B$12:$G$2602,2,FALSE),"")</f>
        <v>NAVARRO Y AVALOS SPA</v>
      </c>
      <c r="F629" s="31">
        <v>464100</v>
      </c>
      <c r="G629" s="41" t="s">
        <v>101</v>
      </c>
      <c r="H629" s="26">
        <v>0</v>
      </c>
      <c r="I629" s="21" t="str">
        <f t="shared" si="70"/>
        <v>Contado</v>
      </c>
      <c r="J629" s="22">
        <f t="shared" si="71"/>
        <v>45945</v>
      </c>
      <c r="K629" s="27">
        <f t="shared" ca="1" si="72"/>
        <v>0</v>
      </c>
      <c r="L629" s="23" t="str">
        <f t="shared" si="73"/>
        <v>Pagado</v>
      </c>
      <c r="M629" s="36">
        <f>SUMIFS(Tabla_Pagos[IMPORTE ABONADO],Tabla_Pagos[FECHA DE ABONO],"&gt;0",Tabla_Pagos[NRO DOC],B629)</f>
        <v>464100</v>
      </c>
      <c r="N629" s="36">
        <f t="shared" si="74"/>
        <v>0</v>
      </c>
      <c r="O629" s="22" cm="1">
        <f t="array" ref="O629">MAX(IF((Tabla_Pagos[NRO DOC]=B629)*(Tabla_Pagos[IMPORTE ABONADO]&gt;0),Tabla_Pagos[FECHA DE ABONO]))</f>
        <v>45945</v>
      </c>
    </row>
    <row r="630" spans="2:15" ht="21" customHeight="1" x14ac:dyDescent="0.25">
      <c r="B630" s="39">
        <v>1539</v>
      </c>
      <c r="C630" s="20">
        <v>45945</v>
      </c>
      <c r="D630" s="40" t="s">
        <v>37</v>
      </c>
      <c r="E630" s="37" t="str">
        <f>IFERROR(VLOOKUP(D630,CLIENTES!$B$12:$G$2602,2,FALSE),"")</f>
        <v>AILUV SPA</v>
      </c>
      <c r="F630" s="31">
        <v>182500</v>
      </c>
      <c r="G630" s="41" t="s">
        <v>101</v>
      </c>
      <c r="H630" s="26">
        <v>0</v>
      </c>
      <c r="I630" s="21" t="str">
        <f t="shared" si="70"/>
        <v>Contado</v>
      </c>
      <c r="J630" s="22">
        <f t="shared" si="71"/>
        <v>45945</v>
      </c>
      <c r="K630" s="27">
        <f t="shared" ca="1" si="72"/>
        <v>0</v>
      </c>
      <c r="L630" s="23" t="str">
        <f t="shared" si="73"/>
        <v>Pagado</v>
      </c>
      <c r="M630" s="36">
        <f>SUMIFS(Tabla_Pagos[IMPORTE ABONADO],Tabla_Pagos[FECHA DE ABONO],"&gt;0",Tabla_Pagos[NRO DOC],B630)</f>
        <v>182500</v>
      </c>
      <c r="N630" s="36">
        <f t="shared" si="74"/>
        <v>0</v>
      </c>
      <c r="O630" s="22" cm="1">
        <f t="array" ref="O630">MAX(IF((Tabla_Pagos[NRO DOC]=B630)*(Tabla_Pagos[IMPORTE ABONADO]&gt;0),Tabla_Pagos[FECHA DE ABONO]))</f>
        <v>45945</v>
      </c>
    </row>
    <row r="631" spans="2:15" ht="21" customHeight="1" x14ac:dyDescent="0.25">
      <c r="B631" s="39">
        <v>1540</v>
      </c>
      <c r="C631" s="20">
        <v>45946</v>
      </c>
      <c r="D631" s="40" t="s">
        <v>524</v>
      </c>
      <c r="E631" s="37" t="str">
        <f>IFERROR(VLOOKUP(D631,CLIENTES!$B$12:$G$2602,2,FALSE),"")</f>
        <v>INSTROTEC SERVICIOS  SPA</v>
      </c>
      <c r="F631" s="31">
        <v>333200</v>
      </c>
      <c r="G631" s="41" t="s">
        <v>101</v>
      </c>
      <c r="H631" s="26">
        <v>0</v>
      </c>
      <c r="I631" s="21" t="str">
        <f t="shared" si="70"/>
        <v>Contado</v>
      </c>
      <c r="J631" s="22">
        <f t="shared" si="71"/>
        <v>45946</v>
      </c>
      <c r="K631" s="27">
        <f t="shared" ca="1" si="72"/>
        <v>0</v>
      </c>
      <c r="L631" s="23" t="str">
        <f t="shared" si="73"/>
        <v>Pagado</v>
      </c>
      <c r="M631" s="36">
        <f>SUMIFS(Tabla_Pagos[IMPORTE ABONADO],Tabla_Pagos[FECHA DE ABONO],"&gt;0",Tabla_Pagos[NRO DOC],B631)</f>
        <v>333200</v>
      </c>
      <c r="N631" s="36">
        <f t="shared" si="74"/>
        <v>0</v>
      </c>
      <c r="O631" s="22" cm="1">
        <f t="array" ref="O631">MAX(IF((Tabla_Pagos[NRO DOC]=B631)*(Tabla_Pagos[IMPORTE ABONADO]&gt;0),Tabla_Pagos[FECHA DE ABONO]))</f>
        <v>45946</v>
      </c>
    </row>
    <row r="632" spans="2:15" ht="21" customHeight="1" x14ac:dyDescent="0.25">
      <c r="B632" s="39">
        <v>1541</v>
      </c>
      <c r="C632" s="20">
        <v>45946</v>
      </c>
      <c r="D632" s="40" t="s">
        <v>525</v>
      </c>
      <c r="E632" s="37" t="str">
        <f>IFERROR(VLOOKUP(D632,CLIENTES!$B$12:$G$2602,2,FALSE),"")</f>
        <v>PEDRO ALBERTO GALLO CEBALLOS TELECOMUNICACIONES E.I.R.L.</v>
      </c>
      <c r="F632" s="31">
        <v>59500</v>
      </c>
      <c r="G632" s="41" t="s">
        <v>101</v>
      </c>
      <c r="H632" s="26">
        <v>0</v>
      </c>
      <c r="I632" s="21" t="str">
        <f t="shared" si="70"/>
        <v>Contado</v>
      </c>
      <c r="J632" s="22">
        <f t="shared" si="71"/>
        <v>45946</v>
      </c>
      <c r="K632" s="27">
        <f t="shared" ca="1" si="72"/>
        <v>0</v>
      </c>
      <c r="L632" s="23" t="str">
        <f t="shared" si="73"/>
        <v>Pagado</v>
      </c>
      <c r="M632" s="36">
        <f>SUMIFS(Tabla_Pagos[IMPORTE ABONADO],Tabla_Pagos[FECHA DE ABONO],"&gt;0",Tabla_Pagos[NRO DOC],B632)</f>
        <v>59500</v>
      </c>
      <c r="N632" s="36">
        <f t="shared" si="74"/>
        <v>0</v>
      </c>
      <c r="O632" s="22" cm="1">
        <f t="array" ref="O632">MAX(IF((Tabla_Pagos[NRO DOC]=B632)*(Tabla_Pagos[IMPORTE ABONADO]&gt;0),Tabla_Pagos[FECHA DE ABONO]))</f>
        <v>45946</v>
      </c>
    </row>
    <row r="633" spans="2:15" ht="21" customHeight="1" x14ac:dyDescent="0.25">
      <c r="B633" s="39">
        <v>1542</v>
      </c>
      <c r="C633" s="20">
        <v>45946</v>
      </c>
      <c r="D633" s="40" t="s">
        <v>526</v>
      </c>
      <c r="E633" s="37" t="str">
        <f>IFERROR(VLOOKUP(D633,CLIENTES!$B$12:$G$2602,2,FALSE),"")</f>
        <v>TRANSPORTES ZULEMA MANCILLA CARDOZO E.I.R.L.</v>
      </c>
      <c r="F633" s="31">
        <v>333200</v>
      </c>
      <c r="G633" s="41" t="s">
        <v>101</v>
      </c>
      <c r="H633" s="26">
        <v>0</v>
      </c>
      <c r="I633" s="21" t="str">
        <f t="shared" si="70"/>
        <v>Contado</v>
      </c>
      <c r="J633" s="22">
        <f t="shared" si="71"/>
        <v>45946</v>
      </c>
      <c r="K633" s="27">
        <f t="shared" ca="1" si="72"/>
        <v>0</v>
      </c>
      <c r="L633" s="23" t="str">
        <f t="shared" si="73"/>
        <v>Pagado</v>
      </c>
      <c r="M633" s="36">
        <f>SUMIFS(Tabla_Pagos[IMPORTE ABONADO],Tabla_Pagos[FECHA DE ABONO],"&gt;0",Tabla_Pagos[NRO DOC],B633)</f>
        <v>333200</v>
      </c>
      <c r="N633" s="36">
        <f t="shared" si="74"/>
        <v>0</v>
      </c>
      <c r="O633" s="22" cm="1">
        <f t="array" ref="O633">MAX(IF((Tabla_Pagos[NRO DOC]=B633)*(Tabla_Pagos[IMPORTE ABONADO]&gt;0),Tabla_Pagos[FECHA DE ABONO]))</f>
        <v>45946</v>
      </c>
    </row>
    <row r="634" spans="2:15" ht="21" customHeight="1" x14ac:dyDescent="0.25">
      <c r="B634" s="39">
        <v>1543</v>
      </c>
      <c r="C634" s="20">
        <v>45946</v>
      </c>
      <c r="D634" s="40" t="s">
        <v>527</v>
      </c>
      <c r="E634" s="37" t="str">
        <f>IFERROR(VLOOKUP(D634,CLIENTES!$B$12:$G$2602,2,FALSE),"")</f>
        <v>CROSAN CAPACITACION SPA</v>
      </c>
      <c r="F634" s="31">
        <v>1380400</v>
      </c>
      <c r="G634" s="41" t="s">
        <v>101</v>
      </c>
      <c r="H634" s="26">
        <v>30</v>
      </c>
      <c r="I634" s="21" t="str">
        <f t="shared" si="70"/>
        <v>Crédito</v>
      </c>
      <c r="J634" s="22">
        <f t="shared" si="71"/>
        <v>45976</v>
      </c>
      <c r="K634" s="27">
        <f t="shared" ca="1" si="72"/>
        <v>0</v>
      </c>
      <c r="L634" s="23" t="str">
        <f t="shared" si="73"/>
        <v>Pagado</v>
      </c>
      <c r="M634" s="36">
        <f>SUMIFS(Tabla_Pagos[IMPORTE ABONADO],Tabla_Pagos[FECHA DE ABONO],"&gt;0",Tabla_Pagos[NRO DOC],B634)</f>
        <v>1380400</v>
      </c>
      <c r="N634" s="36">
        <f t="shared" si="74"/>
        <v>0</v>
      </c>
      <c r="O634" s="22" cm="1">
        <f t="array" ref="O634">MAX(IF((Tabla_Pagos[NRO DOC]=B634)*(Tabla_Pagos[IMPORTE ABONADO]&gt;0),Tabla_Pagos[FECHA DE ABONO]))</f>
        <v>45951</v>
      </c>
    </row>
    <row r="635" spans="2:15" ht="21" customHeight="1" x14ac:dyDescent="0.25">
      <c r="B635" s="39">
        <v>1544</v>
      </c>
      <c r="C635" s="20">
        <v>45947</v>
      </c>
      <c r="D635" s="40" t="s">
        <v>162</v>
      </c>
      <c r="E635" s="37" t="str">
        <f>IFERROR(VLOOKUP(D635,CLIENTES!$B$12:$G$2602,2,FALSE),"")</f>
        <v>SEGURIDAD PRIVADA CENTURIONS LIMITADA</v>
      </c>
      <c r="F635" s="31">
        <v>464100</v>
      </c>
      <c r="G635" s="41" t="s">
        <v>101</v>
      </c>
      <c r="H635" s="26">
        <v>0</v>
      </c>
      <c r="I635" s="21" t="str">
        <f t="shared" ref="I635:I641" si="75">IF(H635="","",IF(H635=0,"Contado","Crédito"))</f>
        <v>Contado</v>
      </c>
      <c r="J635" s="22">
        <f t="shared" ref="J635:J641" si="76">IF(I635="","",C635+H635)</f>
        <v>45947</v>
      </c>
      <c r="K635" s="27">
        <f t="shared" ref="K635:K641" ca="1" si="77">IFERROR(IF(B635="","",IF(N635=0,0,J635-TODAY())),"")</f>
        <v>0</v>
      </c>
      <c r="L635" s="23" t="str">
        <f t="shared" ref="L635:L641" si="78">IF(I635="","",IF(N635=0,"Pagado",IF(K635&lt;0,"Vencido","No vencido")))</f>
        <v>Pagado</v>
      </c>
      <c r="M635" s="36">
        <f>SUMIFS(Tabla_Pagos[IMPORTE ABONADO],Tabla_Pagos[FECHA DE ABONO],"&gt;0",Tabla_Pagos[NRO DOC],B635)</f>
        <v>464100</v>
      </c>
      <c r="N635" s="36">
        <f t="shared" ref="N635:N641" si="79">F635-M635</f>
        <v>0</v>
      </c>
      <c r="O635" s="22" cm="1">
        <f t="array" ref="O635">MAX(IF((Tabla_Pagos[NRO DOC]=B635)*(Tabla_Pagos[IMPORTE ABONADO]&gt;0),Tabla_Pagos[FECHA DE ABONO]))</f>
        <v>45947</v>
      </c>
    </row>
    <row r="636" spans="2:15" ht="21" customHeight="1" x14ac:dyDescent="0.25">
      <c r="B636" s="39">
        <v>1545</v>
      </c>
      <c r="C636" s="20">
        <v>45950</v>
      </c>
      <c r="D636" s="40" t="s">
        <v>37</v>
      </c>
      <c r="E636" s="37" t="str">
        <f>IFERROR(VLOOKUP(D636,CLIENTES!$B$12:$G$2602,2,FALSE),"")</f>
        <v>AILUV SPA</v>
      </c>
      <c r="F636" s="31">
        <v>77350</v>
      </c>
      <c r="G636" s="41" t="s">
        <v>101</v>
      </c>
      <c r="H636" s="26">
        <v>0</v>
      </c>
      <c r="I636" s="21" t="str">
        <f t="shared" si="75"/>
        <v>Contado</v>
      </c>
      <c r="J636" s="22">
        <f t="shared" si="76"/>
        <v>45950</v>
      </c>
      <c r="K636" s="27">
        <f t="shared" ca="1" si="77"/>
        <v>0</v>
      </c>
      <c r="L636" s="23" t="str">
        <f t="shared" si="78"/>
        <v>Pagado</v>
      </c>
      <c r="M636" s="36">
        <f>SUMIFS(Tabla_Pagos[IMPORTE ABONADO],Tabla_Pagos[FECHA DE ABONO],"&gt;0",Tabla_Pagos[NRO DOC],B636)</f>
        <v>77350</v>
      </c>
      <c r="N636" s="36">
        <f t="shared" si="79"/>
        <v>0</v>
      </c>
      <c r="O636" s="22" cm="1">
        <f t="array" ref="O636">MAX(IF((Tabla_Pagos[NRO DOC]=B636)*(Tabla_Pagos[IMPORTE ABONADO]&gt;0),Tabla_Pagos[FECHA DE ABONO]))</f>
        <v>45950</v>
      </c>
    </row>
    <row r="637" spans="2:15" ht="21" customHeight="1" x14ac:dyDescent="0.25">
      <c r="B637" s="39">
        <v>1546</v>
      </c>
      <c r="C637" s="20">
        <v>45950</v>
      </c>
      <c r="D637" s="40" t="s">
        <v>534</v>
      </c>
      <c r="E637" s="37" t="str">
        <f>IFERROR(VLOOKUP(D637,CLIENTES!$B$12:$G$2602,2,FALSE),"")</f>
        <v>SERVICIOS INTEGRALES CACCIUTTOLO LIMITADA</v>
      </c>
      <c r="F637" s="31">
        <v>23800</v>
      </c>
      <c r="G637" s="41" t="s">
        <v>101</v>
      </c>
      <c r="H637" s="26">
        <v>0</v>
      </c>
      <c r="I637" s="21" t="str">
        <f t="shared" si="75"/>
        <v>Contado</v>
      </c>
      <c r="J637" s="22">
        <f t="shared" si="76"/>
        <v>45950</v>
      </c>
      <c r="K637" s="27">
        <f t="shared" ca="1" si="77"/>
        <v>0</v>
      </c>
      <c r="L637" s="23" t="str">
        <f t="shared" si="78"/>
        <v>Pagado</v>
      </c>
      <c r="M637" s="36">
        <f>SUMIFS(Tabla_Pagos[IMPORTE ABONADO],Tabla_Pagos[FECHA DE ABONO],"&gt;0",Tabla_Pagos[NRO DOC],B637)</f>
        <v>23800</v>
      </c>
      <c r="N637" s="36">
        <f t="shared" si="79"/>
        <v>0</v>
      </c>
      <c r="O637" s="22" cm="1">
        <f t="array" ref="O637">MAX(IF((Tabla_Pagos[NRO DOC]=B637)*(Tabla_Pagos[IMPORTE ABONADO]&gt;0),Tabla_Pagos[FECHA DE ABONO]))</f>
        <v>45950</v>
      </c>
    </row>
    <row r="638" spans="2:15" ht="21" customHeight="1" x14ac:dyDescent="0.25">
      <c r="B638" s="39">
        <v>1547</v>
      </c>
      <c r="C638" s="20">
        <v>45950</v>
      </c>
      <c r="D638" s="40" t="s">
        <v>446</v>
      </c>
      <c r="E638" s="37" t="str">
        <f>IFERROR(VLOOKUP(D638,CLIENTES!$B$12:$G$2602,2,FALSE),"")</f>
        <v>VITAPRO LIMPIEZA SPA</v>
      </c>
      <c r="F638" s="31">
        <v>21420</v>
      </c>
      <c r="G638" s="41" t="s">
        <v>101</v>
      </c>
      <c r="H638" s="26">
        <v>0</v>
      </c>
      <c r="I638" s="21" t="str">
        <f t="shared" si="75"/>
        <v>Contado</v>
      </c>
      <c r="J638" s="22">
        <f t="shared" si="76"/>
        <v>45950</v>
      </c>
      <c r="K638" s="27">
        <f t="shared" ca="1" si="77"/>
        <v>0</v>
      </c>
      <c r="L638" s="23" t="str">
        <f t="shared" si="78"/>
        <v>Pagado</v>
      </c>
      <c r="M638" s="36">
        <f>SUMIFS(Tabla_Pagos[IMPORTE ABONADO],Tabla_Pagos[FECHA DE ABONO],"&gt;0",Tabla_Pagos[NRO DOC],B638)</f>
        <v>21420</v>
      </c>
      <c r="N638" s="36">
        <f t="shared" si="79"/>
        <v>0</v>
      </c>
      <c r="O638" s="22" cm="1">
        <f t="array" ref="O638">MAX(IF((Tabla_Pagos[NRO DOC]=B638)*(Tabla_Pagos[IMPORTE ABONADO]&gt;0),Tabla_Pagos[FECHA DE ABONO]))</f>
        <v>45950</v>
      </c>
    </row>
    <row r="639" spans="2:15" ht="21" customHeight="1" x14ac:dyDescent="0.25">
      <c r="B639" s="39">
        <v>1548</v>
      </c>
      <c r="C639" s="20">
        <v>45951</v>
      </c>
      <c r="D639" s="40" t="s">
        <v>36</v>
      </c>
      <c r="E639" s="37" t="str">
        <f>IFERROR(VLOOKUP(D639,CLIENTES!$B$12:$G$2602,2,FALSE),"")</f>
        <v>LC GROUP INTERNATIONAL SPA</v>
      </c>
      <c r="F639" s="31">
        <v>321300</v>
      </c>
      <c r="G639" s="41" t="s">
        <v>101</v>
      </c>
      <c r="H639" s="26">
        <v>30</v>
      </c>
      <c r="I639" s="21" t="str">
        <f t="shared" si="75"/>
        <v>Crédito</v>
      </c>
      <c r="J639" s="22">
        <f t="shared" si="76"/>
        <v>45981</v>
      </c>
      <c r="K639" s="27">
        <f t="shared" ca="1" si="77"/>
        <v>0</v>
      </c>
      <c r="L639" s="23" t="str">
        <f t="shared" si="78"/>
        <v>Pagado</v>
      </c>
      <c r="M639" s="36">
        <f>SUMIFS(Tabla_Pagos[IMPORTE ABONADO],Tabla_Pagos[FECHA DE ABONO],"&gt;0",Tabla_Pagos[NRO DOC],B639)</f>
        <v>321300</v>
      </c>
      <c r="N639" s="36">
        <f t="shared" si="79"/>
        <v>0</v>
      </c>
      <c r="O639" s="22" cm="1">
        <f t="array" ref="O639">MAX(IF((Tabla_Pagos[NRO DOC]=B639)*(Tabla_Pagos[IMPORTE ABONADO]&gt;0),Tabla_Pagos[FECHA DE ABONO]))</f>
        <v>45953</v>
      </c>
    </row>
    <row r="640" spans="2:15" ht="21" customHeight="1" x14ac:dyDescent="0.25">
      <c r="B640" s="39">
        <v>1549</v>
      </c>
      <c r="C640" s="20">
        <v>45952</v>
      </c>
      <c r="D640" s="40" t="s">
        <v>432</v>
      </c>
      <c r="E640" s="37" t="str">
        <f>IFERROR(VLOOKUP(D640,CLIENTES!$B$12:$G$2602,2,FALSE),"")</f>
        <v>ETYCA PROFESIONALES CAPACITACION LIMITADA</v>
      </c>
      <c r="F640" s="31">
        <v>380800</v>
      </c>
      <c r="G640" s="41" t="s">
        <v>101</v>
      </c>
      <c r="H640" s="26">
        <v>30</v>
      </c>
      <c r="I640" s="21" t="str">
        <f t="shared" si="75"/>
        <v>Crédito</v>
      </c>
      <c r="J640" s="22">
        <f t="shared" si="76"/>
        <v>45982</v>
      </c>
      <c r="K640" s="27">
        <f t="shared" ca="1" si="77"/>
        <v>0</v>
      </c>
      <c r="L640" s="23" t="str">
        <f t="shared" si="78"/>
        <v>Pagado</v>
      </c>
      <c r="M640" s="36">
        <f>SUMIFS(Tabla_Pagos[IMPORTE ABONADO],Tabla_Pagos[FECHA DE ABONO],"&gt;0",Tabla_Pagos[NRO DOC],B640)</f>
        <v>380800</v>
      </c>
      <c r="N640" s="36">
        <f t="shared" si="79"/>
        <v>0</v>
      </c>
      <c r="O640" s="22" cm="1">
        <f t="array" ref="O640">MAX(IF((Tabla_Pagos[NRO DOC]=B640)*(Tabla_Pagos[IMPORTE ABONADO]&gt;0),Tabla_Pagos[FECHA DE ABONO]))</f>
        <v>45954</v>
      </c>
    </row>
    <row r="641" spans="2:15" ht="21" customHeight="1" x14ac:dyDescent="0.25">
      <c r="B641" s="39">
        <v>1550</v>
      </c>
      <c r="C641" s="20">
        <v>45954</v>
      </c>
      <c r="D641" s="40" t="s">
        <v>102</v>
      </c>
      <c r="E641" s="37" t="str">
        <f>IFERROR(VLOOKUP(D641,CLIENTES!$B$12:$G$2602,2,FALSE),"")</f>
        <v>CONSTRUCTORA CARLOS ALBERTO ANDRES ALBISTUR REYES E.I.R.L.</v>
      </c>
      <c r="F641" s="31">
        <v>314874</v>
      </c>
      <c r="G641" s="41" t="s">
        <v>101</v>
      </c>
      <c r="H641" s="26">
        <v>30</v>
      </c>
      <c r="I641" s="21" t="str">
        <f t="shared" si="75"/>
        <v>Crédito</v>
      </c>
      <c r="J641" s="22">
        <f t="shared" si="76"/>
        <v>45984</v>
      </c>
      <c r="K641" s="27">
        <f t="shared" ca="1" si="77"/>
        <v>0</v>
      </c>
      <c r="L641" s="23" t="str">
        <f t="shared" si="78"/>
        <v>Pagado</v>
      </c>
      <c r="M641" s="36">
        <f>SUMIFS(Tabla_Pagos[IMPORTE ABONADO],Tabla_Pagos[FECHA DE ABONO],"&gt;0",Tabla_Pagos[NRO DOC],B641)</f>
        <v>314874</v>
      </c>
      <c r="N641" s="36">
        <f t="shared" si="79"/>
        <v>0</v>
      </c>
      <c r="O641" s="22" cm="1">
        <f t="array" ref="O641">MAX(IF((Tabla_Pagos[NRO DOC]=B641)*(Tabla_Pagos[IMPORTE ABONADO]&gt;0),Tabla_Pagos[FECHA DE ABONO]))</f>
        <v>45982</v>
      </c>
    </row>
    <row r="642" spans="2:15" ht="21" customHeight="1" x14ac:dyDescent="0.25">
      <c r="B642" s="39">
        <v>1551</v>
      </c>
      <c r="C642" s="20">
        <v>45957</v>
      </c>
      <c r="D642" s="40" t="s">
        <v>115</v>
      </c>
      <c r="E642" s="37" t="str">
        <f>IFERROR(VLOOKUP(D642,CLIENTES!$B$12:$G$2602,2,FALSE),"")</f>
        <v>SOCIEDAD DE SERVICIOS FUNERARIOS S.A.</v>
      </c>
      <c r="F642" s="31">
        <v>226100</v>
      </c>
      <c r="G642" s="41" t="s">
        <v>101</v>
      </c>
      <c r="H642" s="26">
        <v>30</v>
      </c>
      <c r="I642" s="21" t="str">
        <f t="shared" ref="I642:I648" si="80">IF(H642="","",IF(H642=0,"Contado","Crédito"))</f>
        <v>Crédito</v>
      </c>
      <c r="J642" s="22">
        <f t="shared" ref="J642:J648" si="81">IF(I642="","",C642+H642)</f>
        <v>45987</v>
      </c>
      <c r="K642" s="27">
        <f t="shared" ref="K642:K648" ca="1" si="82">IFERROR(IF(B642="","",IF(N642=0,0,J642-TODAY())),"")</f>
        <v>0</v>
      </c>
      <c r="L642" s="23" t="str">
        <f t="shared" ref="L642:L648" si="83">IF(I642="","",IF(N642=0,"Pagado",IF(K642&lt;0,"Vencido","No vencido")))</f>
        <v>Pagado</v>
      </c>
      <c r="M642" s="36">
        <f>SUMIFS(Tabla_Pagos[IMPORTE ABONADO],Tabla_Pagos[FECHA DE ABONO],"&gt;0",Tabla_Pagos[NRO DOC],B642)</f>
        <v>226100</v>
      </c>
      <c r="N642" s="36">
        <f t="shared" ref="N642:N648" si="84">F642-M642</f>
        <v>0</v>
      </c>
      <c r="O642" s="22" cm="1">
        <f t="array" ref="O642">MAX(IF((Tabla_Pagos[NRO DOC]=B642)*(Tabla_Pagos[IMPORTE ABONADO]&gt;0),Tabla_Pagos[FECHA DE ABONO]))</f>
        <v>45979</v>
      </c>
    </row>
    <row r="643" spans="2:15" ht="21" customHeight="1" x14ac:dyDescent="0.25">
      <c r="B643" s="39">
        <v>1552</v>
      </c>
      <c r="C643" s="20">
        <v>45957</v>
      </c>
      <c r="D643" s="40" t="s">
        <v>536</v>
      </c>
      <c r="E643" s="37" t="str">
        <f>IFERROR(VLOOKUP(D643,CLIENTES!$B$12:$G$2602,2,FALSE),"")</f>
        <v>ALTOS GLACIARES SPA</v>
      </c>
      <c r="F643" s="31">
        <v>586670</v>
      </c>
      <c r="G643" s="41" t="s">
        <v>101</v>
      </c>
      <c r="H643" s="26">
        <v>30</v>
      </c>
      <c r="I643" s="21" t="str">
        <f t="shared" si="80"/>
        <v>Crédito</v>
      </c>
      <c r="J643" s="22">
        <f t="shared" si="81"/>
        <v>45987</v>
      </c>
      <c r="K643" s="27">
        <f t="shared" ca="1" si="82"/>
        <v>0</v>
      </c>
      <c r="L643" s="23" t="str">
        <f t="shared" si="83"/>
        <v>Pagado</v>
      </c>
      <c r="M643" s="36">
        <f>SUMIFS(Tabla_Pagos[IMPORTE ABONADO],Tabla_Pagos[FECHA DE ABONO],"&gt;0",Tabla_Pagos[NRO DOC],B643)</f>
        <v>586670</v>
      </c>
      <c r="N643" s="36">
        <f t="shared" si="84"/>
        <v>0</v>
      </c>
      <c r="O643" s="22" cm="1">
        <f t="array" ref="O643">MAX(IF((Tabla_Pagos[NRO DOC]=B643)*(Tabla_Pagos[IMPORTE ABONADO]&gt;0),Tabla_Pagos[FECHA DE ABONO]))</f>
        <v>45960</v>
      </c>
    </row>
    <row r="644" spans="2:15" ht="21" customHeight="1" x14ac:dyDescent="0.25">
      <c r="B644" s="39">
        <v>1553</v>
      </c>
      <c r="C644" s="20">
        <v>45957</v>
      </c>
      <c r="D644" s="40" t="s">
        <v>537</v>
      </c>
      <c r="E644" s="37" t="str">
        <f>IFERROR(VLOOKUP(D644,CLIENTES!$B$12:$G$2602,2,FALSE),"")</f>
        <v>ATLAS COPCO CHILE SPA</v>
      </c>
      <c r="F644" s="31">
        <v>94724</v>
      </c>
      <c r="G644" s="41" t="s">
        <v>101</v>
      </c>
      <c r="H644" s="26">
        <v>0</v>
      </c>
      <c r="I644" s="21" t="str">
        <f t="shared" si="80"/>
        <v>Contado</v>
      </c>
      <c r="J644" s="22">
        <f t="shared" si="81"/>
        <v>45957</v>
      </c>
      <c r="K644" s="27">
        <f t="shared" ca="1" si="82"/>
        <v>0</v>
      </c>
      <c r="L644" s="23" t="str">
        <f t="shared" si="83"/>
        <v>Pagado</v>
      </c>
      <c r="M644" s="36">
        <f>SUMIFS(Tabla_Pagos[IMPORTE ABONADO],Tabla_Pagos[FECHA DE ABONO],"&gt;0",Tabla_Pagos[NRO DOC],B644)</f>
        <v>94724</v>
      </c>
      <c r="N644" s="36">
        <f t="shared" si="84"/>
        <v>0</v>
      </c>
      <c r="O644" s="22" cm="1">
        <f t="array" ref="O644">MAX(IF((Tabla_Pagos[NRO DOC]=B644)*(Tabla_Pagos[IMPORTE ABONADO]&gt;0),Tabla_Pagos[FECHA DE ABONO]))</f>
        <v>45957</v>
      </c>
    </row>
    <row r="645" spans="2:15" ht="21" customHeight="1" x14ac:dyDescent="0.25">
      <c r="B645" s="39">
        <v>1554</v>
      </c>
      <c r="C645" s="20">
        <v>45957</v>
      </c>
      <c r="D645" s="40" t="s">
        <v>538</v>
      </c>
      <c r="E645" s="37" t="str">
        <f>IFERROR(VLOOKUP(D645,CLIENTES!$B$12:$G$2602,2,FALSE),"")</f>
        <v>ATACAMA TECH SPA</v>
      </c>
      <c r="F645" s="31">
        <v>59500</v>
      </c>
      <c r="G645" s="41" t="s">
        <v>101</v>
      </c>
      <c r="H645" s="26">
        <v>0</v>
      </c>
      <c r="I645" s="21" t="str">
        <f t="shared" si="80"/>
        <v>Contado</v>
      </c>
      <c r="J645" s="22">
        <f t="shared" si="81"/>
        <v>45957</v>
      </c>
      <c r="K645" s="27">
        <f t="shared" ca="1" si="82"/>
        <v>0</v>
      </c>
      <c r="L645" s="23" t="str">
        <f t="shared" si="83"/>
        <v>Pagado</v>
      </c>
      <c r="M645" s="36">
        <f>SUMIFS(Tabla_Pagos[IMPORTE ABONADO],Tabla_Pagos[FECHA DE ABONO],"&gt;0",Tabla_Pagos[NRO DOC],B645)</f>
        <v>59500</v>
      </c>
      <c r="N645" s="36">
        <f t="shared" si="84"/>
        <v>0</v>
      </c>
      <c r="O645" s="22" cm="1">
        <f t="array" ref="O645">MAX(IF((Tabla_Pagos[NRO DOC]=B645)*(Tabla_Pagos[IMPORTE ABONADO]&gt;0),Tabla_Pagos[FECHA DE ABONO]))</f>
        <v>45957</v>
      </c>
    </row>
    <row r="646" spans="2:15" ht="21" customHeight="1" x14ac:dyDescent="0.25">
      <c r="B646" s="39">
        <v>1555</v>
      </c>
      <c r="C646" s="20">
        <v>45957</v>
      </c>
      <c r="D646" s="40" t="s">
        <v>538</v>
      </c>
      <c r="E646" s="37" t="str">
        <f>IFERROR(VLOOKUP(D646,CLIENTES!$B$12:$G$2602,2,FALSE),"")</f>
        <v>ATACAMA TECH SPA</v>
      </c>
      <c r="F646" s="31">
        <v>340502</v>
      </c>
      <c r="G646" s="41" t="s">
        <v>101</v>
      </c>
      <c r="H646" s="26">
        <v>0</v>
      </c>
      <c r="I646" s="21" t="str">
        <f t="shared" si="80"/>
        <v>Contado</v>
      </c>
      <c r="J646" s="22">
        <f t="shared" si="81"/>
        <v>45957</v>
      </c>
      <c r="K646" s="27">
        <f t="shared" ca="1" si="82"/>
        <v>0</v>
      </c>
      <c r="L646" s="23" t="str">
        <f t="shared" si="83"/>
        <v>Pagado</v>
      </c>
      <c r="M646" s="36">
        <f>SUMIFS(Tabla_Pagos[IMPORTE ABONADO],Tabla_Pagos[FECHA DE ABONO],"&gt;0",Tabla_Pagos[NRO DOC],B646)</f>
        <v>340502</v>
      </c>
      <c r="N646" s="36">
        <f t="shared" si="84"/>
        <v>0</v>
      </c>
      <c r="O646" s="22" cm="1">
        <f t="array" ref="O646">MAX(IF((Tabla_Pagos[NRO DOC]=B646)*(Tabla_Pagos[IMPORTE ABONADO]&gt;0),Tabla_Pagos[FECHA DE ABONO]))</f>
        <v>45957</v>
      </c>
    </row>
    <row r="647" spans="2:15" ht="21" customHeight="1" x14ac:dyDescent="0.25">
      <c r="B647" s="39">
        <v>1556</v>
      </c>
      <c r="C647" s="20">
        <v>45958</v>
      </c>
      <c r="D647" s="40" t="s">
        <v>470</v>
      </c>
      <c r="E647" s="37" t="str">
        <f>IFERROR(VLOOKUP(D647,CLIENTES!$B$12:$G$2602,2,FALSE),"")</f>
        <v>INVERSIONES SAFUMAR LIMITADA</v>
      </c>
      <c r="F647" s="31">
        <v>370804</v>
      </c>
      <c r="G647" s="41" t="s">
        <v>101</v>
      </c>
      <c r="H647" s="26">
        <v>30</v>
      </c>
      <c r="I647" s="21" t="str">
        <f t="shared" si="80"/>
        <v>Crédito</v>
      </c>
      <c r="J647" s="22">
        <f t="shared" si="81"/>
        <v>45988</v>
      </c>
      <c r="K647" s="27">
        <f t="shared" ca="1" si="82"/>
        <v>0</v>
      </c>
      <c r="L647" s="23" t="str">
        <f t="shared" si="83"/>
        <v>Pagado</v>
      </c>
      <c r="M647" s="36">
        <f>SUMIFS(Tabla_Pagos[IMPORTE ABONADO],Tabla_Pagos[FECHA DE ABONO],"&gt;0",Tabla_Pagos[NRO DOC],B647)</f>
        <v>370804</v>
      </c>
      <c r="N647" s="36">
        <f t="shared" si="84"/>
        <v>0</v>
      </c>
      <c r="O647" s="22" cm="1">
        <f t="array" ref="O647">MAX(IF((Tabla_Pagos[NRO DOC]=B647)*(Tabla_Pagos[IMPORTE ABONADO]&gt;0),Tabla_Pagos[FECHA DE ABONO]))</f>
        <v>46043</v>
      </c>
    </row>
    <row r="648" spans="2:15" ht="21" customHeight="1" x14ac:dyDescent="0.25">
      <c r="B648" s="39">
        <v>1557</v>
      </c>
      <c r="C648" s="20">
        <v>45958</v>
      </c>
      <c r="D648" s="40" t="s">
        <v>56</v>
      </c>
      <c r="E648" s="37" t="str">
        <f>IFERROR(VLOOKUP(D648,CLIENTES!$B$12:$G$2602,2,FALSE),"")</f>
        <v>JACINTO PRUDENCIO QUISPE GERONIMO</v>
      </c>
      <c r="F648" s="31">
        <v>101150</v>
      </c>
      <c r="G648" s="41" t="s">
        <v>101</v>
      </c>
      <c r="H648" s="26">
        <v>0</v>
      </c>
      <c r="I648" s="21" t="str">
        <f t="shared" si="80"/>
        <v>Contado</v>
      </c>
      <c r="J648" s="22">
        <f t="shared" si="81"/>
        <v>45958</v>
      </c>
      <c r="K648" s="27">
        <f t="shared" ca="1" si="82"/>
        <v>0</v>
      </c>
      <c r="L648" s="23" t="str">
        <f t="shared" si="83"/>
        <v>Pagado</v>
      </c>
      <c r="M648" s="36">
        <f>SUMIFS(Tabla_Pagos[IMPORTE ABONADO],Tabla_Pagos[FECHA DE ABONO],"&gt;0",Tabla_Pagos[NRO DOC],B648)</f>
        <v>101150</v>
      </c>
      <c r="N648" s="36">
        <f t="shared" si="84"/>
        <v>0</v>
      </c>
      <c r="O648" s="22" cm="1">
        <f t="array" ref="O648">MAX(IF((Tabla_Pagos[NRO DOC]=B648)*(Tabla_Pagos[IMPORTE ABONADO]&gt;0),Tabla_Pagos[FECHA DE ABONO]))</f>
        <v>45958</v>
      </c>
    </row>
    <row r="649" spans="2:15" ht="21" customHeight="1" x14ac:dyDescent="0.25">
      <c r="B649" s="39">
        <v>1558</v>
      </c>
      <c r="C649" s="20">
        <v>45960</v>
      </c>
      <c r="D649" s="40" t="s">
        <v>561</v>
      </c>
      <c r="E649" s="37" t="str">
        <f>IFERROR(VLOOKUP(D649,CLIENTES!$B$12:$G$2602,2,FALSE),"")</f>
        <v>EDWIN HERMAN HOLVOET TAPIA</v>
      </c>
      <c r="F649" s="31">
        <v>505750</v>
      </c>
      <c r="G649" s="41" t="s">
        <v>101</v>
      </c>
      <c r="H649" s="26">
        <v>30</v>
      </c>
      <c r="I649" s="21" t="str">
        <f t="shared" ref="I649:I654" si="85">IF(H649="","",IF(H649=0,"Contado","Crédito"))</f>
        <v>Crédito</v>
      </c>
      <c r="J649" s="22">
        <f t="shared" ref="J649:J654" si="86">IF(I649="","",C649+H649)</f>
        <v>45990</v>
      </c>
      <c r="K649" s="27">
        <f t="shared" ref="K649:K654" ca="1" si="87">IFERROR(IF(B649="","",IF(N649=0,0,J649-TODAY())),"")</f>
        <v>0</v>
      </c>
      <c r="L649" s="23" t="str">
        <f t="shared" ref="L649:L654" si="88">IF(I649="","",IF(N649=0,"Pagado",IF(K649&lt;0,"Vencido","No vencido")))</f>
        <v>Pagado</v>
      </c>
      <c r="M649" s="36">
        <f>SUMIFS(Tabla_Pagos[IMPORTE ABONADO],Tabla_Pagos[FECHA DE ABONO],"&gt;0",Tabla_Pagos[NRO DOC],B649)</f>
        <v>505750</v>
      </c>
      <c r="N649" s="36">
        <f t="shared" ref="N649:N654" si="89">F649-M649</f>
        <v>0</v>
      </c>
      <c r="O649" s="22" cm="1">
        <f t="array" ref="O649">MAX(IF((Tabla_Pagos[NRO DOC]=B649)*(Tabla_Pagos[IMPORTE ABONADO]&gt;0),Tabla_Pagos[FECHA DE ABONO]))</f>
        <v>45994</v>
      </c>
    </row>
    <row r="650" spans="2:15" ht="21" customHeight="1" x14ac:dyDescent="0.25">
      <c r="B650" s="39">
        <v>1559</v>
      </c>
      <c r="C650" s="20">
        <v>45960</v>
      </c>
      <c r="D650" s="40" t="s">
        <v>63</v>
      </c>
      <c r="E650" s="37" t="str">
        <f>IFERROR(VLOOKUP(D650,CLIENTES!$B$12:$G$2602,2,FALSE),"")</f>
        <v>MULTISERVICIOS SANABRIA SPA</v>
      </c>
      <c r="F650" s="31">
        <v>94962</v>
      </c>
      <c r="G650" s="41" t="s">
        <v>101</v>
      </c>
      <c r="H650" s="26">
        <v>0</v>
      </c>
      <c r="I650" s="21" t="str">
        <f t="shared" si="85"/>
        <v>Contado</v>
      </c>
      <c r="J650" s="22">
        <f t="shared" si="86"/>
        <v>45960</v>
      </c>
      <c r="K650" s="27">
        <f t="shared" ca="1" si="87"/>
        <v>0</v>
      </c>
      <c r="L650" s="23" t="str">
        <f t="shared" si="88"/>
        <v>Pagado</v>
      </c>
      <c r="M650" s="36">
        <f>SUMIFS(Tabla_Pagos[IMPORTE ABONADO],Tabla_Pagos[FECHA DE ABONO],"&gt;0",Tabla_Pagos[NRO DOC],B650)</f>
        <v>94962</v>
      </c>
      <c r="N650" s="36">
        <f t="shared" si="89"/>
        <v>0</v>
      </c>
      <c r="O650" s="22" cm="1">
        <f t="array" ref="O650">MAX(IF((Tabla_Pagos[NRO DOC]=B650)*(Tabla_Pagos[IMPORTE ABONADO]&gt;0),Tabla_Pagos[FECHA DE ABONO]))</f>
        <v>45960</v>
      </c>
    </row>
    <row r="651" spans="2:15" ht="21" customHeight="1" x14ac:dyDescent="0.25">
      <c r="B651" s="39">
        <v>1560</v>
      </c>
      <c r="C651" s="20">
        <v>45960</v>
      </c>
      <c r="D651" s="40" t="s">
        <v>36</v>
      </c>
      <c r="E651" s="37" t="str">
        <f>IFERROR(VLOOKUP(D651,CLIENTES!$B$12:$G$2602,2,FALSE),"")</f>
        <v>LC GROUP INTERNATIONAL SPA</v>
      </c>
      <c r="F651" s="31">
        <v>226100</v>
      </c>
      <c r="G651" s="41" t="s">
        <v>101</v>
      </c>
      <c r="H651" s="26">
        <v>30</v>
      </c>
      <c r="I651" s="21" t="str">
        <f t="shared" si="85"/>
        <v>Crédito</v>
      </c>
      <c r="J651" s="22">
        <f t="shared" si="86"/>
        <v>45990</v>
      </c>
      <c r="K651" s="27">
        <f t="shared" ca="1" si="87"/>
        <v>0</v>
      </c>
      <c r="L651" s="23" t="str">
        <f t="shared" si="88"/>
        <v>Pagado</v>
      </c>
      <c r="M651" s="36">
        <f>SUMIFS(Tabla_Pagos[IMPORTE ABONADO],Tabla_Pagos[FECHA DE ABONO],"&gt;0",Tabla_Pagos[NRO DOC],B651)</f>
        <v>226100</v>
      </c>
      <c r="N651" s="36">
        <f t="shared" si="89"/>
        <v>0</v>
      </c>
      <c r="O651" s="22" cm="1">
        <f t="array" ref="O651">MAX(IF((Tabla_Pagos[NRO DOC]=B651)*(Tabla_Pagos[IMPORTE ABONADO]&gt;0),Tabla_Pagos[FECHA DE ABONO]))</f>
        <v>45997</v>
      </c>
    </row>
    <row r="652" spans="2:15" ht="21" customHeight="1" x14ac:dyDescent="0.25">
      <c r="B652" s="39">
        <v>1561</v>
      </c>
      <c r="C652" s="20">
        <v>45960</v>
      </c>
      <c r="D652" s="40" t="s">
        <v>309</v>
      </c>
      <c r="E652" s="37" t="str">
        <f>IFERROR(VLOOKUP(D652,CLIENTES!$B$12:$G$2602,2,FALSE),"")</f>
        <v>PATRICIO ORLANDO OSORIO RIVERA</v>
      </c>
      <c r="F652" s="31">
        <v>380000</v>
      </c>
      <c r="G652" s="41" t="s">
        <v>101</v>
      </c>
      <c r="H652" s="26">
        <v>0</v>
      </c>
      <c r="I652" s="21" t="str">
        <f t="shared" si="85"/>
        <v>Contado</v>
      </c>
      <c r="J652" s="22">
        <f t="shared" si="86"/>
        <v>45960</v>
      </c>
      <c r="K652" s="27">
        <f t="shared" ca="1" si="87"/>
        <v>0</v>
      </c>
      <c r="L652" s="23" t="str">
        <f t="shared" si="88"/>
        <v>Pagado</v>
      </c>
      <c r="M652" s="36">
        <f>SUMIFS(Tabla_Pagos[IMPORTE ABONADO],Tabla_Pagos[FECHA DE ABONO],"&gt;0",Tabla_Pagos[NRO DOC],B652)</f>
        <v>380000</v>
      </c>
      <c r="N652" s="36">
        <f t="shared" si="89"/>
        <v>0</v>
      </c>
      <c r="O652" s="22" cm="1">
        <f t="array" ref="O652">MAX(IF((Tabla_Pagos[NRO DOC]=B652)*(Tabla_Pagos[IMPORTE ABONADO]&gt;0),Tabla_Pagos[FECHA DE ABONO]))</f>
        <v>45960</v>
      </c>
    </row>
    <row r="653" spans="2:15" ht="21" customHeight="1" x14ac:dyDescent="0.25">
      <c r="B653" s="39">
        <v>1562</v>
      </c>
      <c r="C653" s="20">
        <v>45961</v>
      </c>
      <c r="D653" s="40" t="s">
        <v>470</v>
      </c>
      <c r="E653" s="37" t="str">
        <f>IFERROR(VLOOKUP(D653,CLIENTES!$B$12:$G$2602,2,FALSE),"")</f>
        <v>INVERSIONES SAFUMAR LIMITADA</v>
      </c>
      <c r="F653" s="31">
        <v>396746</v>
      </c>
      <c r="G653" s="41" t="s">
        <v>101</v>
      </c>
      <c r="H653" s="26">
        <v>30</v>
      </c>
      <c r="I653" s="21" t="str">
        <f t="shared" si="85"/>
        <v>Crédito</v>
      </c>
      <c r="J653" s="22">
        <f t="shared" si="86"/>
        <v>45991</v>
      </c>
      <c r="K653" s="27">
        <f t="shared" ca="1" si="87"/>
        <v>0</v>
      </c>
      <c r="L653" s="23" t="str">
        <f t="shared" si="88"/>
        <v>Pagado</v>
      </c>
      <c r="M653" s="36">
        <f>SUMIFS(Tabla_Pagos[IMPORTE ABONADO],Tabla_Pagos[FECHA DE ABONO],"&gt;0",Tabla_Pagos[NRO DOC],B653)</f>
        <v>396746</v>
      </c>
      <c r="N653" s="36">
        <f t="shared" si="89"/>
        <v>0</v>
      </c>
      <c r="O653" s="22" cm="1">
        <f t="array" ref="O653">MAX(IF((Tabla_Pagos[NRO DOC]=B653)*(Tabla_Pagos[IMPORTE ABONADO]&gt;0),Tabla_Pagos[FECHA DE ABONO]))</f>
        <v>46043</v>
      </c>
    </row>
    <row r="654" spans="2:15" ht="21" customHeight="1" x14ac:dyDescent="0.25">
      <c r="B654" s="39">
        <v>1563</v>
      </c>
      <c r="C654" s="20">
        <v>45964</v>
      </c>
      <c r="D654" s="40" t="s">
        <v>307</v>
      </c>
      <c r="E654" s="37" t="s">
        <v>563</v>
      </c>
      <c r="F654" s="31">
        <v>100000</v>
      </c>
      <c r="G654" s="41" t="s">
        <v>101</v>
      </c>
      <c r="H654" s="26">
        <v>0</v>
      </c>
      <c r="I654" s="21" t="str">
        <f t="shared" si="85"/>
        <v>Contado</v>
      </c>
      <c r="J654" s="22">
        <f t="shared" si="86"/>
        <v>45964</v>
      </c>
      <c r="K654" s="27">
        <f t="shared" ca="1" si="87"/>
        <v>0</v>
      </c>
      <c r="L654" s="23" t="str">
        <f t="shared" si="88"/>
        <v>Pagado</v>
      </c>
      <c r="M654" s="36">
        <f>SUMIFS(Tabla_Pagos[IMPORTE ABONADO],Tabla_Pagos[FECHA DE ABONO],"&gt;0",Tabla_Pagos[NRO DOC],B654)</f>
        <v>100000</v>
      </c>
      <c r="N654" s="36">
        <f t="shared" si="89"/>
        <v>0</v>
      </c>
      <c r="O654" s="22" cm="1">
        <f t="array" ref="O654">MAX(IF((Tabla_Pagos[NRO DOC]=B654)*(Tabla_Pagos[IMPORTE ABONADO]&gt;0),Tabla_Pagos[FECHA DE ABONO]))</f>
        <v>45964</v>
      </c>
    </row>
    <row r="655" spans="2:15" ht="21" customHeight="1" x14ac:dyDescent="0.25">
      <c r="B655" s="39">
        <v>1564</v>
      </c>
      <c r="C655" s="20">
        <v>45964</v>
      </c>
      <c r="D655" s="40" t="s">
        <v>564</v>
      </c>
      <c r="E655" s="37" t="s">
        <v>565</v>
      </c>
      <c r="F655" s="31">
        <v>176120</v>
      </c>
      <c r="G655" s="41" t="s">
        <v>101</v>
      </c>
      <c r="H655" s="26">
        <v>0</v>
      </c>
      <c r="I655" s="21" t="str">
        <f t="shared" ref="I655:I678" si="90">IF(H655="","",IF(H655=0,"Contado","Crédito"))</f>
        <v>Contado</v>
      </c>
      <c r="J655" s="22">
        <f t="shared" ref="J655:J678" si="91">IF(I655="","",C655+H655)</f>
        <v>45964</v>
      </c>
      <c r="K655" s="27">
        <f t="shared" ref="K655:K678" ca="1" si="92">IFERROR(IF(B655="","",IF(N655=0,0,J655-TODAY())),"")</f>
        <v>0</v>
      </c>
      <c r="L655" s="23" t="str">
        <f t="shared" ref="L655:L678" si="93">IF(I655="","",IF(N655=0,"Pagado",IF(K655&lt;0,"Vencido","No vencido")))</f>
        <v>Pagado</v>
      </c>
      <c r="M655" s="36">
        <f>SUMIFS(Tabla_Pagos[IMPORTE ABONADO],Tabla_Pagos[FECHA DE ABONO],"&gt;0",Tabla_Pagos[NRO DOC],B655)</f>
        <v>176120</v>
      </c>
      <c r="N655" s="36">
        <f t="shared" ref="N655:N678" si="94">F655-M655</f>
        <v>0</v>
      </c>
      <c r="O655" s="22" cm="1">
        <f t="array" ref="O655">MAX(IF((Tabla_Pagos[NRO DOC]=B655)*(Tabla_Pagos[IMPORTE ABONADO]&gt;0),Tabla_Pagos[FECHA DE ABONO]))</f>
        <v>45964</v>
      </c>
    </row>
    <row r="656" spans="2:15" ht="21" customHeight="1" x14ac:dyDescent="0.25">
      <c r="B656" s="39">
        <v>1565</v>
      </c>
      <c r="C656" s="20">
        <v>45964</v>
      </c>
      <c r="D656" s="40" t="s">
        <v>566</v>
      </c>
      <c r="E656" s="37" t="s">
        <v>567</v>
      </c>
      <c r="F656" s="31">
        <v>368900</v>
      </c>
      <c r="G656" s="41" t="s">
        <v>101</v>
      </c>
      <c r="H656" s="26">
        <v>0</v>
      </c>
      <c r="I656" s="21" t="str">
        <f t="shared" si="90"/>
        <v>Contado</v>
      </c>
      <c r="J656" s="22">
        <f t="shared" si="91"/>
        <v>45964</v>
      </c>
      <c r="K656" s="27">
        <f t="shared" ca="1" si="92"/>
        <v>0</v>
      </c>
      <c r="L656" s="23" t="str">
        <f t="shared" si="93"/>
        <v>Pagado</v>
      </c>
      <c r="M656" s="36">
        <f>SUMIFS(Tabla_Pagos[IMPORTE ABONADO],Tabla_Pagos[FECHA DE ABONO],"&gt;0",Tabla_Pagos[NRO DOC],B656)</f>
        <v>368900</v>
      </c>
      <c r="N656" s="36">
        <f t="shared" si="94"/>
        <v>0</v>
      </c>
      <c r="O656" s="22" cm="1">
        <f t="array" ref="O656">MAX(IF((Tabla_Pagos[NRO DOC]=B656)*(Tabla_Pagos[IMPORTE ABONADO]&gt;0),Tabla_Pagos[FECHA DE ABONO]))</f>
        <v>45964</v>
      </c>
    </row>
    <row r="657" spans="2:15" ht="21" customHeight="1" x14ac:dyDescent="0.25">
      <c r="B657" s="39">
        <v>1566</v>
      </c>
      <c r="C657" s="20">
        <v>45964</v>
      </c>
      <c r="D657" s="40" t="s">
        <v>32</v>
      </c>
      <c r="E657" s="37" t="s">
        <v>67</v>
      </c>
      <c r="F657" s="31">
        <v>119000</v>
      </c>
      <c r="G657" s="41" t="s">
        <v>101</v>
      </c>
      <c r="H657" s="26">
        <v>30</v>
      </c>
      <c r="I657" s="21" t="str">
        <f t="shared" si="90"/>
        <v>Crédito</v>
      </c>
      <c r="J657" s="22">
        <f t="shared" si="91"/>
        <v>45994</v>
      </c>
      <c r="K657" s="27">
        <f t="shared" ca="1" si="92"/>
        <v>0</v>
      </c>
      <c r="L657" s="23" t="str">
        <f t="shared" si="93"/>
        <v>Pagado</v>
      </c>
      <c r="M657" s="36">
        <f>SUMIFS(Tabla_Pagos[IMPORTE ABONADO],Tabla_Pagos[FECHA DE ABONO],"&gt;0",Tabla_Pagos[NRO DOC],B657)</f>
        <v>119000</v>
      </c>
      <c r="N657" s="36">
        <f t="shared" si="94"/>
        <v>0</v>
      </c>
      <c r="O657" s="22" cm="1">
        <f t="array" ref="O657">MAX(IF((Tabla_Pagos[NRO DOC]=B657)*(Tabla_Pagos[IMPORTE ABONADO]&gt;0),Tabla_Pagos[FECHA DE ABONO]))</f>
        <v>45993</v>
      </c>
    </row>
    <row r="658" spans="2:15" ht="21" customHeight="1" x14ac:dyDescent="0.25">
      <c r="B658" s="39">
        <v>1567</v>
      </c>
      <c r="C658" s="20">
        <v>45965</v>
      </c>
      <c r="D658" s="40" t="s">
        <v>568</v>
      </c>
      <c r="E658" s="37" t="s">
        <v>569</v>
      </c>
      <c r="F658" s="31">
        <v>47600</v>
      </c>
      <c r="G658" s="41" t="s">
        <v>101</v>
      </c>
      <c r="H658" s="26">
        <v>0</v>
      </c>
      <c r="I658" s="21" t="str">
        <f t="shared" si="90"/>
        <v>Contado</v>
      </c>
      <c r="J658" s="22">
        <f t="shared" si="91"/>
        <v>45965</v>
      </c>
      <c r="K658" s="27">
        <f t="shared" ca="1" si="92"/>
        <v>0</v>
      </c>
      <c r="L658" s="23" t="str">
        <f t="shared" si="93"/>
        <v>Pagado</v>
      </c>
      <c r="M658" s="36">
        <f>SUMIFS(Tabla_Pagos[IMPORTE ABONADO],Tabla_Pagos[FECHA DE ABONO],"&gt;0",Tabla_Pagos[NRO DOC],B658)</f>
        <v>47600</v>
      </c>
      <c r="N658" s="36">
        <f t="shared" si="94"/>
        <v>0</v>
      </c>
      <c r="O658" s="22" cm="1">
        <f t="array" ref="O658">MAX(IF((Tabla_Pagos[NRO DOC]=B658)*(Tabla_Pagos[IMPORTE ABONADO]&gt;0),Tabla_Pagos[FECHA DE ABONO]))</f>
        <v>45965</v>
      </c>
    </row>
    <row r="659" spans="2:15" ht="21" customHeight="1" x14ac:dyDescent="0.25">
      <c r="B659" s="39">
        <v>1568</v>
      </c>
      <c r="C659" s="20">
        <v>45965</v>
      </c>
      <c r="D659" s="40" t="s">
        <v>62</v>
      </c>
      <c r="E659" s="37" t="s">
        <v>95</v>
      </c>
      <c r="F659" s="31">
        <v>59500</v>
      </c>
      <c r="G659" s="41" t="s">
        <v>101</v>
      </c>
      <c r="H659" s="26">
        <v>30</v>
      </c>
      <c r="I659" s="21" t="str">
        <f t="shared" si="90"/>
        <v>Crédito</v>
      </c>
      <c r="J659" s="22">
        <f t="shared" si="91"/>
        <v>45995</v>
      </c>
      <c r="K659" s="27">
        <f t="shared" ca="1" si="92"/>
        <v>0</v>
      </c>
      <c r="L659" s="23" t="str">
        <f t="shared" si="93"/>
        <v>Pagado</v>
      </c>
      <c r="M659" s="36">
        <f>SUMIFS(Tabla_Pagos[IMPORTE ABONADO],Tabla_Pagos[FECHA DE ABONO],"&gt;0",Tabla_Pagos[NRO DOC],B659)</f>
        <v>59500</v>
      </c>
      <c r="N659" s="36">
        <f t="shared" si="94"/>
        <v>0</v>
      </c>
      <c r="O659" s="22" cm="1">
        <f t="array" ref="O659">MAX(IF((Tabla_Pagos[NRO DOC]=B659)*(Tabla_Pagos[IMPORTE ABONADO]&gt;0),Tabla_Pagos[FECHA DE ABONO]))</f>
        <v>45975</v>
      </c>
    </row>
    <row r="660" spans="2:15" ht="21" customHeight="1" x14ac:dyDescent="0.25">
      <c r="B660" s="39">
        <v>1569</v>
      </c>
      <c r="C660" s="20">
        <v>45958</v>
      </c>
      <c r="D660" s="40" t="s">
        <v>460</v>
      </c>
      <c r="E660" s="37" t="s">
        <v>464</v>
      </c>
      <c r="F660" s="31">
        <v>89250</v>
      </c>
      <c r="G660" s="41" t="s">
        <v>101</v>
      </c>
      <c r="H660" s="26">
        <v>0</v>
      </c>
      <c r="I660" s="21" t="str">
        <f t="shared" si="90"/>
        <v>Contado</v>
      </c>
      <c r="J660" s="22">
        <f t="shared" si="91"/>
        <v>45958</v>
      </c>
      <c r="K660" s="27">
        <f t="shared" ca="1" si="92"/>
        <v>0</v>
      </c>
      <c r="L660" s="23" t="str">
        <f t="shared" si="93"/>
        <v>Pagado</v>
      </c>
      <c r="M660" s="36">
        <f>SUMIFS(Tabla_Pagos[IMPORTE ABONADO],Tabla_Pagos[FECHA DE ABONO],"&gt;0",Tabla_Pagos[NRO DOC],B660)</f>
        <v>89250</v>
      </c>
      <c r="N660" s="36">
        <f t="shared" si="94"/>
        <v>0</v>
      </c>
      <c r="O660" s="22" cm="1">
        <f t="array" ref="O660">MAX(IF((Tabla_Pagos[NRO DOC]=B660)*(Tabla_Pagos[IMPORTE ABONADO]&gt;0),Tabla_Pagos[FECHA DE ABONO]))</f>
        <v>45958</v>
      </c>
    </row>
    <row r="661" spans="2:15" ht="21" customHeight="1" x14ac:dyDescent="0.25">
      <c r="B661" s="39">
        <v>1570</v>
      </c>
      <c r="C661" s="20">
        <v>45966</v>
      </c>
      <c r="D661" s="40" t="s">
        <v>568</v>
      </c>
      <c r="E661" s="37" t="s">
        <v>569</v>
      </c>
      <c r="F661" s="31">
        <v>35700</v>
      </c>
      <c r="G661" s="41" t="s">
        <v>101</v>
      </c>
      <c r="H661" s="26">
        <v>0</v>
      </c>
      <c r="I661" s="21" t="str">
        <f t="shared" si="90"/>
        <v>Contado</v>
      </c>
      <c r="J661" s="22">
        <f t="shared" si="91"/>
        <v>45966</v>
      </c>
      <c r="K661" s="27">
        <f t="shared" ca="1" si="92"/>
        <v>0</v>
      </c>
      <c r="L661" s="23" t="str">
        <f t="shared" si="93"/>
        <v>Pagado</v>
      </c>
      <c r="M661" s="36">
        <f>SUMIFS(Tabla_Pagos[IMPORTE ABONADO],Tabla_Pagos[FECHA DE ABONO],"&gt;0",Tabla_Pagos[NRO DOC],B661)</f>
        <v>35700</v>
      </c>
      <c r="N661" s="36">
        <f t="shared" si="94"/>
        <v>0</v>
      </c>
      <c r="O661" s="22" cm="1">
        <f t="array" ref="O661">MAX(IF((Tabla_Pagos[NRO DOC]=B661)*(Tabla_Pagos[IMPORTE ABONADO]&gt;0),Tabla_Pagos[FECHA DE ABONO]))</f>
        <v>45966</v>
      </c>
    </row>
    <row r="662" spans="2:15" ht="21" customHeight="1" x14ac:dyDescent="0.25">
      <c r="B662" s="39">
        <v>1571</v>
      </c>
      <c r="C662" s="20">
        <v>45966</v>
      </c>
      <c r="D662" s="40" t="s">
        <v>33</v>
      </c>
      <c r="E662" s="37" t="s">
        <v>68</v>
      </c>
      <c r="F662" s="31">
        <v>840426</v>
      </c>
      <c r="G662" s="41" t="s">
        <v>101</v>
      </c>
      <c r="H662" s="26">
        <v>0</v>
      </c>
      <c r="I662" s="21" t="str">
        <f t="shared" si="90"/>
        <v>Contado</v>
      </c>
      <c r="J662" s="22">
        <f t="shared" si="91"/>
        <v>45966</v>
      </c>
      <c r="K662" s="27">
        <f t="shared" ca="1" si="92"/>
        <v>0</v>
      </c>
      <c r="L662" s="23" t="str">
        <f t="shared" si="93"/>
        <v>Pagado</v>
      </c>
      <c r="M662" s="36">
        <f>SUMIFS(Tabla_Pagos[IMPORTE ABONADO],Tabla_Pagos[FECHA DE ABONO],"&gt;0",Tabla_Pagos[NRO DOC],B662)</f>
        <v>840426</v>
      </c>
      <c r="N662" s="36">
        <f t="shared" si="94"/>
        <v>0</v>
      </c>
      <c r="O662" s="22" cm="1">
        <f t="array" ref="O662">MAX(IF((Tabla_Pagos[NRO DOC]=B662)*(Tabla_Pagos[IMPORTE ABONADO]&gt;0),Tabla_Pagos[FECHA DE ABONO]))</f>
        <v>45966</v>
      </c>
    </row>
    <row r="663" spans="2:15" ht="21" customHeight="1" x14ac:dyDescent="0.25">
      <c r="B663" s="39">
        <v>1572</v>
      </c>
      <c r="C663" s="20">
        <v>45967</v>
      </c>
      <c r="D663" s="40" t="s">
        <v>44</v>
      </c>
      <c r="E663" s="37" t="s">
        <v>78</v>
      </c>
      <c r="F663" s="31">
        <v>83300</v>
      </c>
      <c r="G663" s="41" t="s">
        <v>101</v>
      </c>
      <c r="H663" s="26">
        <v>30</v>
      </c>
      <c r="I663" s="21" t="str">
        <f t="shared" si="90"/>
        <v>Crédito</v>
      </c>
      <c r="J663" s="22">
        <f t="shared" si="91"/>
        <v>45997</v>
      </c>
      <c r="K663" s="27">
        <f t="shared" ca="1" si="92"/>
        <v>0</v>
      </c>
      <c r="L663" s="23" t="str">
        <f t="shared" si="93"/>
        <v>Pagado</v>
      </c>
      <c r="M663" s="36">
        <f>SUMIFS(Tabla_Pagos[IMPORTE ABONADO],Tabla_Pagos[FECHA DE ABONO],"&gt;0",Tabla_Pagos[NRO DOC],B663)</f>
        <v>83300</v>
      </c>
      <c r="N663" s="36">
        <f t="shared" si="94"/>
        <v>0</v>
      </c>
      <c r="O663" s="22" cm="1">
        <f t="array" ref="O663">MAX(IF((Tabla_Pagos[NRO DOC]=B663)*(Tabla_Pagos[IMPORTE ABONADO]&gt;0),Tabla_Pagos[FECHA DE ABONO]))</f>
        <v>45982</v>
      </c>
    </row>
    <row r="664" spans="2:15" ht="21" customHeight="1" x14ac:dyDescent="0.25">
      <c r="B664" s="39">
        <v>1573</v>
      </c>
      <c r="C664" s="20">
        <v>45967</v>
      </c>
      <c r="D664" s="40" t="s">
        <v>570</v>
      </c>
      <c r="E664" s="37" t="s">
        <v>571</v>
      </c>
      <c r="F664" s="31">
        <v>65450</v>
      </c>
      <c r="G664" s="41" t="s">
        <v>101</v>
      </c>
      <c r="H664" s="26">
        <v>0</v>
      </c>
      <c r="I664" s="21" t="str">
        <f t="shared" si="90"/>
        <v>Contado</v>
      </c>
      <c r="J664" s="22">
        <f t="shared" si="91"/>
        <v>45967</v>
      </c>
      <c r="K664" s="27">
        <f t="shared" ca="1" si="92"/>
        <v>0</v>
      </c>
      <c r="L664" s="23" t="str">
        <f t="shared" si="93"/>
        <v>Pagado</v>
      </c>
      <c r="M664" s="36">
        <f>SUMIFS(Tabla_Pagos[IMPORTE ABONADO],Tabla_Pagos[FECHA DE ABONO],"&gt;0",Tabla_Pagos[NRO DOC],B664)</f>
        <v>65450</v>
      </c>
      <c r="N664" s="36">
        <f t="shared" si="94"/>
        <v>0</v>
      </c>
      <c r="O664" s="22" cm="1">
        <f t="array" ref="O664">MAX(IF((Tabla_Pagos[NRO DOC]=B664)*(Tabla_Pagos[IMPORTE ABONADO]&gt;0),Tabla_Pagos[FECHA DE ABONO]))</f>
        <v>45967</v>
      </c>
    </row>
    <row r="665" spans="2:15" ht="21" customHeight="1" x14ac:dyDescent="0.25">
      <c r="B665" s="39">
        <v>1574</v>
      </c>
      <c r="C665" s="20">
        <v>45967</v>
      </c>
      <c r="D665" s="40" t="s">
        <v>242</v>
      </c>
      <c r="E665" s="37" t="s">
        <v>294</v>
      </c>
      <c r="F665" s="31">
        <v>65450</v>
      </c>
      <c r="G665" s="41" t="s">
        <v>101</v>
      </c>
      <c r="H665" s="26">
        <v>0</v>
      </c>
      <c r="I665" s="21" t="str">
        <f t="shared" si="90"/>
        <v>Contado</v>
      </c>
      <c r="J665" s="22">
        <f t="shared" si="91"/>
        <v>45967</v>
      </c>
      <c r="K665" s="27">
        <f t="shared" ca="1" si="92"/>
        <v>0</v>
      </c>
      <c r="L665" s="23" t="str">
        <f t="shared" si="93"/>
        <v>Pagado</v>
      </c>
      <c r="M665" s="36">
        <f>SUMIFS(Tabla_Pagos[IMPORTE ABONADO],Tabla_Pagos[FECHA DE ABONO],"&gt;0",Tabla_Pagos[NRO DOC],B665)</f>
        <v>65450</v>
      </c>
      <c r="N665" s="36">
        <f t="shared" si="94"/>
        <v>0</v>
      </c>
      <c r="O665" s="22" cm="1">
        <f t="array" ref="O665">MAX(IF((Tabla_Pagos[NRO DOC]=B665)*(Tabla_Pagos[IMPORTE ABONADO]&gt;0),Tabla_Pagos[FECHA DE ABONO]))</f>
        <v>45967</v>
      </c>
    </row>
    <row r="666" spans="2:15" ht="21" customHeight="1" x14ac:dyDescent="0.25">
      <c r="B666" s="39">
        <v>1575</v>
      </c>
      <c r="C666" s="20">
        <v>45967</v>
      </c>
      <c r="D666" s="40" t="s">
        <v>250</v>
      </c>
      <c r="E666" s="37" t="s">
        <v>270</v>
      </c>
      <c r="F666" s="31">
        <v>35700</v>
      </c>
      <c r="G666" s="41" t="s">
        <v>101</v>
      </c>
      <c r="H666" s="26">
        <v>0</v>
      </c>
      <c r="I666" s="21" t="str">
        <f t="shared" si="90"/>
        <v>Contado</v>
      </c>
      <c r="J666" s="22">
        <f t="shared" si="91"/>
        <v>45967</v>
      </c>
      <c r="K666" s="27">
        <f t="shared" ca="1" si="92"/>
        <v>0</v>
      </c>
      <c r="L666" s="23" t="str">
        <f t="shared" si="93"/>
        <v>Pagado</v>
      </c>
      <c r="M666" s="36">
        <f>SUMIFS(Tabla_Pagos[IMPORTE ABONADO],Tabla_Pagos[FECHA DE ABONO],"&gt;0",Tabla_Pagos[NRO DOC],B666)</f>
        <v>35700</v>
      </c>
      <c r="N666" s="36">
        <f t="shared" si="94"/>
        <v>0</v>
      </c>
      <c r="O666" s="22" cm="1">
        <f t="array" ref="O666">MAX(IF((Tabla_Pagos[NRO DOC]=B666)*(Tabla_Pagos[IMPORTE ABONADO]&gt;0),Tabla_Pagos[FECHA DE ABONO]))</f>
        <v>45967</v>
      </c>
    </row>
    <row r="667" spans="2:15" ht="21" customHeight="1" x14ac:dyDescent="0.25">
      <c r="B667" s="39">
        <v>1576</v>
      </c>
      <c r="C667" s="20">
        <v>45967</v>
      </c>
      <c r="D667" s="40" t="s">
        <v>209</v>
      </c>
      <c r="E667" s="37" t="s">
        <v>231</v>
      </c>
      <c r="F667" s="31">
        <v>11900</v>
      </c>
      <c r="G667" s="41" t="s">
        <v>101</v>
      </c>
      <c r="H667" s="26">
        <v>0</v>
      </c>
      <c r="I667" s="21" t="str">
        <f t="shared" si="90"/>
        <v>Contado</v>
      </c>
      <c r="J667" s="22">
        <f t="shared" si="91"/>
        <v>45967</v>
      </c>
      <c r="K667" s="27">
        <f t="shared" ca="1" si="92"/>
        <v>0</v>
      </c>
      <c r="L667" s="23" t="str">
        <f t="shared" si="93"/>
        <v>Pagado</v>
      </c>
      <c r="M667" s="36">
        <f>SUMIFS(Tabla_Pagos[IMPORTE ABONADO],Tabla_Pagos[FECHA DE ABONO],"&gt;0",Tabla_Pagos[NRO DOC],B667)</f>
        <v>11900</v>
      </c>
      <c r="N667" s="36">
        <f t="shared" si="94"/>
        <v>0</v>
      </c>
      <c r="O667" s="22" cm="1">
        <f t="array" ref="O667">MAX(IF((Tabla_Pagos[NRO DOC]=B667)*(Tabla_Pagos[IMPORTE ABONADO]&gt;0),Tabla_Pagos[FECHA DE ABONO]))</f>
        <v>45967</v>
      </c>
    </row>
    <row r="668" spans="2:15" ht="21" customHeight="1" x14ac:dyDescent="0.25">
      <c r="B668" s="39">
        <v>1577</v>
      </c>
      <c r="C668" s="20">
        <v>45968</v>
      </c>
      <c r="D668" s="40" t="s">
        <v>504</v>
      </c>
      <c r="E668" s="37" t="s">
        <v>510</v>
      </c>
      <c r="F668" s="31">
        <v>57120</v>
      </c>
      <c r="G668" s="41" t="s">
        <v>101</v>
      </c>
      <c r="H668" s="26">
        <v>0</v>
      </c>
      <c r="I668" s="21" t="str">
        <f t="shared" si="90"/>
        <v>Contado</v>
      </c>
      <c r="J668" s="22">
        <f t="shared" si="91"/>
        <v>45968</v>
      </c>
      <c r="K668" s="27">
        <f t="shared" ca="1" si="92"/>
        <v>0</v>
      </c>
      <c r="L668" s="23" t="str">
        <f t="shared" si="93"/>
        <v>Pagado</v>
      </c>
      <c r="M668" s="36">
        <f>SUMIFS(Tabla_Pagos[IMPORTE ABONADO],Tabla_Pagos[FECHA DE ABONO],"&gt;0",Tabla_Pagos[NRO DOC],B668)</f>
        <v>57120</v>
      </c>
      <c r="N668" s="36">
        <f t="shared" si="94"/>
        <v>0</v>
      </c>
      <c r="O668" s="22" cm="1">
        <f t="array" ref="O668">MAX(IF((Tabla_Pagos[NRO DOC]=B668)*(Tabla_Pagos[IMPORTE ABONADO]&gt;0),Tabla_Pagos[FECHA DE ABONO]))</f>
        <v>45968</v>
      </c>
    </row>
    <row r="669" spans="2:15" ht="21" customHeight="1" x14ac:dyDescent="0.25">
      <c r="B669" s="39">
        <v>1578</v>
      </c>
      <c r="C669" s="20">
        <v>45968</v>
      </c>
      <c r="D669" s="40" t="s">
        <v>460</v>
      </c>
      <c r="E669" s="37" t="s">
        <v>464</v>
      </c>
      <c r="F669" s="31">
        <v>35700</v>
      </c>
      <c r="G669" s="41" t="s">
        <v>101</v>
      </c>
      <c r="H669" s="26">
        <v>0</v>
      </c>
      <c r="I669" s="21" t="str">
        <f t="shared" si="90"/>
        <v>Contado</v>
      </c>
      <c r="J669" s="22">
        <f t="shared" si="91"/>
        <v>45968</v>
      </c>
      <c r="K669" s="27">
        <f t="shared" ca="1" si="92"/>
        <v>0</v>
      </c>
      <c r="L669" s="23" t="str">
        <f t="shared" si="93"/>
        <v>Pagado</v>
      </c>
      <c r="M669" s="36">
        <f>SUMIFS(Tabla_Pagos[IMPORTE ABONADO],Tabla_Pagos[FECHA DE ABONO],"&gt;0",Tabla_Pagos[NRO DOC],B669)</f>
        <v>35700</v>
      </c>
      <c r="N669" s="36">
        <f t="shared" si="94"/>
        <v>0</v>
      </c>
      <c r="O669" s="22" cm="1">
        <f t="array" ref="O669">MAX(IF((Tabla_Pagos[NRO DOC]=B669)*(Tabla_Pagos[IMPORTE ABONADO]&gt;0),Tabla_Pagos[FECHA DE ABONO]))</f>
        <v>45968</v>
      </c>
    </row>
    <row r="670" spans="2:15" ht="21" customHeight="1" x14ac:dyDescent="0.25">
      <c r="B670" s="39">
        <v>1579</v>
      </c>
      <c r="C670" s="20">
        <v>45971</v>
      </c>
      <c r="D670" s="40" t="s">
        <v>538</v>
      </c>
      <c r="E670" s="37" t="s">
        <v>541</v>
      </c>
      <c r="F670" s="31">
        <v>11900</v>
      </c>
      <c r="G670" s="41" t="s">
        <v>101</v>
      </c>
      <c r="H670" s="26">
        <v>0</v>
      </c>
      <c r="I670" s="21" t="str">
        <f t="shared" si="90"/>
        <v>Contado</v>
      </c>
      <c r="J670" s="22">
        <f t="shared" si="91"/>
        <v>45971</v>
      </c>
      <c r="K670" s="27">
        <f t="shared" ca="1" si="92"/>
        <v>0</v>
      </c>
      <c r="L670" s="23" t="str">
        <f t="shared" si="93"/>
        <v>Pagado</v>
      </c>
      <c r="M670" s="36">
        <f>SUMIFS(Tabla_Pagos[IMPORTE ABONADO],Tabla_Pagos[FECHA DE ABONO],"&gt;0",Tabla_Pagos[NRO DOC],B670)</f>
        <v>11900</v>
      </c>
      <c r="N670" s="36">
        <f t="shared" si="94"/>
        <v>0</v>
      </c>
      <c r="O670" s="22" cm="1">
        <f t="array" ref="O670">MAX(IF((Tabla_Pagos[NRO DOC]=B670)*(Tabla_Pagos[IMPORTE ABONADO]&gt;0),Tabla_Pagos[FECHA DE ABONO]))</f>
        <v>45971</v>
      </c>
    </row>
    <row r="671" spans="2:15" ht="21" customHeight="1" x14ac:dyDescent="0.25">
      <c r="B671" s="39">
        <v>1580</v>
      </c>
      <c r="C671" s="20">
        <v>45971</v>
      </c>
      <c r="D671" s="40" t="s">
        <v>170</v>
      </c>
      <c r="E671" s="37" t="s">
        <v>186</v>
      </c>
      <c r="F671" s="31">
        <v>450000</v>
      </c>
      <c r="G671" s="41" t="s">
        <v>101</v>
      </c>
      <c r="H671" s="26">
        <v>0</v>
      </c>
      <c r="I671" s="21" t="str">
        <f t="shared" si="90"/>
        <v>Contado</v>
      </c>
      <c r="J671" s="22">
        <f t="shared" si="91"/>
        <v>45971</v>
      </c>
      <c r="K671" s="27">
        <f t="shared" ca="1" si="92"/>
        <v>0</v>
      </c>
      <c r="L671" s="23" t="str">
        <f t="shared" si="93"/>
        <v>Pagado</v>
      </c>
      <c r="M671" s="36">
        <f>SUMIFS(Tabla_Pagos[IMPORTE ABONADO],Tabla_Pagos[FECHA DE ABONO],"&gt;0",Tabla_Pagos[NRO DOC],B671)</f>
        <v>450000</v>
      </c>
      <c r="N671" s="36">
        <f t="shared" si="94"/>
        <v>0</v>
      </c>
      <c r="O671" s="22" cm="1">
        <f t="array" ref="O671">MAX(IF((Tabla_Pagos[NRO DOC]=B671)*(Tabla_Pagos[IMPORTE ABONADO]&gt;0),Tabla_Pagos[FECHA DE ABONO]))</f>
        <v>45971</v>
      </c>
    </row>
    <row r="672" spans="2:15" ht="21" customHeight="1" x14ac:dyDescent="0.25">
      <c r="B672" s="39">
        <v>1582</v>
      </c>
      <c r="C672" s="20">
        <v>45971</v>
      </c>
      <c r="D672" s="40" t="s">
        <v>37</v>
      </c>
      <c r="E672" s="37" t="s">
        <v>72</v>
      </c>
      <c r="F672" s="31">
        <v>107100</v>
      </c>
      <c r="G672" s="41" t="s">
        <v>101</v>
      </c>
      <c r="H672" s="26">
        <v>0</v>
      </c>
      <c r="I672" s="21" t="str">
        <f t="shared" si="90"/>
        <v>Contado</v>
      </c>
      <c r="J672" s="22">
        <f t="shared" si="91"/>
        <v>45971</v>
      </c>
      <c r="K672" s="27">
        <f t="shared" ca="1" si="92"/>
        <v>0</v>
      </c>
      <c r="L672" s="23" t="str">
        <f t="shared" si="93"/>
        <v>Pagado</v>
      </c>
      <c r="M672" s="36">
        <f>SUMIFS(Tabla_Pagos[IMPORTE ABONADO],Tabla_Pagos[FECHA DE ABONO],"&gt;0",Tabla_Pagos[NRO DOC],B672)</f>
        <v>107100</v>
      </c>
      <c r="N672" s="36">
        <f t="shared" si="94"/>
        <v>0</v>
      </c>
      <c r="O672" s="22" cm="1">
        <f t="array" ref="O672">MAX(IF((Tabla_Pagos[NRO DOC]=B672)*(Tabla_Pagos[IMPORTE ABONADO]&gt;0),Tabla_Pagos[FECHA DE ABONO]))</f>
        <v>45971</v>
      </c>
    </row>
    <row r="673" spans="2:15" ht="21" customHeight="1" x14ac:dyDescent="0.25">
      <c r="B673" s="39">
        <v>1583</v>
      </c>
      <c r="C673" s="20">
        <v>45971</v>
      </c>
      <c r="D673" s="40" t="s">
        <v>45</v>
      </c>
      <c r="E673" s="37" t="s">
        <v>79</v>
      </c>
      <c r="F673" s="31">
        <v>154700</v>
      </c>
      <c r="G673" s="41" t="s">
        <v>101</v>
      </c>
      <c r="H673" s="26">
        <v>0</v>
      </c>
      <c r="I673" s="21" t="str">
        <f t="shared" si="90"/>
        <v>Contado</v>
      </c>
      <c r="J673" s="22">
        <f t="shared" si="91"/>
        <v>45971</v>
      </c>
      <c r="K673" s="27">
        <f t="shared" ca="1" si="92"/>
        <v>0</v>
      </c>
      <c r="L673" s="23" t="str">
        <f t="shared" si="93"/>
        <v>Pagado</v>
      </c>
      <c r="M673" s="36">
        <f>SUMIFS(Tabla_Pagos[IMPORTE ABONADO],Tabla_Pagos[FECHA DE ABONO],"&gt;0",Tabla_Pagos[NRO DOC],B673)</f>
        <v>154700</v>
      </c>
      <c r="N673" s="36">
        <f t="shared" si="94"/>
        <v>0</v>
      </c>
      <c r="O673" s="22" cm="1">
        <f t="array" ref="O673">MAX(IF((Tabla_Pagos[NRO DOC]=B673)*(Tabla_Pagos[IMPORTE ABONADO]&gt;0),Tabla_Pagos[FECHA DE ABONO]))</f>
        <v>45971</v>
      </c>
    </row>
    <row r="674" spans="2:15" ht="21" customHeight="1" x14ac:dyDescent="0.25">
      <c r="B674" s="39">
        <v>1584</v>
      </c>
      <c r="C674" s="20">
        <v>45971</v>
      </c>
      <c r="D674" s="40" t="s">
        <v>31</v>
      </c>
      <c r="E674" s="37" t="s">
        <v>66</v>
      </c>
      <c r="F674" s="31">
        <v>107100</v>
      </c>
      <c r="G674" s="41" t="s">
        <v>101</v>
      </c>
      <c r="H674" s="26">
        <v>30</v>
      </c>
      <c r="I674" s="21" t="str">
        <f t="shared" si="90"/>
        <v>Crédito</v>
      </c>
      <c r="J674" s="22">
        <f t="shared" si="91"/>
        <v>46001</v>
      </c>
      <c r="K674" s="27">
        <f t="shared" ca="1" si="92"/>
        <v>0</v>
      </c>
      <c r="L674" s="23" t="str">
        <f t="shared" si="93"/>
        <v>Pagado</v>
      </c>
      <c r="M674" s="36">
        <f>SUMIFS(Tabla_Pagos[IMPORTE ABONADO],Tabla_Pagos[FECHA DE ABONO],"&gt;0",Tabla_Pagos[NRO DOC],B674)</f>
        <v>107100</v>
      </c>
      <c r="N674" s="36">
        <f t="shared" si="94"/>
        <v>0</v>
      </c>
      <c r="O674" s="22" cm="1">
        <f t="array" ref="O674">MAX(IF((Tabla_Pagos[NRO DOC]=B674)*(Tabla_Pagos[IMPORTE ABONADO]&gt;0),Tabla_Pagos[FECHA DE ABONO]))</f>
        <v>45989</v>
      </c>
    </row>
    <row r="675" spans="2:15" ht="21" customHeight="1" x14ac:dyDescent="0.25">
      <c r="B675" s="39">
        <v>1585</v>
      </c>
      <c r="C675" s="20">
        <v>45971</v>
      </c>
      <c r="D675" s="40" t="s">
        <v>572</v>
      </c>
      <c r="E675" s="37" t="s">
        <v>573</v>
      </c>
      <c r="F675" s="31">
        <v>2000000</v>
      </c>
      <c r="G675" s="41" t="s">
        <v>101</v>
      </c>
      <c r="H675" s="26">
        <v>0</v>
      </c>
      <c r="I675" s="21" t="str">
        <f t="shared" si="90"/>
        <v>Contado</v>
      </c>
      <c r="J675" s="22">
        <f t="shared" si="91"/>
        <v>45971</v>
      </c>
      <c r="K675" s="27">
        <f t="shared" ca="1" si="92"/>
        <v>0</v>
      </c>
      <c r="L675" s="23" t="str">
        <f t="shared" si="93"/>
        <v>Pagado</v>
      </c>
      <c r="M675" s="36">
        <f>SUMIFS(Tabla_Pagos[IMPORTE ABONADO],Tabla_Pagos[FECHA DE ABONO],"&gt;0",Tabla_Pagos[NRO DOC],B675)</f>
        <v>2000000</v>
      </c>
      <c r="N675" s="36">
        <f t="shared" si="94"/>
        <v>0</v>
      </c>
      <c r="O675" s="22" cm="1">
        <f t="array" ref="O675">MAX(IF((Tabla_Pagos[NRO DOC]=B675)*(Tabla_Pagos[IMPORTE ABONADO]&gt;0),Tabla_Pagos[FECHA DE ABONO]))</f>
        <v>45971</v>
      </c>
    </row>
    <row r="676" spans="2:15" ht="21" customHeight="1" x14ac:dyDescent="0.25">
      <c r="B676" s="39">
        <v>1586</v>
      </c>
      <c r="C676" s="20">
        <v>45973</v>
      </c>
      <c r="D676" s="40" t="s">
        <v>574</v>
      </c>
      <c r="E676" s="37" t="s">
        <v>575</v>
      </c>
      <c r="F676" s="31">
        <v>238000</v>
      </c>
      <c r="G676" s="41" t="s">
        <v>101</v>
      </c>
      <c r="H676" s="26">
        <v>30</v>
      </c>
      <c r="I676" s="21" t="str">
        <f t="shared" si="90"/>
        <v>Crédito</v>
      </c>
      <c r="J676" s="22">
        <f t="shared" si="91"/>
        <v>46003</v>
      </c>
      <c r="K676" s="27">
        <f t="shared" ca="1" si="92"/>
        <v>0</v>
      </c>
      <c r="L676" s="23" t="str">
        <f t="shared" si="93"/>
        <v>Pagado</v>
      </c>
      <c r="M676" s="36">
        <f>SUMIFS(Tabla_Pagos[IMPORTE ABONADO],Tabla_Pagos[FECHA DE ABONO],"&gt;0",Tabla_Pagos[NRO DOC],B676)</f>
        <v>238000</v>
      </c>
      <c r="N676" s="36">
        <f t="shared" si="94"/>
        <v>0</v>
      </c>
      <c r="O676" s="22" cm="1">
        <f t="array" ref="O676">MAX(IF((Tabla_Pagos[NRO DOC]=B676)*(Tabla_Pagos[IMPORTE ABONADO]&gt;0),Tabla_Pagos[FECHA DE ABONO]))</f>
        <v>45973</v>
      </c>
    </row>
    <row r="677" spans="2:15" ht="21" customHeight="1" x14ac:dyDescent="0.25">
      <c r="B677" s="39">
        <v>1587</v>
      </c>
      <c r="C677" s="20">
        <v>45973</v>
      </c>
      <c r="D677" s="40" t="s">
        <v>44</v>
      </c>
      <c r="E677" s="37" t="s">
        <v>78</v>
      </c>
      <c r="F677" s="31">
        <v>11900</v>
      </c>
      <c r="G677" s="41" t="s">
        <v>101</v>
      </c>
      <c r="H677" s="26">
        <v>30</v>
      </c>
      <c r="I677" s="21" t="str">
        <f t="shared" si="90"/>
        <v>Crédito</v>
      </c>
      <c r="J677" s="22">
        <f t="shared" si="91"/>
        <v>46003</v>
      </c>
      <c r="K677" s="27">
        <f t="shared" ca="1" si="92"/>
        <v>0</v>
      </c>
      <c r="L677" s="23" t="str">
        <f t="shared" si="93"/>
        <v>Pagado</v>
      </c>
      <c r="M677" s="36">
        <f>SUMIFS(Tabla_Pagos[IMPORTE ABONADO],Tabla_Pagos[FECHA DE ABONO],"&gt;0",Tabla_Pagos[NRO DOC],B677)</f>
        <v>11900</v>
      </c>
      <c r="N677" s="36">
        <f t="shared" si="94"/>
        <v>0</v>
      </c>
      <c r="O677" s="22" cm="1">
        <f t="array" ref="O677">MAX(IF((Tabla_Pagos[NRO DOC]=B677)*(Tabla_Pagos[IMPORTE ABONADO]&gt;0),Tabla_Pagos[FECHA DE ABONO]))</f>
        <v>46003</v>
      </c>
    </row>
    <row r="678" spans="2:15" ht="21" customHeight="1" x14ac:dyDescent="0.25">
      <c r="B678" s="39">
        <v>1588</v>
      </c>
      <c r="C678" s="20">
        <v>45973</v>
      </c>
      <c r="D678" s="40" t="s">
        <v>320</v>
      </c>
      <c r="E678" s="37" t="s">
        <v>342</v>
      </c>
      <c r="F678" s="31">
        <v>70329</v>
      </c>
      <c r="G678" s="41" t="s">
        <v>101</v>
      </c>
      <c r="H678" s="26">
        <v>0</v>
      </c>
      <c r="I678" s="21" t="str">
        <f t="shared" si="90"/>
        <v>Contado</v>
      </c>
      <c r="J678" s="22">
        <f t="shared" si="91"/>
        <v>45973</v>
      </c>
      <c r="K678" s="27">
        <f t="shared" ca="1" si="92"/>
        <v>0</v>
      </c>
      <c r="L678" s="23" t="str">
        <f t="shared" si="93"/>
        <v>Pagado</v>
      </c>
      <c r="M678" s="36">
        <f>SUMIFS(Tabla_Pagos[IMPORTE ABONADO],Tabla_Pagos[FECHA DE ABONO],"&gt;0",Tabla_Pagos[NRO DOC],B678)</f>
        <v>70329</v>
      </c>
      <c r="N678" s="36">
        <f t="shared" si="94"/>
        <v>0</v>
      </c>
      <c r="O678" s="22" cm="1">
        <f t="array" ref="O678">MAX(IF((Tabla_Pagos[NRO DOC]=B678)*(Tabla_Pagos[IMPORTE ABONADO]&gt;0),Tabla_Pagos[FECHA DE ABONO]))</f>
        <v>45973</v>
      </c>
    </row>
    <row r="679" spans="2:15" ht="21" customHeight="1" x14ac:dyDescent="0.25">
      <c r="B679" s="39">
        <v>1589</v>
      </c>
      <c r="C679" s="20">
        <v>45973</v>
      </c>
      <c r="D679" s="40" t="s">
        <v>576</v>
      </c>
      <c r="E679" s="37" t="str">
        <f>IFERROR(VLOOKUP(D679,CLIENTES!$B$12:$G$2602,2,FALSE),"")</f>
        <v>SONDA S A</v>
      </c>
      <c r="F679" s="31">
        <v>132804</v>
      </c>
      <c r="G679" s="41" t="s">
        <v>101</v>
      </c>
      <c r="H679" s="26">
        <v>0</v>
      </c>
      <c r="I679" s="21" t="str">
        <f>IF(H679="","",IF(H679=0,"Contado","Crédito"))</f>
        <v>Contado</v>
      </c>
      <c r="J679" s="22">
        <f>IF(I679="","",C679+H679)</f>
        <v>45973</v>
      </c>
      <c r="K679" s="27">
        <f ca="1">IFERROR(IF(B679="","",IF(N679=0,0,J679-TODAY())),"")</f>
        <v>0</v>
      </c>
      <c r="L679" s="23" t="str">
        <f>IF(I679="","",IF(N679=0,"Pagado",IF(K679&lt;0,"Vencido","No vencido")))</f>
        <v>Pagado</v>
      </c>
      <c r="M679" s="36">
        <f>SUMIFS(Tabla_Pagos[IMPORTE ABONADO],Tabla_Pagos[FECHA DE ABONO],"&gt;0",Tabla_Pagos[NRO DOC],B679)</f>
        <v>132804</v>
      </c>
      <c r="N679" s="36">
        <f>F679-M679</f>
        <v>0</v>
      </c>
      <c r="O679" s="22" cm="1">
        <f t="array" ref="O679">MAX(IF((Tabla_Pagos[NRO DOC]=B679)*(Tabla_Pagos[IMPORTE ABONADO]&gt;0),Tabla_Pagos[FECHA DE ABONO]))</f>
        <v>45973</v>
      </c>
    </row>
    <row r="680" spans="2:15" ht="21" customHeight="1" x14ac:dyDescent="0.25">
      <c r="B680" s="39">
        <v>1590</v>
      </c>
      <c r="C680" s="20">
        <v>45973</v>
      </c>
      <c r="D680" s="40" t="s">
        <v>54</v>
      </c>
      <c r="E680" s="37" t="str">
        <f>IFERROR(VLOOKUP(D680,CLIENTES!$B$12:$G$2602,2,FALSE),"")</f>
        <v>AUCAN LOGISTIC SPA</v>
      </c>
      <c r="F680" s="31">
        <v>696150</v>
      </c>
      <c r="G680" s="41" t="s">
        <v>101</v>
      </c>
      <c r="H680" s="26">
        <v>0</v>
      </c>
      <c r="I680" s="21" t="str">
        <f t="shared" ref="I680:I695" si="95">IF(H680="","",IF(H680=0,"Contado","Crédito"))</f>
        <v>Contado</v>
      </c>
      <c r="J680" s="22">
        <f t="shared" ref="J680:J695" si="96">IF(I680="","",C680+H680)</f>
        <v>45973</v>
      </c>
      <c r="K680" s="27">
        <f t="shared" ref="K680:K695" ca="1" si="97">IFERROR(IF(B680="","",IF(N680=0,0,J680-TODAY())),"")</f>
        <v>0</v>
      </c>
      <c r="L680" s="23" t="str">
        <f t="shared" ref="L680:L695" si="98">IF(I680="","",IF(N680=0,"Pagado",IF(K680&lt;0,"Vencido","No vencido")))</f>
        <v>Pagado</v>
      </c>
      <c r="M680" s="36">
        <f>SUMIFS(Tabla_Pagos[IMPORTE ABONADO],Tabla_Pagos[FECHA DE ABONO],"&gt;0",Tabla_Pagos[NRO DOC],B680)</f>
        <v>696150</v>
      </c>
      <c r="N680" s="36">
        <f t="shared" ref="N680:N695" si="99">F680-M680</f>
        <v>0</v>
      </c>
      <c r="O680" s="22" cm="1">
        <f t="array" ref="O680">MAX(IF((Tabla_Pagos[NRO DOC]=B680)*(Tabla_Pagos[IMPORTE ABONADO]&gt;0),Tabla_Pagos[FECHA DE ABONO]))</f>
        <v>45973</v>
      </c>
    </row>
    <row r="681" spans="2:15" ht="21" customHeight="1" x14ac:dyDescent="0.25">
      <c r="B681" s="39">
        <v>1591</v>
      </c>
      <c r="C681" s="20">
        <v>45974</v>
      </c>
      <c r="D681" s="40" t="s">
        <v>38</v>
      </c>
      <c r="E681" s="37" t="str">
        <f>IFERROR(VLOOKUP(D681,CLIENTES!$B$12:$G$2602,2,FALSE),"")</f>
        <v>CROSAN SPA</v>
      </c>
      <c r="F681" s="31">
        <v>1320900</v>
      </c>
      <c r="G681" s="41" t="s">
        <v>101</v>
      </c>
      <c r="H681" s="26">
        <v>30</v>
      </c>
      <c r="I681" s="21" t="str">
        <f t="shared" si="95"/>
        <v>Crédito</v>
      </c>
      <c r="J681" s="22">
        <f t="shared" si="96"/>
        <v>46004</v>
      </c>
      <c r="K681" s="27">
        <f t="shared" ca="1" si="97"/>
        <v>0</v>
      </c>
      <c r="L681" s="23" t="str">
        <f t="shared" si="98"/>
        <v>Pagado</v>
      </c>
      <c r="M681" s="36">
        <f>SUMIFS(Tabla_Pagos[IMPORTE ABONADO],Tabla_Pagos[FECHA DE ABONO],"&gt;0",Tabla_Pagos[NRO DOC],B681)</f>
        <v>1320900</v>
      </c>
      <c r="N681" s="36">
        <f t="shared" si="99"/>
        <v>0</v>
      </c>
      <c r="O681" s="22" cm="1">
        <f t="array" ref="O681">MAX(IF((Tabla_Pagos[NRO DOC]=B681)*(Tabla_Pagos[IMPORTE ABONADO]&gt;0),Tabla_Pagos[FECHA DE ABONO]))</f>
        <v>46007</v>
      </c>
    </row>
    <row r="682" spans="2:15" ht="21" customHeight="1" x14ac:dyDescent="0.25">
      <c r="B682" s="39">
        <v>1592</v>
      </c>
      <c r="C682" s="20">
        <v>45974</v>
      </c>
      <c r="D682" s="40" t="s">
        <v>577</v>
      </c>
      <c r="E682" s="37" t="str">
        <f>IFERROR(VLOOKUP(D682,CLIENTES!$B$12:$G$2602,2,FALSE),"")</f>
        <v>DAVID VIEYRA FELDMAN</v>
      </c>
      <c r="F682" s="31">
        <v>380800</v>
      </c>
      <c r="G682" s="41" t="s">
        <v>101</v>
      </c>
      <c r="H682" s="26">
        <v>0</v>
      </c>
      <c r="I682" s="21" t="str">
        <f t="shared" si="95"/>
        <v>Contado</v>
      </c>
      <c r="J682" s="22">
        <f t="shared" si="96"/>
        <v>45974</v>
      </c>
      <c r="K682" s="27">
        <f t="shared" ca="1" si="97"/>
        <v>0</v>
      </c>
      <c r="L682" s="23" t="str">
        <f t="shared" si="98"/>
        <v>Pagado</v>
      </c>
      <c r="M682" s="36">
        <f>SUMIFS(Tabla_Pagos[IMPORTE ABONADO],Tabla_Pagos[FECHA DE ABONO],"&gt;0",Tabla_Pagos[NRO DOC],B682)</f>
        <v>380800</v>
      </c>
      <c r="N682" s="36">
        <f t="shared" si="99"/>
        <v>0</v>
      </c>
      <c r="O682" s="22" cm="1">
        <f t="array" ref="O682">MAX(IF((Tabla_Pagos[NRO DOC]=B682)*(Tabla_Pagos[IMPORTE ABONADO]&gt;0),Tabla_Pagos[FECHA DE ABONO]))</f>
        <v>45974</v>
      </c>
    </row>
    <row r="683" spans="2:15" ht="21" customHeight="1" x14ac:dyDescent="0.25">
      <c r="B683" s="39">
        <v>1593</v>
      </c>
      <c r="C683" s="20">
        <v>45974</v>
      </c>
      <c r="D683" s="40" t="s">
        <v>578</v>
      </c>
      <c r="E683" s="37" t="str">
        <f>IFERROR(VLOOKUP(D683,CLIENTES!$B$12:$G$2602,2,FALSE),"")</f>
        <v>MLV SPA</v>
      </c>
      <c r="F683" s="31">
        <v>32130</v>
      </c>
      <c r="G683" s="41" t="s">
        <v>101</v>
      </c>
      <c r="H683" s="26">
        <v>0</v>
      </c>
      <c r="I683" s="21" t="str">
        <f t="shared" si="95"/>
        <v>Contado</v>
      </c>
      <c r="J683" s="22">
        <f t="shared" si="96"/>
        <v>45974</v>
      </c>
      <c r="K683" s="27">
        <f t="shared" ca="1" si="97"/>
        <v>0</v>
      </c>
      <c r="L683" s="23" t="str">
        <f t="shared" si="98"/>
        <v>Pagado</v>
      </c>
      <c r="M683" s="36">
        <f>SUMIFS(Tabla_Pagos[IMPORTE ABONADO],Tabla_Pagos[FECHA DE ABONO],"&gt;0",Tabla_Pagos[NRO DOC],B683)</f>
        <v>32130</v>
      </c>
      <c r="N683" s="36">
        <f t="shared" si="99"/>
        <v>0</v>
      </c>
      <c r="O683" s="22" cm="1">
        <f t="array" ref="O683">MAX(IF((Tabla_Pagos[NRO DOC]=B683)*(Tabla_Pagos[IMPORTE ABONADO]&gt;0),Tabla_Pagos[FECHA DE ABONO]))</f>
        <v>45974</v>
      </c>
    </row>
    <row r="684" spans="2:15" ht="21" customHeight="1" x14ac:dyDescent="0.25">
      <c r="B684" s="39">
        <v>1594</v>
      </c>
      <c r="C684" s="20">
        <v>45975</v>
      </c>
      <c r="D684" s="40" t="s">
        <v>63</v>
      </c>
      <c r="E684" s="37" t="str">
        <f>IFERROR(VLOOKUP(D684,CLIENTES!$B$12:$G$2602,2,FALSE),"")</f>
        <v>MULTISERVICIOS SANABRIA SPA</v>
      </c>
      <c r="F684" s="31">
        <v>133213</v>
      </c>
      <c r="G684" s="41" t="s">
        <v>101</v>
      </c>
      <c r="H684" s="26">
        <v>0</v>
      </c>
      <c r="I684" s="21" t="str">
        <f t="shared" si="95"/>
        <v>Contado</v>
      </c>
      <c r="J684" s="22">
        <f t="shared" si="96"/>
        <v>45975</v>
      </c>
      <c r="K684" s="27">
        <f t="shared" ca="1" si="97"/>
        <v>0</v>
      </c>
      <c r="L684" s="23" t="str">
        <f t="shared" si="98"/>
        <v>Pagado</v>
      </c>
      <c r="M684" s="36">
        <f>SUMIFS(Tabla_Pagos[IMPORTE ABONADO],Tabla_Pagos[FECHA DE ABONO],"&gt;0",Tabla_Pagos[NRO DOC],B684)</f>
        <v>133213</v>
      </c>
      <c r="N684" s="36">
        <f t="shared" si="99"/>
        <v>0</v>
      </c>
      <c r="O684" s="22" cm="1">
        <f t="array" ref="O684">MAX(IF((Tabla_Pagos[NRO DOC]=B684)*(Tabla_Pagos[IMPORTE ABONADO]&gt;0),Tabla_Pagos[FECHA DE ABONO]))</f>
        <v>45975</v>
      </c>
    </row>
    <row r="685" spans="2:15" ht="21" customHeight="1" x14ac:dyDescent="0.25">
      <c r="B685" s="39">
        <v>1595</v>
      </c>
      <c r="C685" s="20">
        <v>45975</v>
      </c>
      <c r="D685" s="40" t="s">
        <v>576</v>
      </c>
      <c r="E685" s="37" t="str">
        <f>IFERROR(VLOOKUP(D685,CLIENTES!$B$12:$G$2602,2,FALSE),"")</f>
        <v>SONDA S A</v>
      </c>
      <c r="F685" s="31">
        <v>125188</v>
      </c>
      <c r="G685" s="41" t="s">
        <v>101</v>
      </c>
      <c r="H685" s="26">
        <v>0</v>
      </c>
      <c r="I685" s="21" t="str">
        <f t="shared" si="95"/>
        <v>Contado</v>
      </c>
      <c r="J685" s="22">
        <f t="shared" si="96"/>
        <v>45975</v>
      </c>
      <c r="K685" s="27">
        <f t="shared" ca="1" si="97"/>
        <v>0</v>
      </c>
      <c r="L685" s="23" t="str">
        <f t="shared" si="98"/>
        <v>Pagado</v>
      </c>
      <c r="M685" s="36">
        <f>SUMIFS(Tabla_Pagos[IMPORTE ABONADO],Tabla_Pagos[FECHA DE ABONO],"&gt;0",Tabla_Pagos[NRO DOC],B685)</f>
        <v>125188</v>
      </c>
      <c r="N685" s="36">
        <f t="shared" si="99"/>
        <v>0</v>
      </c>
      <c r="O685" s="22" cm="1">
        <f t="array" ref="O685">MAX(IF((Tabla_Pagos[NRO DOC]=B685)*(Tabla_Pagos[IMPORTE ABONADO]&gt;0),Tabla_Pagos[FECHA DE ABONO]))</f>
        <v>45975</v>
      </c>
    </row>
    <row r="686" spans="2:15" ht="21" customHeight="1" x14ac:dyDescent="0.25">
      <c r="B686" s="39">
        <v>1596</v>
      </c>
      <c r="C686" s="20">
        <v>45978</v>
      </c>
      <c r="D686" s="40" t="s">
        <v>522</v>
      </c>
      <c r="E686" s="37" t="str">
        <f>IFERROR(VLOOKUP(D686,CLIENTES!$B$12:$G$2602,2,FALSE),"")</f>
        <v>INSTITUTO INTEGRAL DE SALUD OCUPACIONAL SPA</v>
      </c>
      <c r="F686" s="31">
        <v>142800</v>
      </c>
      <c r="G686" s="41" t="s">
        <v>101</v>
      </c>
      <c r="H686" s="26">
        <v>30</v>
      </c>
      <c r="I686" s="21" t="str">
        <f t="shared" si="95"/>
        <v>Crédito</v>
      </c>
      <c r="J686" s="22">
        <f t="shared" si="96"/>
        <v>46008</v>
      </c>
      <c r="K686" s="27">
        <f t="shared" ca="1" si="97"/>
        <v>0</v>
      </c>
      <c r="L686" s="23" t="str">
        <f t="shared" si="98"/>
        <v>Pagado</v>
      </c>
      <c r="M686" s="36">
        <f>SUMIFS(Tabla_Pagos[IMPORTE ABONADO],Tabla_Pagos[FECHA DE ABONO],"&gt;0",Tabla_Pagos[NRO DOC],B686)</f>
        <v>142800</v>
      </c>
      <c r="N686" s="36">
        <f t="shared" si="99"/>
        <v>0</v>
      </c>
      <c r="O686" s="22" cm="1">
        <f t="array" ref="O686">MAX(IF((Tabla_Pagos[NRO DOC]=B686)*(Tabla_Pagos[IMPORTE ABONADO]&gt;0),Tabla_Pagos[FECHA DE ABONO]))</f>
        <v>46027</v>
      </c>
    </row>
    <row r="687" spans="2:15" ht="21" customHeight="1" x14ac:dyDescent="0.25">
      <c r="B687" s="39">
        <v>1597</v>
      </c>
      <c r="C687" s="20">
        <v>45978</v>
      </c>
      <c r="D687" s="40" t="s">
        <v>572</v>
      </c>
      <c r="E687" s="37" t="str">
        <f>IFERROR(VLOOKUP(D687,CLIENTES!$B$12:$G$2602,2,FALSE),"")</f>
        <v>MUNDO CORPORATIVO SPA</v>
      </c>
      <c r="F687" s="31">
        <v>190400</v>
      </c>
      <c r="G687" s="41" t="s">
        <v>101</v>
      </c>
      <c r="H687" s="26">
        <v>30</v>
      </c>
      <c r="I687" s="21" t="str">
        <f t="shared" si="95"/>
        <v>Crédito</v>
      </c>
      <c r="J687" s="22">
        <f t="shared" si="96"/>
        <v>46008</v>
      </c>
      <c r="K687" s="27">
        <f t="shared" ca="1" si="97"/>
        <v>-170</v>
      </c>
      <c r="L687" s="23" t="str">
        <f t="shared" ca="1" si="98"/>
        <v>Vencido</v>
      </c>
      <c r="M687" s="36">
        <f>SUMIFS(Tabla_Pagos[IMPORTE ABONADO],Tabla_Pagos[FECHA DE ABONO],"&gt;0",Tabla_Pagos[NRO DOC],B687)</f>
        <v>0</v>
      </c>
      <c r="N687" s="36">
        <f t="shared" si="99"/>
        <v>190400</v>
      </c>
      <c r="O687" s="22" cm="1">
        <f t="array" ref="O687">MAX(IF((Tabla_Pagos[NRO DOC]=B687)*(Tabla_Pagos[IMPORTE ABONADO]&gt;0),Tabla_Pagos[FECHA DE ABONO]))</f>
        <v>0</v>
      </c>
    </row>
    <row r="688" spans="2:15" ht="21" customHeight="1" x14ac:dyDescent="0.25">
      <c r="B688" s="39">
        <v>1598</v>
      </c>
      <c r="C688" s="20">
        <v>45978</v>
      </c>
      <c r="D688" s="40" t="s">
        <v>438</v>
      </c>
      <c r="E688" s="37" t="str">
        <f>IFERROR(VLOOKUP(D688,CLIENTES!$B$12:$G$2602,2,FALSE),"")</f>
        <v>MENDOZA CAZ  SPA</v>
      </c>
      <c r="F688" s="31">
        <v>253470</v>
      </c>
      <c r="G688" s="41" t="s">
        <v>101</v>
      </c>
      <c r="H688" s="26">
        <v>0</v>
      </c>
      <c r="I688" s="21" t="str">
        <f t="shared" si="95"/>
        <v>Contado</v>
      </c>
      <c r="J688" s="22">
        <f t="shared" si="96"/>
        <v>45978</v>
      </c>
      <c r="K688" s="27">
        <f t="shared" ca="1" si="97"/>
        <v>0</v>
      </c>
      <c r="L688" s="23" t="str">
        <f t="shared" si="98"/>
        <v>Pagado</v>
      </c>
      <c r="M688" s="36">
        <f>SUMIFS(Tabla_Pagos[IMPORTE ABONADO],Tabla_Pagos[FECHA DE ABONO],"&gt;0",Tabla_Pagos[NRO DOC],B688)</f>
        <v>253470</v>
      </c>
      <c r="N688" s="36">
        <f t="shared" si="99"/>
        <v>0</v>
      </c>
      <c r="O688" s="22" cm="1">
        <f t="array" ref="O688">MAX(IF((Tabla_Pagos[NRO DOC]=B688)*(Tabla_Pagos[IMPORTE ABONADO]&gt;0),Tabla_Pagos[FECHA DE ABONO]))</f>
        <v>45978</v>
      </c>
    </row>
    <row r="689" spans="2:15" ht="21" customHeight="1" x14ac:dyDescent="0.25">
      <c r="B689" s="39">
        <v>1599</v>
      </c>
      <c r="C689" s="20">
        <v>45978</v>
      </c>
      <c r="D689" s="40" t="s">
        <v>53</v>
      </c>
      <c r="E689" s="37" t="str">
        <f>IFERROR(VLOOKUP(D689,CLIENTES!$B$12:$G$2602,2,FALSE),"")</f>
        <v>SODIMAC S.A.</v>
      </c>
      <c r="F689" s="31">
        <v>2299675</v>
      </c>
      <c r="G689" s="41" t="s">
        <v>101</v>
      </c>
      <c r="H689" s="26">
        <v>30</v>
      </c>
      <c r="I689" s="21" t="str">
        <f t="shared" si="95"/>
        <v>Crédito</v>
      </c>
      <c r="J689" s="22">
        <f t="shared" si="96"/>
        <v>46008</v>
      </c>
      <c r="K689" s="27">
        <f t="shared" ca="1" si="97"/>
        <v>0</v>
      </c>
      <c r="L689" s="23" t="str">
        <f t="shared" si="98"/>
        <v>Pagado</v>
      </c>
      <c r="M689" s="36">
        <f>SUMIFS(Tabla_Pagos[IMPORTE ABONADO],Tabla_Pagos[FECHA DE ABONO],"&gt;0",Tabla_Pagos[NRO DOC],B689)</f>
        <v>2299675</v>
      </c>
      <c r="N689" s="36">
        <f t="shared" si="99"/>
        <v>0</v>
      </c>
      <c r="O689" s="22" cm="1">
        <f t="array" ref="O689">MAX(IF((Tabla_Pagos[NRO DOC]=B689)*(Tabla_Pagos[IMPORTE ABONADO]&gt;0),Tabla_Pagos[FECHA DE ABONO]))</f>
        <v>46008</v>
      </c>
    </row>
    <row r="690" spans="2:15" ht="21" customHeight="1" x14ac:dyDescent="0.25">
      <c r="B690" s="39">
        <v>1600</v>
      </c>
      <c r="C690" s="20">
        <v>45979</v>
      </c>
      <c r="D690" s="40" t="s">
        <v>63</v>
      </c>
      <c r="E690" s="37" t="str">
        <f>IFERROR(VLOOKUP(D690,CLIENTES!$B$12:$G$2602,2,FALSE),"")</f>
        <v>MULTISERVICIOS SANABRIA SPA</v>
      </c>
      <c r="F690" s="31">
        <v>121380</v>
      </c>
      <c r="G690" s="41" t="s">
        <v>101</v>
      </c>
      <c r="H690" s="26">
        <v>0</v>
      </c>
      <c r="I690" s="21" t="str">
        <f t="shared" si="95"/>
        <v>Contado</v>
      </c>
      <c r="J690" s="22">
        <f t="shared" si="96"/>
        <v>45979</v>
      </c>
      <c r="K690" s="27">
        <f t="shared" ca="1" si="97"/>
        <v>0</v>
      </c>
      <c r="L690" s="23" t="str">
        <f t="shared" si="98"/>
        <v>Pagado</v>
      </c>
      <c r="M690" s="36">
        <f>SUMIFS(Tabla_Pagos[IMPORTE ABONADO],Tabla_Pagos[FECHA DE ABONO],"&gt;0",Tabla_Pagos[NRO DOC],B690)</f>
        <v>121380</v>
      </c>
      <c r="N690" s="36">
        <f t="shared" si="99"/>
        <v>0</v>
      </c>
      <c r="O690" s="22" cm="1">
        <f t="array" ref="O690">MAX(IF((Tabla_Pagos[NRO DOC]=B690)*(Tabla_Pagos[IMPORTE ABONADO]&gt;0),Tabla_Pagos[FECHA DE ABONO]))</f>
        <v>45979</v>
      </c>
    </row>
    <row r="691" spans="2:15" ht="21" customHeight="1" x14ac:dyDescent="0.25">
      <c r="B691" s="39">
        <v>1601</v>
      </c>
      <c r="C691" s="20">
        <v>45979</v>
      </c>
      <c r="D691" s="40" t="s">
        <v>576</v>
      </c>
      <c r="E691" s="37" t="str">
        <f>IFERROR(VLOOKUP(D691,CLIENTES!$B$12:$G$2602,2,FALSE),"")</f>
        <v>SONDA S A</v>
      </c>
      <c r="F691" s="31">
        <v>26180</v>
      </c>
      <c r="G691" s="41" t="s">
        <v>101</v>
      </c>
      <c r="H691" s="26">
        <v>0</v>
      </c>
      <c r="I691" s="21" t="str">
        <f t="shared" si="95"/>
        <v>Contado</v>
      </c>
      <c r="J691" s="22">
        <f t="shared" si="96"/>
        <v>45979</v>
      </c>
      <c r="K691" s="27">
        <f t="shared" ca="1" si="97"/>
        <v>0</v>
      </c>
      <c r="L691" s="23" t="str">
        <f t="shared" si="98"/>
        <v>Pagado</v>
      </c>
      <c r="M691" s="36">
        <f>SUMIFS(Tabla_Pagos[IMPORTE ABONADO],Tabla_Pagos[FECHA DE ABONO],"&gt;0",Tabla_Pagos[NRO DOC],B691)</f>
        <v>26180</v>
      </c>
      <c r="N691" s="36">
        <f t="shared" si="99"/>
        <v>0</v>
      </c>
      <c r="O691" s="22" cm="1">
        <f t="array" ref="O691">MAX(IF((Tabla_Pagos[NRO DOC]=B691)*(Tabla_Pagos[IMPORTE ABONADO]&gt;0),Tabla_Pagos[FECHA DE ABONO]))</f>
        <v>45979</v>
      </c>
    </row>
    <row r="692" spans="2:15" ht="21" customHeight="1" x14ac:dyDescent="0.25">
      <c r="B692" s="39">
        <v>1602</v>
      </c>
      <c r="C692" s="20">
        <v>45979</v>
      </c>
      <c r="D692" s="40" t="s">
        <v>395</v>
      </c>
      <c r="E692" s="37" t="str">
        <f>IFERROR(VLOOKUP(D692,CLIENTES!$B$12:$G$2602,2,FALSE),"")</f>
        <v>SOLUCIONES GLOBALES CARLOS HERBERTO MOSCOSO</v>
      </c>
      <c r="F692" s="31">
        <v>452200</v>
      </c>
      <c r="G692" s="41" t="s">
        <v>101</v>
      </c>
      <c r="H692" s="26">
        <v>30</v>
      </c>
      <c r="I692" s="21" t="str">
        <f t="shared" si="95"/>
        <v>Crédito</v>
      </c>
      <c r="J692" s="22">
        <f t="shared" si="96"/>
        <v>46009</v>
      </c>
      <c r="K692" s="27">
        <f t="shared" ca="1" si="97"/>
        <v>0</v>
      </c>
      <c r="L692" s="23" t="str">
        <f t="shared" si="98"/>
        <v>Pagado</v>
      </c>
      <c r="M692" s="36">
        <f>SUMIFS(Tabla_Pagos[IMPORTE ABONADO],Tabla_Pagos[FECHA DE ABONO],"&gt;0",Tabla_Pagos[NRO DOC],B692)</f>
        <v>452200</v>
      </c>
      <c r="N692" s="36">
        <f t="shared" si="99"/>
        <v>0</v>
      </c>
      <c r="O692" s="22" cm="1">
        <f t="array" ref="O692">MAX(IF((Tabla_Pagos[NRO DOC]=B692)*(Tabla_Pagos[IMPORTE ABONADO]&gt;0),Tabla_Pagos[FECHA DE ABONO]))</f>
        <v>45979</v>
      </c>
    </row>
    <row r="693" spans="2:15" ht="21" customHeight="1" x14ac:dyDescent="0.25">
      <c r="B693" s="39">
        <v>1603</v>
      </c>
      <c r="C693" s="20">
        <v>45979</v>
      </c>
      <c r="D693" s="40" t="s">
        <v>579</v>
      </c>
      <c r="E693" s="37" t="str">
        <f>IFERROR(VLOOKUP(D693,CLIENTES!$B$12:$G$2602,2,FALSE),"")</f>
        <v>COMERCIALIZADORA TEC RAPOL LIMITADA</v>
      </c>
      <c r="F693" s="31">
        <v>1666000</v>
      </c>
      <c r="G693" s="41" t="s">
        <v>101</v>
      </c>
      <c r="H693" s="26">
        <v>30</v>
      </c>
      <c r="I693" s="21" t="str">
        <f t="shared" si="95"/>
        <v>Crédito</v>
      </c>
      <c r="J693" s="22">
        <f t="shared" si="96"/>
        <v>46009</v>
      </c>
      <c r="K693" s="27">
        <f t="shared" ca="1" si="97"/>
        <v>0</v>
      </c>
      <c r="L693" s="23" t="str">
        <f t="shared" si="98"/>
        <v>Pagado</v>
      </c>
      <c r="M693" s="36">
        <f>SUMIFS(Tabla_Pagos[IMPORTE ABONADO],Tabla_Pagos[FECHA DE ABONO],"&gt;0",Tabla_Pagos[NRO DOC],B693)</f>
        <v>1666000</v>
      </c>
      <c r="N693" s="36">
        <f t="shared" si="99"/>
        <v>0</v>
      </c>
      <c r="O693" s="22" cm="1">
        <f t="array" ref="O693">MAX(IF((Tabla_Pagos[NRO DOC]=B693)*(Tabla_Pagos[IMPORTE ABONADO]&gt;0),Tabla_Pagos[FECHA DE ABONO]))</f>
        <v>46009</v>
      </c>
    </row>
    <row r="694" spans="2:15" ht="21" customHeight="1" x14ac:dyDescent="0.25">
      <c r="B694" s="39">
        <v>1604</v>
      </c>
      <c r="C694" s="20">
        <v>45980</v>
      </c>
      <c r="D694" s="40" t="s">
        <v>470</v>
      </c>
      <c r="E694" s="37" t="str">
        <f>IFERROR(VLOOKUP(D694,CLIENTES!$B$12:$G$2602,2,FALSE),"")</f>
        <v>INVERSIONES SAFUMAR LIMITADA</v>
      </c>
      <c r="F694" s="31">
        <v>202300</v>
      </c>
      <c r="G694" s="41" t="s">
        <v>101</v>
      </c>
      <c r="H694" s="26">
        <v>30</v>
      </c>
      <c r="I694" s="21" t="str">
        <f t="shared" si="95"/>
        <v>Crédito</v>
      </c>
      <c r="J694" s="22">
        <f t="shared" si="96"/>
        <v>46010</v>
      </c>
      <c r="K694" s="27">
        <f t="shared" ca="1" si="97"/>
        <v>0</v>
      </c>
      <c r="L694" s="23" t="str">
        <f t="shared" si="98"/>
        <v>Pagado</v>
      </c>
      <c r="M694" s="36">
        <f>SUMIFS(Tabla_Pagos[IMPORTE ABONADO],Tabla_Pagos[FECHA DE ABONO],"&gt;0",Tabla_Pagos[NRO DOC],B694)</f>
        <v>202300</v>
      </c>
      <c r="N694" s="36">
        <f t="shared" si="99"/>
        <v>0</v>
      </c>
      <c r="O694" s="22" cm="1">
        <f t="array" ref="O694">MAX(IF((Tabla_Pagos[NRO DOC]=B694)*(Tabla_Pagos[IMPORTE ABONADO]&gt;0),Tabla_Pagos[FECHA DE ABONO]))</f>
        <v>45985</v>
      </c>
    </row>
    <row r="695" spans="2:15" ht="21" customHeight="1" x14ac:dyDescent="0.25">
      <c r="B695" s="39">
        <v>1605</v>
      </c>
      <c r="C695" s="20">
        <v>45980</v>
      </c>
      <c r="D695" s="40" t="s">
        <v>580</v>
      </c>
      <c r="E695" s="37" t="str">
        <f>IFERROR(VLOOKUP(D695,CLIENTES!$B$12:$G$2602,2,FALSE),"")</f>
        <v>LABORATORIO CLINICO ATACAMA LIMITADA</v>
      </c>
      <c r="F695" s="31">
        <v>309400</v>
      </c>
      <c r="G695" s="41" t="s">
        <v>101</v>
      </c>
      <c r="H695" s="26">
        <v>0</v>
      </c>
      <c r="I695" s="21" t="str">
        <f t="shared" si="95"/>
        <v>Contado</v>
      </c>
      <c r="J695" s="22">
        <f t="shared" si="96"/>
        <v>45980</v>
      </c>
      <c r="K695" s="27">
        <f t="shared" ca="1" si="97"/>
        <v>0</v>
      </c>
      <c r="L695" s="23" t="str">
        <f t="shared" si="98"/>
        <v>Pagado</v>
      </c>
      <c r="M695" s="36">
        <f>SUMIFS(Tabla_Pagos[IMPORTE ABONADO],Tabla_Pagos[FECHA DE ABONO],"&gt;0",Tabla_Pagos[NRO DOC],B695)</f>
        <v>309400</v>
      </c>
      <c r="N695" s="36">
        <f t="shared" si="99"/>
        <v>0</v>
      </c>
      <c r="O695" s="22" cm="1">
        <f t="array" ref="O695">MAX(IF((Tabla_Pagos[NRO DOC]=B695)*(Tabla_Pagos[IMPORTE ABONADO]&gt;0),Tabla_Pagos[FECHA DE ABONO]))</f>
        <v>45980</v>
      </c>
    </row>
    <row r="696" spans="2:15" ht="21" customHeight="1" x14ac:dyDescent="0.25">
      <c r="B696" s="39">
        <v>1606</v>
      </c>
      <c r="C696" s="20">
        <v>45980</v>
      </c>
      <c r="D696" s="40" t="s">
        <v>586</v>
      </c>
      <c r="E696" s="37" t="str">
        <f>IFERROR(VLOOKUP(D696,CLIENTES!$B$12:$G$2602,2,FALSE),"")</f>
        <v>SOLYSERV SPA</v>
      </c>
      <c r="F696" s="31">
        <v>297500</v>
      </c>
      <c r="G696" s="41" t="s">
        <v>101</v>
      </c>
      <c r="H696" s="26">
        <v>0</v>
      </c>
      <c r="I696" s="21" t="str">
        <f>IF(H696="","",IF(H696=0,"Contado","Crédito"))</f>
        <v>Contado</v>
      </c>
      <c r="J696" s="22">
        <f>IF(I696="","",C696+H696)</f>
        <v>45980</v>
      </c>
      <c r="K696" s="27">
        <f ca="1">IFERROR(IF(B696="","",IF(N696=0,0,J696-TODAY())),"")</f>
        <v>0</v>
      </c>
      <c r="L696" s="23" t="str">
        <f>IF(I696="","",IF(N696=0,"Pagado",IF(K696&lt;0,"Vencido","No vencido")))</f>
        <v>Pagado</v>
      </c>
      <c r="M696" s="36">
        <f>SUMIFS(Tabla_Pagos[IMPORTE ABONADO],Tabla_Pagos[FECHA DE ABONO],"&gt;0",Tabla_Pagos[NRO DOC],B696)</f>
        <v>297500</v>
      </c>
      <c r="N696" s="36">
        <f>F696-M696</f>
        <v>0</v>
      </c>
      <c r="O696" s="22" cm="1">
        <f t="array" ref="O696">MAX(IF((Tabla_Pagos[NRO DOC]=B696)*(Tabla_Pagos[IMPORTE ABONADO]&gt;0),Tabla_Pagos[FECHA DE ABONO]))</f>
        <v>45980</v>
      </c>
    </row>
    <row r="697" spans="2:15" ht="21" customHeight="1" x14ac:dyDescent="0.25">
      <c r="B697" s="39">
        <v>1607</v>
      </c>
      <c r="C697" s="20">
        <v>45980</v>
      </c>
      <c r="D697" s="40" t="s">
        <v>570</v>
      </c>
      <c r="E697" s="37" t="str">
        <f>IFERROR(VLOOKUP(D697,CLIENTES!$B$12:$G$2602,2,FALSE),"")</f>
        <v>JUAN ALBERTO CALDERON GUTIERREZ TRANSPORTE</v>
      </c>
      <c r="F697" s="31">
        <v>59500</v>
      </c>
      <c r="G697" s="41" t="s">
        <v>101</v>
      </c>
      <c r="H697" s="26">
        <v>0</v>
      </c>
      <c r="I697" s="21" t="str">
        <f t="shared" ref="I697:I714" si="100">IF(H697="","",IF(H697=0,"Contado","Crédito"))</f>
        <v>Contado</v>
      </c>
      <c r="J697" s="22">
        <f t="shared" ref="J697:J714" si="101">IF(I697="","",C697+H697)</f>
        <v>45980</v>
      </c>
      <c r="K697" s="27">
        <f t="shared" ref="K697:K714" ca="1" si="102">IFERROR(IF(B697="","",IF(N697=0,0,J697-TODAY())),"")</f>
        <v>0</v>
      </c>
      <c r="L697" s="23" t="str">
        <f t="shared" ref="L697:L714" si="103">IF(I697="","",IF(N697=0,"Pagado",IF(K697&lt;0,"Vencido","No vencido")))</f>
        <v>Pagado</v>
      </c>
      <c r="M697" s="36">
        <f>SUMIFS(Tabla_Pagos[IMPORTE ABONADO],Tabla_Pagos[FECHA DE ABONO],"&gt;0",Tabla_Pagos[NRO DOC],B697)</f>
        <v>59500</v>
      </c>
      <c r="N697" s="36">
        <f t="shared" ref="N697:N714" si="104">F697-M697</f>
        <v>0</v>
      </c>
      <c r="O697" s="22" cm="1">
        <f t="array" ref="O697">MAX(IF((Tabla_Pagos[NRO DOC]=B697)*(Tabla_Pagos[IMPORTE ABONADO]&gt;0),Tabla_Pagos[FECHA DE ABONO]))</f>
        <v>45980</v>
      </c>
    </row>
    <row r="698" spans="2:15" ht="21" customHeight="1" x14ac:dyDescent="0.25">
      <c r="B698" s="39">
        <v>1608</v>
      </c>
      <c r="C698" s="20">
        <v>45981</v>
      </c>
      <c r="D698" s="40" t="s">
        <v>587</v>
      </c>
      <c r="E698" s="37" t="str">
        <f>IFERROR(VLOOKUP(D698,CLIENTES!$B$12:$G$2602,2,FALSE),"")</f>
        <v>TRANSPORTES DESERTIS SPA</v>
      </c>
      <c r="F698" s="31">
        <v>368900</v>
      </c>
      <c r="G698" s="41" t="s">
        <v>101</v>
      </c>
      <c r="H698" s="26">
        <v>0</v>
      </c>
      <c r="I698" s="21" t="str">
        <f t="shared" si="100"/>
        <v>Contado</v>
      </c>
      <c r="J698" s="22">
        <f t="shared" si="101"/>
        <v>45981</v>
      </c>
      <c r="K698" s="27">
        <f t="shared" ca="1" si="102"/>
        <v>0</v>
      </c>
      <c r="L698" s="23" t="str">
        <f t="shared" si="103"/>
        <v>Pagado</v>
      </c>
      <c r="M698" s="36">
        <f>SUMIFS(Tabla_Pagos[IMPORTE ABONADO],Tabla_Pagos[FECHA DE ABONO],"&gt;0",Tabla_Pagos[NRO DOC],B698)</f>
        <v>368900</v>
      </c>
      <c r="N698" s="36">
        <f t="shared" si="104"/>
        <v>0</v>
      </c>
      <c r="O698" s="22" cm="1">
        <f t="array" ref="O698">MAX(IF((Tabla_Pagos[NRO DOC]=B698)*(Tabla_Pagos[IMPORTE ABONADO]&gt;0),Tabla_Pagos[FECHA DE ABONO]))</f>
        <v>45981</v>
      </c>
    </row>
    <row r="699" spans="2:15" ht="21" customHeight="1" x14ac:dyDescent="0.25">
      <c r="B699" s="39">
        <v>1609</v>
      </c>
      <c r="C699" s="20">
        <v>45981</v>
      </c>
      <c r="D699" s="40" t="s">
        <v>586</v>
      </c>
      <c r="E699" s="37" t="str">
        <f>IFERROR(VLOOKUP(D699,CLIENTES!$B$12:$G$2602,2,FALSE),"")</f>
        <v>SOLYSERV SPA</v>
      </c>
      <c r="F699" s="31">
        <v>39984</v>
      </c>
      <c r="G699" s="41" t="s">
        <v>101</v>
      </c>
      <c r="H699" s="26">
        <v>0</v>
      </c>
      <c r="I699" s="21" t="str">
        <f t="shared" si="100"/>
        <v>Contado</v>
      </c>
      <c r="J699" s="22">
        <f t="shared" si="101"/>
        <v>45981</v>
      </c>
      <c r="K699" s="27">
        <f t="shared" ca="1" si="102"/>
        <v>0</v>
      </c>
      <c r="L699" s="23" t="str">
        <f t="shared" si="103"/>
        <v>Pagado</v>
      </c>
      <c r="M699" s="36">
        <f>SUMIFS(Tabla_Pagos[IMPORTE ABONADO],Tabla_Pagos[FECHA DE ABONO],"&gt;0",Tabla_Pagos[NRO DOC],B699)</f>
        <v>39984</v>
      </c>
      <c r="N699" s="36">
        <f t="shared" si="104"/>
        <v>0</v>
      </c>
      <c r="O699" s="22" cm="1">
        <f t="array" ref="O699">MAX(IF((Tabla_Pagos[NRO DOC]=B699)*(Tabla_Pagos[IMPORTE ABONADO]&gt;0),Tabla_Pagos[FECHA DE ABONO]))</f>
        <v>45981</v>
      </c>
    </row>
    <row r="700" spans="2:15" ht="21" customHeight="1" x14ac:dyDescent="0.25">
      <c r="B700" s="39">
        <v>1610</v>
      </c>
      <c r="C700" s="20">
        <v>45981</v>
      </c>
      <c r="D700" s="40" t="s">
        <v>588</v>
      </c>
      <c r="E700" s="37" t="str">
        <f>IFERROR(VLOOKUP(D700,CLIENTES!$B$12:$G$2602,2,FALSE),"")</f>
        <v>RINCÃ“NTRD SPA</v>
      </c>
      <c r="F700" s="31">
        <v>41257</v>
      </c>
      <c r="G700" s="41" t="s">
        <v>101</v>
      </c>
      <c r="H700" s="26">
        <v>0</v>
      </c>
      <c r="I700" s="21" t="str">
        <f t="shared" si="100"/>
        <v>Contado</v>
      </c>
      <c r="J700" s="22">
        <f t="shared" si="101"/>
        <v>45981</v>
      </c>
      <c r="K700" s="27">
        <f t="shared" ca="1" si="102"/>
        <v>0</v>
      </c>
      <c r="L700" s="23" t="str">
        <f t="shared" si="103"/>
        <v>Pagado</v>
      </c>
      <c r="M700" s="36">
        <f>SUMIFS(Tabla_Pagos[IMPORTE ABONADO],Tabla_Pagos[FECHA DE ABONO],"&gt;0",Tabla_Pagos[NRO DOC],B700)</f>
        <v>41257</v>
      </c>
      <c r="N700" s="36">
        <f t="shared" si="104"/>
        <v>0</v>
      </c>
      <c r="O700" s="22" cm="1">
        <f t="array" ref="O700">MAX(IF((Tabla_Pagos[NRO DOC]=B700)*(Tabla_Pagos[IMPORTE ABONADO]&gt;0),Tabla_Pagos[FECHA DE ABONO]))</f>
        <v>45981</v>
      </c>
    </row>
    <row r="701" spans="2:15" ht="21" customHeight="1" x14ac:dyDescent="0.25">
      <c r="B701" s="39">
        <v>1611</v>
      </c>
      <c r="C701" s="20">
        <v>45982</v>
      </c>
      <c r="D701" s="40" t="s">
        <v>311</v>
      </c>
      <c r="E701" s="37" t="str">
        <f>IFERROR(VLOOKUP(D701,CLIENTES!$B$12:$G$2602,2,FALSE),"")</f>
        <v>SOCIEDAD COMERCIALIZADORA Y DISTRIBUIDORA TRES VALLES SPA</v>
      </c>
      <c r="F701" s="31">
        <v>119000</v>
      </c>
      <c r="G701" s="41" t="s">
        <v>101</v>
      </c>
      <c r="H701" s="26">
        <v>0</v>
      </c>
      <c r="I701" s="21" t="str">
        <f t="shared" si="100"/>
        <v>Contado</v>
      </c>
      <c r="J701" s="22">
        <f t="shared" si="101"/>
        <v>45982</v>
      </c>
      <c r="K701" s="27">
        <f t="shared" ca="1" si="102"/>
        <v>0</v>
      </c>
      <c r="L701" s="23" t="str">
        <f t="shared" si="103"/>
        <v>Pagado</v>
      </c>
      <c r="M701" s="36">
        <f>SUMIFS(Tabla_Pagos[IMPORTE ABONADO],Tabla_Pagos[FECHA DE ABONO],"&gt;0",Tabla_Pagos[NRO DOC],B701)</f>
        <v>119000</v>
      </c>
      <c r="N701" s="36">
        <f t="shared" si="104"/>
        <v>0</v>
      </c>
      <c r="O701" s="22" cm="1">
        <f t="array" ref="O701">MAX(IF((Tabla_Pagos[NRO DOC]=B701)*(Tabla_Pagos[IMPORTE ABONADO]&gt;0),Tabla_Pagos[FECHA DE ABONO]))</f>
        <v>45982</v>
      </c>
    </row>
    <row r="702" spans="2:15" ht="21" customHeight="1" x14ac:dyDescent="0.25">
      <c r="B702" s="39">
        <v>1612</v>
      </c>
      <c r="C702" s="20">
        <v>45982</v>
      </c>
      <c r="D702" s="40" t="s">
        <v>379</v>
      </c>
      <c r="E702" s="37" t="str">
        <f>IFERROR(VLOOKUP(D702,CLIENTES!$B$12:$G$2602,2,FALSE),"")</f>
        <v>GRANDLEASING SPA</v>
      </c>
      <c r="F702" s="31">
        <v>47600</v>
      </c>
      <c r="G702" s="41" t="s">
        <v>101</v>
      </c>
      <c r="H702" s="26">
        <v>0</v>
      </c>
      <c r="I702" s="21" t="str">
        <f t="shared" si="100"/>
        <v>Contado</v>
      </c>
      <c r="J702" s="22">
        <f t="shared" si="101"/>
        <v>45982</v>
      </c>
      <c r="K702" s="27">
        <f t="shared" ca="1" si="102"/>
        <v>0</v>
      </c>
      <c r="L702" s="23" t="str">
        <f t="shared" si="103"/>
        <v>Pagado</v>
      </c>
      <c r="M702" s="36">
        <f>SUMIFS(Tabla_Pagos[IMPORTE ABONADO],Tabla_Pagos[FECHA DE ABONO],"&gt;0",Tabla_Pagos[NRO DOC],B702)</f>
        <v>47600</v>
      </c>
      <c r="N702" s="36">
        <f t="shared" si="104"/>
        <v>0</v>
      </c>
      <c r="O702" s="22" cm="1">
        <f t="array" ref="O702">MAX(IF((Tabla_Pagos[NRO DOC]=B702)*(Tabla_Pagos[IMPORTE ABONADO]&gt;0),Tabla_Pagos[FECHA DE ABONO]))</f>
        <v>46010</v>
      </c>
    </row>
    <row r="703" spans="2:15" ht="21" customHeight="1" x14ac:dyDescent="0.25">
      <c r="B703" s="39">
        <v>1613</v>
      </c>
      <c r="C703" s="20">
        <v>45985</v>
      </c>
      <c r="D703" s="40" t="s">
        <v>311</v>
      </c>
      <c r="E703" s="37" t="str">
        <f>IFERROR(VLOOKUP(D703,CLIENTES!$B$12:$G$2602,2,FALSE),"")</f>
        <v>SOCIEDAD COMERCIALIZADORA Y DISTRIBUIDORA TRES VALLES SPA</v>
      </c>
      <c r="F703" s="31">
        <v>94010</v>
      </c>
      <c r="G703" s="41" t="s">
        <v>101</v>
      </c>
      <c r="H703" s="26">
        <v>0</v>
      </c>
      <c r="I703" s="21" t="str">
        <f t="shared" si="100"/>
        <v>Contado</v>
      </c>
      <c r="J703" s="22">
        <f t="shared" si="101"/>
        <v>45985</v>
      </c>
      <c r="K703" s="27">
        <f t="shared" ca="1" si="102"/>
        <v>0</v>
      </c>
      <c r="L703" s="23" t="str">
        <f t="shared" si="103"/>
        <v>Pagado</v>
      </c>
      <c r="M703" s="36">
        <f>SUMIFS(Tabla_Pagos[IMPORTE ABONADO],Tabla_Pagos[FECHA DE ABONO],"&gt;0",Tabla_Pagos[NRO DOC],B703)</f>
        <v>94010</v>
      </c>
      <c r="N703" s="36">
        <f t="shared" si="104"/>
        <v>0</v>
      </c>
      <c r="O703" s="22" cm="1">
        <f t="array" ref="O703">MAX(IF((Tabla_Pagos[NRO DOC]=B703)*(Tabla_Pagos[IMPORTE ABONADO]&gt;0),Tabla_Pagos[FECHA DE ABONO]))</f>
        <v>45985</v>
      </c>
    </row>
    <row r="704" spans="2:15" ht="21" customHeight="1" x14ac:dyDescent="0.25">
      <c r="B704" s="39">
        <v>1614</v>
      </c>
      <c r="C704" s="20">
        <v>45985</v>
      </c>
      <c r="D704" s="40" t="s">
        <v>458</v>
      </c>
      <c r="E704" s="37" t="str">
        <f>IFERROR(VLOOKUP(D704,CLIENTES!$B$12:$G$2602,2,FALSE),"")</f>
        <v>VIDRIOS Y ALUMINIOS SERVAL SPA</v>
      </c>
      <c r="F704" s="31">
        <v>357000</v>
      </c>
      <c r="G704" s="41" t="s">
        <v>101</v>
      </c>
      <c r="H704" s="26">
        <v>30</v>
      </c>
      <c r="I704" s="21" t="str">
        <f t="shared" si="100"/>
        <v>Crédito</v>
      </c>
      <c r="J704" s="22">
        <f t="shared" si="101"/>
        <v>46015</v>
      </c>
      <c r="K704" s="27">
        <f t="shared" ca="1" si="102"/>
        <v>0</v>
      </c>
      <c r="L704" s="23" t="str">
        <f t="shared" si="103"/>
        <v>Pagado</v>
      </c>
      <c r="M704" s="36">
        <f>SUMIFS(Tabla_Pagos[IMPORTE ABONADO],Tabla_Pagos[FECHA DE ABONO],"&gt;0",Tabla_Pagos[NRO DOC],B704)</f>
        <v>357000</v>
      </c>
      <c r="N704" s="36">
        <f t="shared" si="104"/>
        <v>0</v>
      </c>
      <c r="O704" s="22" cm="1">
        <f t="array" ref="O704">MAX(IF((Tabla_Pagos[NRO DOC]=B704)*(Tabla_Pagos[IMPORTE ABONADO]&gt;0),Tabla_Pagos[FECHA DE ABONO]))</f>
        <v>45983</v>
      </c>
    </row>
    <row r="705" spans="2:15" ht="21" customHeight="1" x14ac:dyDescent="0.25">
      <c r="B705" s="39">
        <v>1615</v>
      </c>
      <c r="C705" s="20">
        <v>45986</v>
      </c>
      <c r="D705" s="40" t="s">
        <v>398</v>
      </c>
      <c r="E705" s="37" t="str">
        <f>IFERROR(VLOOKUP(D705,CLIENTES!$B$12:$G$2602,2,FALSE),"")</f>
        <v>TRANSPORTE Y ARRIENDO MAQUINARIAS RAYKAR SPA</v>
      </c>
      <c r="F705" s="31">
        <v>107100</v>
      </c>
      <c r="G705" s="41" t="s">
        <v>101</v>
      </c>
      <c r="H705" s="26">
        <v>0</v>
      </c>
      <c r="I705" s="21" t="str">
        <f t="shared" si="100"/>
        <v>Contado</v>
      </c>
      <c r="J705" s="22">
        <f t="shared" si="101"/>
        <v>45986</v>
      </c>
      <c r="K705" s="27">
        <f t="shared" ca="1" si="102"/>
        <v>0</v>
      </c>
      <c r="L705" s="23" t="str">
        <f t="shared" si="103"/>
        <v>Pagado</v>
      </c>
      <c r="M705" s="36">
        <f>SUMIFS(Tabla_Pagos[IMPORTE ABONADO],Tabla_Pagos[FECHA DE ABONO],"&gt;0",Tabla_Pagos[NRO DOC],B705)</f>
        <v>107100</v>
      </c>
      <c r="N705" s="36">
        <f t="shared" si="104"/>
        <v>0</v>
      </c>
      <c r="O705" s="22" cm="1">
        <f t="array" ref="O705">MAX(IF((Tabla_Pagos[NRO DOC]=B705)*(Tabla_Pagos[IMPORTE ABONADO]&gt;0),Tabla_Pagos[FECHA DE ABONO]))</f>
        <v>45986</v>
      </c>
    </row>
    <row r="706" spans="2:15" ht="21" customHeight="1" x14ac:dyDescent="0.25">
      <c r="B706" s="39">
        <v>1616</v>
      </c>
      <c r="C706" s="20">
        <v>45987</v>
      </c>
      <c r="D706" s="40" t="s">
        <v>589</v>
      </c>
      <c r="E706" s="37" t="str">
        <f>IFERROR(VLOOKUP(D706,CLIENTES!$B$12:$G$2602,2,FALSE),"")</f>
        <v>INGENIERIA Y SOLUCIONES ELECTRICAS INGINSEL LIMITADA</v>
      </c>
      <c r="F706" s="31">
        <v>1940890</v>
      </c>
      <c r="G706" s="41" t="s">
        <v>101</v>
      </c>
      <c r="H706" s="26">
        <v>0</v>
      </c>
      <c r="I706" s="21" t="str">
        <f t="shared" si="100"/>
        <v>Contado</v>
      </c>
      <c r="J706" s="22">
        <f t="shared" si="101"/>
        <v>45987</v>
      </c>
      <c r="K706" s="27">
        <f t="shared" ca="1" si="102"/>
        <v>0</v>
      </c>
      <c r="L706" s="23" t="str">
        <f t="shared" si="103"/>
        <v>Pagado</v>
      </c>
      <c r="M706" s="36">
        <f>SUMIFS(Tabla_Pagos[IMPORTE ABONADO],Tabla_Pagos[FECHA DE ABONO],"&gt;0",Tabla_Pagos[NRO DOC],B706)</f>
        <v>1940890</v>
      </c>
      <c r="N706" s="36">
        <f t="shared" si="104"/>
        <v>0</v>
      </c>
      <c r="O706" s="22" cm="1">
        <f t="array" ref="O706">MAX(IF((Tabla_Pagos[NRO DOC]=B706)*(Tabla_Pagos[IMPORTE ABONADO]&gt;0),Tabla_Pagos[FECHA DE ABONO]))</f>
        <v>45987</v>
      </c>
    </row>
    <row r="707" spans="2:15" ht="21" customHeight="1" x14ac:dyDescent="0.25">
      <c r="B707" s="39">
        <v>1617</v>
      </c>
      <c r="C707" s="20">
        <v>45966</v>
      </c>
      <c r="D707" s="40" t="s">
        <v>40</v>
      </c>
      <c r="E707" s="37" t="str">
        <f>IFERROR(VLOOKUP(D707,CLIENTES!$B$12:$G$2602,2,FALSE),"")</f>
        <v>INGENIERIA Y SERVICIOS TERRACOP SPA</v>
      </c>
      <c r="F707" s="31">
        <v>51170</v>
      </c>
      <c r="G707" s="41" t="s">
        <v>101</v>
      </c>
      <c r="H707" s="26">
        <v>0</v>
      </c>
      <c r="I707" s="21" t="str">
        <f t="shared" si="100"/>
        <v>Contado</v>
      </c>
      <c r="J707" s="22">
        <f t="shared" si="101"/>
        <v>45966</v>
      </c>
      <c r="K707" s="27">
        <f t="shared" ca="1" si="102"/>
        <v>0</v>
      </c>
      <c r="L707" s="23" t="str">
        <f t="shared" si="103"/>
        <v>Pagado</v>
      </c>
      <c r="M707" s="36">
        <f>SUMIFS(Tabla_Pagos[IMPORTE ABONADO],Tabla_Pagos[FECHA DE ABONO],"&gt;0",Tabla_Pagos[NRO DOC],B707)</f>
        <v>51170</v>
      </c>
      <c r="N707" s="36">
        <f t="shared" si="104"/>
        <v>0</v>
      </c>
      <c r="O707" s="22" cm="1">
        <f t="array" ref="O707">MAX(IF((Tabla_Pagos[NRO DOC]=B707)*(Tabla_Pagos[IMPORTE ABONADO]&gt;0),Tabla_Pagos[FECHA DE ABONO]))</f>
        <v>45966</v>
      </c>
    </row>
    <row r="708" spans="2:15" ht="21" customHeight="1" x14ac:dyDescent="0.25">
      <c r="B708" s="39">
        <v>1618</v>
      </c>
      <c r="C708" s="20">
        <v>45987</v>
      </c>
      <c r="D708" s="40" t="s">
        <v>586</v>
      </c>
      <c r="E708" s="37" t="str">
        <f>IFERROR(VLOOKUP(D708,CLIENTES!$B$12:$G$2602,2,FALSE),"")</f>
        <v>SOLYSERV SPA</v>
      </c>
      <c r="F708" s="31">
        <v>113050</v>
      </c>
      <c r="G708" s="41" t="s">
        <v>101</v>
      </c>
      <c r="H708" s="26">
        <v>0</v>
      </c>
      <c r="I708" s="21" t="str">
        <f t="shared" si="100"/>
        <v>Contado</v>
      </c>
      <c r="J708" s="22">
        <f t="shared" si="101"/>
        <v>45987</v>
      </c>
      <c r="K708" s="27">
        <f t="shared" ca="1" si="102"/>
        <v>0</v>
      </c>
      <c r="L708" s="23" t="str">
        <f t="shared" si="103"/>
        <v>Pagado</v>
      </c>
      <c r="M708" s="36">
        <f>SUMIFS(Tabla_Pagos[IMPORTE ABONADO],Tabla_Pagos[FECHA DE ABONO],"&gt;0",Tabla_Pagos[NRO DOC],B708)</f>
        <v>113050</v>
      </c>
      <c r="N708" s="36">
        <f t="shared" si="104"/>
        <v>0</v>
      </c>
      <c r="O708" s="22" cm="1">
        <f t="array" ref="O708">MAX(IF((Tabla_Pagos[NRO DOC]=B708)*(Tabla_Pagos[IMPORTE ABONADO]&gt;0),Tabla_Pagos[FECHA DE ABONO]))</f>
        <v>45987</v>
      </c>
    </row>
    <row r="709" spans="2:15" ht="21" customHeight="1" x14ac:dyDescent="0.25">
      <c r="B709" s="39">
        <v>1619</v>
      </c>
      <c r="C709" s="20">
        <v>45987</v>
      </c>
      <c r="D709" s="40" t="s">
        <v>49</v>
      </c>
      <c r="E709" s="37" t="str">
        <f>IFERROR(VLOOKUP(D709,CLIENTES!$B$12:$G$2602,2,FALSE),"")</f>
        <v>MOINCO INGENIERIA SPA</v>
      </c>
      <c r="F709" s="31">
        <v>2119866</v>
      </c>
      <c r="G709" s="41" t="s">
        <v>101</v>
      </c>
      <c r="H709" s="26">
        <v>0</v>
      </c>
      <c r="I709" s="21" t="str">
        <f t="shared" si="100"/>
        <v>Contado</v>
      </c>
      <c r="J709" s="22">
        <f t="shared" si="101"/>
        <v>45987</v>
      </c>
      <c r="K709" s="27">
        <f t="shared" ca="1" si="102"/>
        <v>0</v>
      </c>
      <c r="L709" s="23" t="str">
        <f t="shared" si="103"/>
        <v>Pagado</v>
      </c>
      <c r="M709" s="36">
        <f>SUMIFS(Tabla_Pagos[IMPORTE ABONADO],Tabla_Pagos[FECHA DE ABONO],"&gt;0",Tabla_Pagos[NRO DOC],B709)</f>
        <v>2119866</v>
      </c>
      <c r="N709" s="36">
        <f t="shared" si="104"/>
        <v>0</v>
      </c>
      <c r="O709" s="22" cm="1">
        <f t="array" ref="O709">MAX(IF((Tabla_Pagos[NRO DOC]=B709)*(Tabla_Pagos[IMPORTE ABONADO]&gt;0),Tabla_Pagos[FECHA DE ABONO]))</f>
        <v>45987</v>
      </c>
    </row>
    <row r="710" spans="2:15" ht="21" customHeight="1" x14ac:dyDescent="0.25">
      <c r="B710" s="39">
        <v>1620</v>
      </c>
      <c r="C710" s="20">
        <v>45988</v>
      </c>
      <c r="D710" s="40" t="s">
        <v>170</v>
      </c>
      <c r="E710" s="37" t="str">
        <f>IFERROR(VLOOKUP(D710,CLIENTES!$B$12:$G$2602,2,FALSE),"")</f>
        <v>RAMON ANGEL RIQUELME OLIVARES</v>
      </c>
      <c r="F710" s="31">
        <v>119000</v>
      </c>
      <c r="G710" s="41" t="s">
        <v>101</v>
      </c>
      <c r="H710" s="26">
        <v>0</v>
      </c>
      <c r="I710" s="21" t="str">
        <f t="shared" si="100"/>
        <v>Contado</v>
      </c>
      <c r="J710" s="22">
        <f t="shared" si="101"/>
        <v>45988</v>
      </c>
      <c r="K710" s="27">
        <f t="shared" ca="1" si="102"/>
        <v>0</v>
      </c>
      <c r="L710" s="23" t="str">
        <f t="shared" si="103"/>
        <v>Pagado</v>
      </c>
      <c r="M710" s="36">
        <f>SUMIFS(Tabla_Pagos[IMPORTE ABONADO],Tabla_Pagos[FECHA DE ABONO],"&gt;0",Tabla_Pagos[NRO DOC],B710)</f>
        <v>119000</v>
      </c>
      <c r="N710" s="36">
        <f t="shared" si="104"/>
        <v>0</v>
      </c>
      <c r="O710" s="22" cm="1">
        <f t="array" ref="O710">MAX(IF((Tabla_Pagos[NRO DOC]=B710)*(Tabla_Pagos[IMPORTE ABONADO]&gt;0),Tabla_Pagos[FECHA DE ABONO]))</f>
        <v>45988</v>
      </c>
    </row>
    <row r="711" spans="2:15" ht="21" customHeight="1" x14ac:dyDescent="0.25">
      <c r="B711" s="39">
        <v>1621</v>
      </c>
      <c r="C711" s="20">
        <v>45988</v>
      </c>
      <c r="D711" s="40" t="s">
        <v>170</v>
      </c>
      <c r="E711" s="37" t="str">
        <f>IFERROR(VLOOKUP(D711,CLIENTES!$B$12:$G$2602,2,FALSE),"")</f>
        <v>RAMON ANGEL RIQUELME OLIVARES</v>
      </c>
      <c r="F711" s="31">
        <v>11900</v>
      </c>
      <c r="G711" s="41" t="s">
        <v>101</v>
      </c>
      <c r="H711" s="26">
        <v>0</v>
      </c>
      <c r="I711" s="21" t="str">
        <f t="shared" si="100"/>
        <v>Contado</v>
      </c>
      <c r="J711" s="22">
        <f t="shared" si="101"/>
        <v>45988</v>
      </c>
      <c r="K711" s="27">
        <f t="shared" ca="1" si="102"/>
        <v>0</v>
      </c>
      <c r="L711" s="23" t="str">
        <f t="shared" si="103"/>
        <v>Pagado</v>
      </c>
      <c r="M711" s="36">
        <f>SUMIFS(Tabla_Pagos[IMPORTE ABONADO],Tabla_Pagos[FECHA DE ABONO],"&gt;0",Tabla_Pagos[NRO DOC],B711)</f>
        <v>11900</v>
      </c>
      <c r="N711" s="36">
        <f t="shared" si="104"/>
        <v>0</v>
      </c>
      <c r="O711" s="22" cm="1">
        <f t="array" ref="O711">MAX(IF((Tabla_Pagos[NRO DOC]=B711)*(Tabla_Pagos[IMPORTE ABONADO]&gt;0),Tabla_Pagos[FECHA DE ABONO]))</f>
        <v>45988</v>
      </c>
    </row>
    <row r="712" spans="2:15" ht="21" customHeight="1" x14ac:dyDescent="0.25">
      <c r="B712" s="39">
        <v>1622</v>
      </c>
      <c r="C712" s="20">
        <v>45988</v>
      </c>
      <c r="D712" s="40" t="s">
        <v>170</v>
      </c>
      <c r="E712" s="37" t="str">
        <f>IFERROR(VLOOKUP(D712,CLIENTES!$B$12:$G$2602,2,FALSE),"")</f>
        <v>RAMON ANGEL RIQUELME OLIVARES</v>
      </c>
      <c r="F712" s="31">
        <v>28560</v>
      </c>
      <c r="G712" s="41" t="s">
        <v>101</v>
      </c>
      <c r="H712" s="26">
        <v>0</v>
      </c>
      <c r="I712" s="21" t="str">
        <f t="shared" si="100"/>
        <v>Contado</v>
      </c>
      <c r="J712" s="22">
        <f t="shared" si="101"/>
        <v>45988</v>
      </c>
      <c r="K712" s="27">
        <f t="shared" ca="1" si="102"/>
        <v>0</v>
      </c>
      <c r="L712" s="23" t="str">
        <f t="shared" si="103"/>
        <v>Pagado</v>
      </c>
      <c r="M712" s="36">
        <f>SUMIFS(Tabla_Pagos[IMPORTE ABONADO],Tabla_Pagos[FECHA DE ABONO],"&gt;0",Tabla_Pagos[NRO DOC],B712)</f>
        <v>28560</v>
      </c>
      <c r="N712" s="36">
        <f t="shared" si="104"/>
        <v>0</v>
      </c>
      <c r="O712" s="22" cm="1">
        <f t="array" ref="O712">MAX(IF((Tabla_Pagos[NRO DOC]=B712)*(Tabla_Pagos[IMPORTE ABONADO]&gt;0),Tabla_Pagos[FECHA DE ABONO]))</f>
        <v>45988</v>
      </c>
    </row>
    <row r="713" spans="2:15" ht="21" customHeight="1" x14ac:dyDescent="0.25">
      <c r="B713" s="39">
        <v>1623</v>
      </c>
      <c r="C713" s="20">
        <v>45988</v>
      </c>
      <c r="D713" s="40" t="s">
        <v>590</v>
      </c>
      <c r="E713" s="37" t="str">
        <f>IFERROR(VLOOKUP(D713,CLIENTES!$B$12:$G$2602,2,FALSE),"")</f>
        <v>TRANSPORTES Y LOGISTICA PAZ OCHOA SPA</v>
      </c>
      <c r="F713" s="31">
        <v>24990</v>
      </c>
      <c r="G713" s="41" t="s">
        <v>101</v>
      </c>
      <c r="H713" s="26">
        <v>0</v>
      </c>
      <c r="I713" s="21" t="str">
        <f t="shared" si="100"/>
        <v>Contado</v>
      </c>
      <c r="J713" s="22">
        <f t="shared" si="101"/>
        <v>45988</v>
      </c>
      <c r="K713" s="27">
        <f t="shared" ca="1" si="102"/>
        <v>0</v>
      </c>
      <c r="L713" s="23" t="str">
        <f t="shared" si="103"/>
        <v>Pagado</v>
      </c>
      <c r="M713" s="36">
        <f>SUMIFS(Tabla_Pagos[IMPORTE ABONADO],Tabla_Pagos[FECHA DE ABONO],"&gt;0",Tabla_Pagos[NRO DOC],B713)</f>
        <v>24990</v>
      </c>
      <c r="N713" s="36">
        <f t="shared" si="104"/>
        <v>0</v>
      </c>
      <c r="O713" s="22" cm="1">
        <f t="array" ref="O713">MAX(IF((Tabla_Pagos[NRO DOC]=B713)*(Tabla_Pagos[IMPORTE ABONADO]&gt;0),Tabla_Pagos[FECHA DE ABONO]))</f>
        <v>45988</v>
      </c>
    </row>
    <row r="714" spans="2:15" ht="21" customHeight="1" x14ac:dyDescent="0.25">
      <c r="B714" s="39">
        <v>1624</v>
      </c>
      <c r="C714" s="20">
        <v>45989</v>
      </c>
      <c r="D714" s="40" t="s">
        <v>466</v>
      </c>
      <c r="E714" s="37" t="str">
        <f>IFERROR(VLOOKUP(D714,CLIENTES!$B$12:$G$2602,2,FALSE),"")</f>
        <v>DHARMA SPA</v>
      </c>
      <c r="F714" s="31">
        <v>92000</v>
      </c>
      <c r="G714" s="41" t="s">
        <v>101</v>
      </c>
      <c r="H714" s="26">
        <v>0</v>
      </c>
      <c r="I714" s="21" t="str">
        <f t="shared" si="100"/>
        <v>Contado</v>
      </c>
      <c r="J714" s="22">
        <f t="shared" si="101"/>
        <v>45989</v>
      </c>
      <c r="K714" s="27">
        <f t="shared" ca="1" si="102"/>
        <v>0</v>
      </c>
      <c r="L714" s="23" t="str">
        <f t="shared" si="103"/>
        <v>Pagado</v>
      </c>
      <c r="M714" s="36">
        <f>SUMIFS(Tabla_Pagos[IMPORTE ABONADO],Tabla_Pagos[FECHA DE ABONO],"&gt;0",Tabla_Pagos[NRO DOC],B714)</f>
        <v>92000</v>
      </c>
      <c r="N714" s="36">
        <f t="shared" si="104"/>
        <v>0</v>
      </c>
      <c r="O714" s="22" cm="1">
        <f t="array" ref="O714">MAX(IF((Tabla_Pagos[NRO DOC]=B714)*(Tabla_Pagos[IMPORTE ABONADO]&gt;0),Tabla_Pagos[FECHA DE ABONO]))</f>
        <v>45989</v>
      </c>
    </row>
    <row r="715" spans="2:15" ht="21" customHeight="1" x14ac:dyDescent="0.25">
      <c r="B715" s="39">
        <v>1625</v>
      </c>
      <c r="C715" s="20">
        <v>45992</v>
      </c>
      <c r="D715" s="40" t="s">
        <v>597</v>
      </c>
      <c r="E715" s="37" t="str">
        <f>IFERROR(VLOOKUP(D715,CLIENTES!$B$12:$G$2602,2,FALSE),"")</f>
        <v>CITEXCO SPA</v>
      </c>
      <c r="F715" s="31">
        <v>59500</v>
      </c>
      <c r="G715" s="41" t="s">
        <v>101</v>
      </c>
      <c r="H715" s="26">
        <v>0</v>
      </c>
      <c r="I715" s="21" t="str">
        <f>IF(H715="","",IF(H715=0,"Contado","Crédito"))</f>
        <v>Contado</v>
      </c>
      <c r="J715" s="22">
        <f>IF(I715="","",C715+H715)</f>
        <v>45992</v>
      </c>
      <c r="K715" s="27">
        <f ca="1">IFERROR(IF(B715="","",IF(N715=0,0,J715-TODAY())),"")</f>
        <v>0</v>
      </c>
      <c r="L715" s="23" t="str">
        <f>IF(I715="","",IF(N715=0,"Pagado",IF(K715&lt;0,"Vencido","No vencido")))</f>
        <v>Pagado</v>
      </c>
      <c r="M715" s="36">
        <f>SUMIFS(Tabla_Pagos[IMPORTE ABONADO],Tabla_Pagos[FECHA DE ABONO],"&gt;0",Tabla_Pagos[NRO DOC],B715)</f>
        <v>59500</v>
      </c>
      <c r="N715" s="36">
        <f>F715-M715</f>
        <v>0</v>
      </c>
      <c r="O715" s="22" cm="1">
        <f t="array" ref="O715">MAX(IF((Tabla_Pagos[NRO DOC]=B715)*(Tabla_Pagos[IMPORTE ABONADO]&gt;0),Tabla_Pagos[FECHA DE ABONO]))</f>
        <v>45992</v>
      </c>
    </row>
    <row r="716" spans="2:15" ht="21" customHeight="1" x14ac:dyDescent="0.25">
      <c r="B716" s="39">
        <v>1626</v>
      </c>
      <c r="C716" s="20">
        <v>45992</v>
      </c>
      <c r="D716" s="40" t="s">
        <v>102</v>
      </c>
      <c r="E716" s="37" t="str">
        <f>IFERROR(VLOOKUP(D716,CLIENTES!$B$12:$G$2602,2,FALSE),"")</f>
        <v>CONSTRUCTORA CARLOS ALBERTO ANDRES ALBISTUR REYES E.I.R.L.</v>
      </c>
      <c r="F716" s="31">
        <v>64855</v>
      </c>
      <c r="G716" s="41" t="s">
        <v>101</v>
      </c>
      <c r="H716" s="26">
        <v>30</v>
      </c>
      <c r="I716" s="21" t="str">
        <f t="shared" ref="I716:I743" si="105">IF(H716="","",IF(H716=0,"Contado","Crédito"))</f>
        <v>Crédito</v>
      </c>
      <c r="J716" s="22">
        <f t="shared" ref="J716:J743" si="106">IF(I716="","",C716+H716)</f>
        <v>46022</v>
      </c>
      <c r="K716" s="27">
        <f t="shared" ref="K716:K743" ca="1" si="107">IFERROR(IF(B716="","",IF(N716=0,0,J716-TODAY())),"")</f>
        <v>0</v>
      </c>
      <c r="L716" s="23" t="str">
        <f t="shared" ref="L716:L743" si="108">IF(I716="","",IF(N716=0,"Pagado",IF(K716&lt;0,"Vencido","No vencido")))</f>
        <v>Pagado</v>
      </c>
      <c r="M716" s="36">
        <f>SUMIFS(Tabla_Pagos[IMPORTE ABONADO],Tabla_Pagos[FECHA DE ABONO],"&gt;0",Tabla_Pagos[NRO DOC],B716)</f>
        <v>64855</v>
      </c>
      <c r="N716" s="36">
        <f t="shared" ref="N716:N743" si="109">F716-M716</f>
        <v>0</v>
      </c>
      <c r="O716" s="22" cm="1">
        <f t="array" ref="O716">MAX(IF((Tabla_Pagos[NRO DOC]=B716)*(Tabla_Pagos[IMPORTE ABONADO]&gt;0),Tabla_Pagos[FECHA DE ABONO]))</f>
        <v>46006</v>
      </c>
    </row>
    <row r="717" spans="2:15" ht="21" customHeight="1" x14ac:dyDescent="0.25">
      <c r="B717" s="39">
        <v>1627</v>
      </c>
      <c r="C717" s="20">
        <v>45992</v>
      </c>
      <c r="D717" s="40" t="s">
        <v>102</v>
      </c>
      <c r="E717" s="37" t="str">
        <f>IFERROR(VLOOKUP(D717,CLIENTES!$B$12:$G$2602,2,FALSE),"")</f>
        <v>CONSTRUCTORA CARLOS ALBERTO ANDRES ALBISTUR REYES E.I.R.L.</v>
      </c>
      <c r="F717" s="31">
        <v>386631</v>
      </c>
      <c r="G717" s="41" t="s">
        <v>101</v>
      </c>
      <c r="H717" s="26">
        <v>30</v>
      </c>
      <c r="I717" s="21" t="str">
        <f t="shared" si="105"/>
        <v>Crédito</v>
      </c>
      <c r="J717" s="22">
        <f t="shared" si="106"/>
        <v>46022</v>
      </c>
      <c r="K717" s="27">
        <f t="shared" ca="1" si="107"/>
        <v>0</v>
      </c>
      <c r="L717" s="23" t="str">
        <f t="shared" si="108"/>
        <v>Pagado</v>
      </c>
      <c r="M717" s="36">
        <f>SUMIFS(Tabla_Pagos[IMPORTE ABONADO],Tabla_Pagos[FECHA DE ABONO],"&gt;0",Tabla_Pagos[NRO DOC],B717)</f>
        <v>386631</v>
      </c>
      <c r="N717" s="36">
        <f t="shared" si="109"/>
        <v>0</v>
      </c>
      <c r="O717" s="22" cm="1">
        <f t="array" ref="O717">MAX(IF((Tabla_Pagos[NRO DOC]=B717)*(Tabla_Pagos[IMPORTE ABONADO]&gt;0),Tabla_Pagos[FECHA DE ABONO]))</f>
        <v>46006</v>
      </c>
    </row>
    <row r="718" spans="2:15" ht="21" customHeight="1" x14ac:dyDescent="0.25">
      <c r="B718" s="39">
        <v>1628</v>
      </c>
      <c r="C718" s="20">
        <v>45992</v>
      </c>
      <c r="D718" s="40" t="s">
        <v>102</v>
      </c>
      <c r="E718" s="37" t="str">
        <f>IFERROR(VLOOKUP(D718,CLIENTES!$B$12:$G$2602,2,FALSE),"")</f>
        <v>CONSTRUCTORA CARLOS ALBERTO ANDRES ALBISTUR REYES E.I.R.L.</v>
      </c>
      <c r="F718" s="31">
        <v>128520</v>
      </c>
      <c r="G718" s="41" t="s">
        <v>101</v>
      </c>
      <c r="H718" s="26">
        <v>30</v>
      </c>
      <c r="I718" s="21" t="str">
        <f t="shared" si="105"/>
        <v>Crédito</v>
      </c>
      <c r="J718" s="22">
        <f t="shared" si="106"/>
        <v>46022</v>
      </c>
      <c r="K718" s="27">
        <f t="shared" ca="1" si="107"/>
        <v>0</v>
      </c>
      <c r="L718" s="23" t="str">
        <f t="shared" si="108"/>
        <v>Pagado</v>
      </c>
      <c r="M718" s="36">
        <f>SUMIFS(Tabla_Pagos[IMPORTE ABONADO],Tabla_Pagos[FECHA DE ABONO],"&gt;0",Tabla_Pagos[NRO DOC],B718)</f>
        <v>128520</v>
      </c>
      <c r="N718" s="36">
        <f t="shared" si="109"/>
        <v>0</v>
      </c>
      <c r="O718" s="22" cm="1">
        <f t="array" ref="O718">MAX(IF((Tabla_Pagos[NRO DOC]=B718)*(Tabla_Pagos[IMPORTE ABONADO]&gt;0),Tabla_Pagos[FECHA DE ABONO]))</f>
        <v>46006</v>
      </c>
    </row>
    <row r="719" spans="2:15" ht="21" customHeight="1" x14ac:dyDescent="0.25">
      <c r="B719" s="39">
        <v>1629</v>
      </c>
      <c r="C719" s="20">
        <v>45993</v>
      </c>
      <c r="D719" s="40" t="s">
        <v>598</v>
      </c>
      <c r="E719" s="37" t="str">
        <f>IFERROR(VLOOKUP(D719,CLIENTES!$B$12:$G$2602,2,FALSE),"")</f>
        <v>EMPRESA MILLAN LIMITADA</v>
      </c>
      <c r="F719" s="31">
        <v>17850</v>
      </c>
      <c r="G719" s="41" t="s">
        <v>101</v>
      </c>
      <c r="H719" s="26">
        <v>0</v>
      </c>
      <c r="I719" s="21" t="str">
        <f t="shared" si="105"/>
        <v>Contado</v>
      </c>
      <c r="J719" s="22">
        <f t="shared" si="106"/>
        <v>45993</v>
      </c>
      <c r="K719" s="27">
        <f t="shared" ca="1" si="107"/>
        <v>0</v>
      </c>
      <c r="L719" s="23" t="str">
        <f t="shared" si="108"/>
        <v>Pagado</v>
      </c>
      <c r="M719" s="36">
        <f>SUMIFS(Tabla_Pagos[IMPORTE ABONADO],Tabla_Pagos[FECHA DE ABONO],"&gt;0",Tabla_Pagos[NRO DOC],B719)</f>
        <v>17850</v>
      </c>
      <c r="N719" s="36">
        <f t="shared" si="109"/>
        <v>0</v>
      </c>
      <c r="O719" s="22" cm="1">
        <f t="array" ref="O719">MAX(IF((Tabla_Pagos[NRO DOC]=B719)*(Tabla_Pagos[IMPORTE ABONADO]&gt;0),Tabla_Pagos[FECHA DE ABONO]))</f>
        <v>45993</v>
      </c>
    </row>
    <row r="720" spans="2:15" ht="21" customHeight="1" x14ac:dyDescent="0.25">
      <c r="B720" s="39">
        <v>1630</v>
      </c>
      <c r="C720" s="20">
        <v>45994</v>
      </c>
      <c r="D720" s="40" t="s">
        <v>538</v>
      </c>
      <c r="E720" s="37" t="str">
        <f>IFERROR(VLOOKUP(D720,CLIENTES!$B$12:$G$2602,2,FALSE),"")</f>
        <v>ATACAMA TECH SPA</v>
      </c>
      <c r="F720" s="31">
        <v>107100</v>
      </c>
      <c r="G720" s="41" t="s">
        <v>101</v>
      </c>
      <c r="H720" s="26">
        <v>0</v>
      </c>
      <c r="I720" s="21" t="str">
        <f t="shared" si="105"/>
        <v>Contado</v>
      </c>
      <c r="J720" s="22">
        <f t="shared" si="106"/>
        <v>45994</v>
      </c>
      <c r="K720" s="27">
        <f t="shared" ca="1" si="107"/>
        <v>0</v>
      </c>
      <c r="L720" s="23" t="str">
        <f t="shared" si="108"/>
        <v>Pagado</v>
      </c>
      <c r="M720" s="36">
        <f>SUMIFS(Tabla_Pagos[IMPORTE ABONADO],Tabla_Pagos[FECHA DE ABONO],"&gt;0",Tabla_Pagos[NRO DOC],B720)</f>
        <v>107100</v>
      </c>
      <c r="N720" s="36">
        <f t="shared" si="109"/>
        <v>0</v>
      </c>
      <c r="O720" s="22" cm="1">
        <f t="array" ref="O720">MAX(IF((Tabla_Pagos[NRO DOC]=B720)*(Tabla_Pagos[IMPORTE ABONADO]&gt;0),Tabla_Pagos[FECHA DE ABONO]))</f>
        <v>45994</v>
      </c>
    </row>
    <row r="721" spans="2:15" ht="21" customHeight="1" x14ac:dyDescent="0.25">
      <c r="B721" s="39">
        <v>1631</v>
      </c>
      <c r="C721" s="20">
        <v>45994</v>
      </c>
      <c r="D721" s="40" t="s">
        <v>460</v>
      </c>
      <c r="E721" s="37" t="str">
        <f>IFERROR(VLOOKUP(D721,CLIENTES!$B$12:$G$2602,2,FALSE),"")</f>
        <v>INGENIERIA GACITUA SPA</v>
      </c>
      <c r="F721" s="31">
        <v>62475</v>
      </c>
      <c r="G721" s="41" t="s">
        <v>101</v>
      </c>
      <c r="H721" s="26">
        <v>0</v>
      </c>
      <c r="I721" s="21" t="str">
        <f t="shared" si="105"/>
        <v>Contado</v>
      </c>
      <c r="J721" s="22">
        <f t="shared" si="106"/>
        <v>45994</v>
      </c>
      <c r="K721" s="27">
        <f t="shared" ca="1" si="107"/>
        <v>0</v>
      </c>
      <c r="L721" s="23" t="str">
        <f t="shared" si="108"/>
        <v>Pagado</v>
      </c>
      <c r="M721" s="36">
        <f>SUMIFS(Tabla_Pagos[IMPORTE ABONADO],Tabla_Pagos[FECHA DE ABONO],"&gt;0",Tabla_Pagos[NRO DOC],B721)</f>
        <v>62475</v>
      </c>
      <c r="N721" s="36">
        <f t="shared" si="109"/>
        <v>0</v>
      </c>
      <c r="O721" s="22" cm="1">
        <f t="array" ref="O721">MAX(IF((Tabla_Pagos[NRO DOC]=B721)*(Tabla_Pagos[IMPORTE ABONADO]&gt;0),Tabla_Pagos[FECHA DE ABONO]))</f>
        <v>45994</v>
      </c>
    </row>
    <row r="722" spans="2:15" ht="21" customHeight="1" x14ac:dyDescent="0.25">
      <c r="B722" s="39">
        <v>1632</v>
      </c>
      <c r="C722" s="20">
        <v>45994</v>
      </c>
      <c r="D722" s="40" t="s">
        <v>599</v>
      </c>
      <c r="E722" s="37" t="str">
        <f>IFERROR(VLOOKUP(D722,CLIENTES!$B$12:$G$2602,2,FALSE),"")</f>
        <v>RAMOS SERVICES SPA</v>
      </c>
      <c r="F722" s="31">
        <v>21420</v>
      </c>
      <c r="G722" s="41" t="s">
        <v>101</v>
      </c>
      <c r="H722" s="26">
        <v>0</v>
      </c>
      <c r="I722" s="21" t="str">
        <f t="shared" si="105"/>
        <v>Contado</v>
      </c>
      <c r="J722" s="22">
        <f t="shared" si="106"/>
        <v>45994</v>
      </c>
      <c r="K722" s="27">
        <f t="shared" ca="1" si="107"/>
        <v>0</v>
      </c>
      <c r="L722" s="23" t="str">
        <f t="shared" si="108"/>
        <v>Pagado</v>
      </c>
      <c r="M722" s="36">
        <f>SUMIFS(Tabla_Pagos[IMPORTE ABONADO],Tabla_Pagos[FECHA DE ABONO],"&gt;0",Tabla_Pagos[NRO DOC],B722)</f>
        <v>21420</v>
      </c>
      <c r="N722" s="36">
        <f t="shared" si="109"/>
        <v>0</v>
      </c>
      <c r="O722" s="22" cm="1">
        <f t="array" ref="O722">MAX(IF((Tabla_Pagos[NRO DOC]=B722)*(Tabla_Pagos[IMPORTE ABONADO]&gt;0),Tabla_Pagos[FECHA DE ABONO]))</f>
        <v>45994</v>
      </c>
    </row>
    <row r="723" spans="2:15" ht="21" customHeight="1" x14ac:dyDescent="0.25">
      <c r="B723" s="39">
        <v>1633</v>
      </c>
      <c r="C723" s="20">
        <v>45994</v>
      </c>
      <c r="D723" s="40" t="s">
        <v>600</v>
      </c>
      <c r="E723" s="37" t="str">
        <f>IFERROR(VLOOKUP(D723,CLIENTES!$B$12:$G$2602,2,FALSE),"")</f>
        <v>MARTEX SPA</v>
      </c>
      <c r="F723" s="31">
        <v>535500</v>
      </c>
      <c r="G723" s="41" t="s">
        <v>101</v>
      </c>
      <c r="H723" s="26">
        <v>0</v>
      </c>
      <c r="I723" s="21" t="str">
        <f t="shared" si="105"/>
        <v>Contado</v>
      </c>
      <c r="J723" s="22">
        <f t="shared" si="106"/>
        <v>45994</v>
      </c>
      <c r="K723" s="27">
        <f t="shared" ca="1" si="107"/>
        <v>0</v>
      </c>
      <c r="L723" s="23" t="str">
        <f t="shared" si="108"/>
        <v>Pagado</v>
      </c>
      <c r="M723" s="36">
        <f>SUMIFS(Tabla_Pagos[IMPORTE ABONADO],Tabla_Pagos[FECHA DE ABONO],"&gt;0",Tabla_Pagos[NRO DOC],B723)</f>
        <v>535500</v>
      </c>
      <c r="N723" s="36">
        <f t="shared" si="109"/>
        <v>0</v>
      </c>
      <c r="O723" s="22" cm="1">
        <f t="array" ref="O723">MAX(IF((Tabla_Pagos[NRO DOC]=B723)*(Tabla_Pagos[IMPORTE ABONADO]&gt;0),Tabla_Pagos[FECHA DE ABONO]))</f>
        <v>45994</v>
      </c>
    </row>
    <row r="724" spans="2:15" ht="21" customHeight="1" x14ac:dyDescent="0.25">
      <c r="B724" s="39">
        <v>1634</v>
      </c>
      <c r="C724" s="20">
        <v>45994</v>
      </c>
      <c r="D724" s="40" t="s">
        <v>319</v>
      </c>
      <c r="E724" s="37" t="str">
        <f>IFERROR(VLOOKUP(D724,CLIENTES!$B$12:$G$2602,2,FALSE),"")</f>
        <v>COMERCIAL BOREAL SPA</v>
      </c>
      <c r="F724" s="31">
        <v>135660</v>
      </c>
      <c r="G724" s="41" t="s">
        <v>101</v>
      </c>
      <c r="H724" s="26">
        <v>0</v>
      </c>
      <c r="I724" s="21" t="str">
        <f t="shared" si="105"/>
        <v>Contado</v>
      </c>
      <c r="J724" s="22">
        <f t="shared" si="106"/>
        <v>45994</v>
      </c>
      <c r="K724" s="27">
        <f t="shared" ca="1" si="107"/>
        <v>0</v>
      </c>
      <c r="L724" s="23" t="str">
        <f t="shared" si="108"/>
        <v>Pagado</v>
      </c>
      <c r="M724" s="36">
        <f>SUMIFS(Tabla_Pagos[IMPORTE ABONADO],Tabla_Pagos[FECHA DE ABONO],"&gt;0",Tabla_Pagos[NRO DOC],B724)</f>
        <v>135660</v>
      </c>
      <c r="N724" s="36">
        <f t="shared" si="109"/>
        <v>0</v>
      </c>
      <c r="O724" s="22" cm="1">
        <f t="array" ref="O724">MAX(IF((Tabla_Pagos[NRO DOC]=B724)*(Tabla_Pagos[IMPORTE ABONADO]&gt;0),Tabla_Pagos[FECHA DE ABONO]))</f>
        <v>45994</v>
      </c>
    </row>
    <row r="725" spans="2:15" ht="21" customHeight="1" x14ac:dyDescent="0.25">
      <c r="B725" s="39">
        <v>1635</v>
      </c>
      <c r="C725" s="20">
        <v>45995</v>
      </c>
      <c r="D725" s="40" t="s">
        <v>257</v>
      </c>
      <c r="E725" s="37" t="str">
        <f>IFERROR(VLOOKUP(D725,CLIENTES!$B$12:$G$2602,2,FALSE),"")</f>
        <v>SOCIEDAD SB CARRASQUERO SPA</v>
      </c>
      <c r="F725" s="31">
        <v>17850</v>
      </c>
      <c r="G725" s="41" t="s">
        <v>101</v>
      </c>
      <c r="H725" s="26">
        <v>0</v>
      </c>
      <c r="I725" s="21" t="str">
        <f t="shared" si="105"/>
        <v>Contado</v>
      </c>
      <c r="J725" s="22">
        <f t="shared" si="106"/>
        <v>45995</v>
      </c>
      <c r="K725" s="27">
        <f t="shared" ca="1" si="107"/>
        <v>0</v>
      </c>
      <c r="L725" s="23" t="str">
        <f t="shared" si="108"/>
        <v>Pagado</v>
      </c>
      <c r="M725" s="36">
        <f>SUMIFS(Tabla_Pagos[IMPORTE ABONADO],Tabla_Pagos[FECHA DE ABONO],"&gt;0",Tabla_Pagos[NRO DOC],B725)</f>
        <v>17850</v>
      </c>
      <c r="N725" s="36">
        <f t="shared" si="109"/>
        <v>0</v>
      </c>
      <c r="O725" s="22" cm="1">
        <f t="array" ref="O725">MAX(IF((Tabla_Pagos[NRO DOC]=B725)*(Tabla_Pagos[IMPORTE ABONADO]&gt;0),Tabla_Pagos[FECHA DE ABONO]))</f>
        <v>45995</v>
      </c>
    </row>
    <row r="726" spans="2:15" ht="21" customHeight="1" x14ac:dyDescent="0.25">
      <c r="B726" s="39">
        <v>1636</v>
      </c>
      <c r="C726" s="20">
        <v>45996</v>
      </c>
      <c r="D726" s="40" t="s">
        <v>601</v>
      </c>
      <c r="E726" s="37" t="str">
        <f>IFERROR(VLOOKUP(D726,CLIENTES!$B$12:$G$2602,2,FALSE),"")</f>
        <v>ASOC DE BASQUETBOL DE COPIAPO</v>
      </c>
      <c r="F726" s="31">
        <v>416500</v>
      </c>
      <c r="G726" s="41" t="s">
        <v>101</v>
      </c>
      <c r="H726" s="26">
        <v>0</v>
      </c>
      <c r="I726" s="21" t="str">
        <f t="shared" si="105"/>
        <v>Contado</v>
      </c>
      <c r="J726" s="22">
        <f t="shared" si="106"/>
        <v>45996</v>
      </c>
      <c r="K726" s="27">
        <f t="shared" ca="1" si="107"/>
        <v>0</v>
      </c>
      <c r="L726" s="23" t="str">
        <f t="shared" si="108"/>
        <v>Pagado</v>
      </c>
      <c r="M726" s="36">
        <f>SUMIFS(Tabla_Pagos[IMPORTE ABONADO],Tabla_Pagos[FECHA DE ABONO],"&gt;0",Tabla_Pagos[NRO DOC],B726)</f>
        <v>416500</v>
      </c>
      <c r="N726" s="36">
        <f t="shared" si="109"/>
        <v>0</v>
      </c>
      <c r="O726" s="22" cm="1">
        <f t="array" ref="O726">MAX(IF((Tabla_Pagos[NRO DOC]=B726)*(Tabla_Pagos[IMPORTE ABONADO]&gt;0),Tabla_Pagos[FECHA DE ABONO]))</f>
        <v>45996</v>
      </c>
    </row>
    <row r="727" spans="2:15" ht="21" customHeight="1" x14ac:dyDescent="0.25">
      <c r="B727" s="39">
        <v>1637</v>
      </c>
      <c r="C727" s="20">
        <v>45996</v>
      </c>
      <c r="D727" s="40" t="s">
        <v>417</v>
      </c>
      <c r="E727" s="37" t="str">
        <f>IFERROR(VLOOKUP(D727,CLIENTES!$B$12:$G$2602,2,FALSE),"")</f>
        <v>INGENIERIA HIDRAULICA LIMITADA</v>
      </c>
      <c r="F727" s="31">
        <v>452200</v>
      </c>
      <c r="G727" s="41" t="s">
        <v>101</v>
      </c>
      <c r="H727" s="26">
        <v>0</v>
      </c>
      <c r="I727" s="21" t="str">
        <f t="shared" si="105"/>
        <v>Contado</v>
      </c>
      <c r="J727" s="22">
        <f t="shared" si="106"/>
        <v>45996</v>
      </c>
      <c r="K727" s="27">
        <f t="shared" ca="1" si="107"/>
        <v>0</v>
      </c>
      <c r="L727" s="23" t="str">
        <f t="shared" si="108"/>
        <v>Pagado</v>
      </c>
      <c r="M727" s="36">
        <f>SUMIFS(Tabla_Pagos[IMPORTE ABONADO],Tabla_Pagos[FECHA DE ABONO],"&gt;0",Tabla_Pagos[NRO DOC],B727)</f>
        <v>452200</v>
      </c>
      <c r="N727" s="36">
        <f t="shared" si="109"/>
        <v>0</v>
      </c>
      <c r="O727" s="22" cm="1">
        <f t="array" ref="O727">MAX(IF((Tabla_Pagos[NRO DOC]=B727)*(Tabla_Pagos[IMPORTE ABONADO]&gt;0),Tabla_Pagos[FECHA DE ABONO]))</f>
        <v>45996</v>
      </c>
    </row>
    <row r="728" spans="2:15" ht="21" customHeight="1" x14ac:dyDescent="0.25">
      <c r="B728" s="39">
        <v>1638</v>
      </c>
      <c r="C728" s="20">
        <v>45996</v>
      </c>
      <c r="D728" s="40" t="s">
        <v>602</v>
      </c>
      <c r="E728" s="37" t="str">
        <f>IFERROR(VLOOKUP(D728,CLIENTES!$B$12:$G$2602,2,FALSE),"")</f>
        <v>EL SALADO SPA</v>
      </c>
      <c r="F728" s="31">
        <v>89250</v>
      </c>
      <c r="G728" s="41" t="s">
        <v>101</v>
      </c>
      <c r="H728" s="26">
        <v>0</v>
      </c>
      <c r="I728" s="21" t="str">
        <f t="shared" si="105"/>
        <v>Contado</v>
      </c>
      <c r="J728" s="22">
        <f t="shared" si="106"/>
        <v>45996</v>
      </c>
      <c r="K728" s="27">
        <f t="shared" ca="1" si="107"/>
        <v>0</v>
      </c>
      <c r="L728" s="23" t="str">
        <f t="shared" si="108"/>
        <v>Pagado</v>
      </c>
      <c r="M728" s="36">
        <f>SUMIFS(Tabla_Pagos[IMPORTE ABONADO],Tabla_Pagos[FECHA DE ABONO],"&gt;0",Tabla_Pagos[NRO DOC],B728)</f>
        <v>89250</v>
      </c>
      <c r="N728" s="36">
        <f t="shared" si="109"/>
        <v>0</v>
      </c>
      <c r="O728" s="22" cm="1">
        <f t="array" ref="O728">MAX(IF((Tabla_Pagos[NRO DOC]=B728)*(Tabla_Pagos[IMPORTE ABONADO]&gt;0),Tabla_Pagos[FECHA DE ABONO]))</f>
        <v>45996</v>
      </c>
    </row>
    <row r="729" spans="2:15" ht="21" customHeight="1" x14ac:dyDescent="0.25">
      <c r="B729" s="39">
        <v>1639</v>
      </c>
      <c r="C729" s="20">
        <v>45996</v>
      </c>
      <c r="D729" s="40" t="s">
        <v>603</v>
      </c>
      <c r="E729" s="37" t="str">
        <f>IFERROR(VLOOKUP(D729,CLIENTES!$B$12:$G$2602,2,FALSE),"")</f>
        <v>BLAST TRUCK INGENIERÃA Y MANTENIMIENTO SPA</v>
      </c>
      <c r="F729" s="31">
        <v>523600</v>
      </c>
      <c r="G729" s="41" t="s">
        <v>101</v>
      </c>
      <c r="H729" s="26">
        <v>30</v>
      </c>
      <c r="I729" s="21" t="str">
        <f t="shared" si="105"/>
        <v>Crédito</v>
      </c>
      <c r="J729" s="22">
        <f t="shared" si="106"/>
        <v>46026</v>
      </c>
      <c r="K729" s="27">
        <f t="shared" ca="1" si="107"/>
        <v>0</v>
      </c>
      <c r="L729" s="23" t="str">
        <f t="shared" si="108"/>
        <v>Pagado</v>
      </c>
      <c r="M729" s="36">
        <f>SUMIFS(Tabla_Pagos[IMPORTE ABONADO],Tabla_Pagos[FECHA DE ABONO],"&gt;0",Tabla_Pagos[NRO DOC],B729)</f>
        <v>523600</v>
      </c>
      <c r="N729" s="36">
        <f t="shared" si="109"/>
        <v>0</v>
      </c>
      <c r="O729" s="22" cm="1">
        <f t="array" ref="O729">MAX(IF((Tabla_Pagos[NRO DOC]=B729)*(Tabla_Pagos[IMPORTE ABONADO]&gt;0),Tabla_Pagos[FECHA DE ABONO]))</f>
        <v>45996</v>
      </c>
    </row>
    <row r="730" spans="2:15" ht="21" customHeight="1" x14ac:dyDescent="0.25">
      <c r="B730" s="39">
        <v>1640</v>
      </c>
      <c r="C730" s="20">
        <v>45996</v>
      </c>
      <c r="D730" s="40" t="s">
        <v>603</v>
      </c>
      <c r="E730" s="37" t="str">
        <f>IFERROR(VLOOKUP(D730,CLIENTES!$B$12:$G$2602,2,FALSE),"")</f>
        <v>BLAST TRUCK INGENIERÃA Y MANTENIMIENTO SPA</v>
      </c>
      <c r="F730" s="31">
        <v>261800</v>
      </c>
      <c r="G730" s="41" t="s">
        <v>101</v>
      </c>
      <c r="H730" s="26">
        <v>30</v>
      </c>
      <c r="I730" s="21" t="str">
        <f t="shared" si="105"/>
        <v>Crédito</v>
      </c>
      <c r="J730" s="22">
        <f t="shared" si="106"/>
        <v>46026</v>
      </c>
      <c r="K730" s="27">
        <f t="shared" ca="1" si="107"/>
        <v>0</v>
      </c>
      <c r="L730" s="23" t="str">
        <f t="shared" si="108"/>
        <v>Pagado</v>
      </c>
      <c r="M730" s="36">
        <f>SUMIFS(Tabla_Pagos[IMPORTE ABONADO],Tabla_Pagos[FECHA DE ABONO],"&gt;0",Tabla_Pagos[NRO DOC],B730)</f>
        <v>261800</v>
      </c>
      <c r="N730" s="36">
        <f t="shared" si="109"/>
        <v>0</v>
      </c>
      <c r="O730" s="22" cm="1">
        <f t="array" ref="O730">MAX(IF((Tabla_Pagos[NRO DOC]=B730)*(Tabla_Pagos[IMPORTE ABONADO]&gt;0),Tabla_Pagos[FECHA DE ABONO]))</f>
        <v>45996</v>
      </c>
    </row>
    <row r="731" spans="2:15" ht="21" customHeight="1" x14ac:dyDescent="0.25">
      <c r="B731" s="39">
        <v>1641</v>
      </c>
      <c r="C731" s="20">
        <v>45996</v>
      </c>
      <c r="D731" s="40" t="s">
        <v>352</v>
      </c>
      <c r="E731" s="37" t="str">
        <f>IFERROR(VLOOKUP(D731,CLIENTES!$B$12:$G$2602,2,FALSE),"")</f>
        <v>MAFA COMERCIAL SPA</v>
      </c>
      <c r="F731" s="31">
        <v>71400</v>
      </c>
      <c r="G731" s="41" t="s">
        <v>101</v>
      </c>
      <c r="H731" s="26">
        <v>0</v>
      </c>
      <c r="I731" s="21" t="str">
        <f t="shared" si="105"/>
        <v>Contado</v>
      </c>
      <c r="J731" s="22">
        <f t="shared" si="106"/>
        <v>45996</v>
      </c>
      <c r="K731" s="27">
        <f t="shared" ca="1" si="107"/>
        <v>0</v>
      </c>
      <c r="L731" s="23" t="str">
        <f t="shared" si="108"/>
        <v>Pagado</v>
      </c>
      <c r="M731" s="36">
        <f>SUMIFS(Tabla_Pagos[IMPORTE ABONADO],Tabla_Pagos[FECHA DE ABONO],"&gt;0",Tabla_Pagos[NRO DOC],B731)</f>
        <v>71400</v>
      </c>
      <c r="N731" s="36">
        <f t="shared" si="109"/>
        <v>0</v>
      </c>
      <c r="O731" s="22" cm="1">
        <f t="array" ref="O731">MAX(IF((Tabla_Pagos[NRO DOC]=B731)*(Tabla_Pagos[IMPORTE ABONADO]&gt;0),Tabla_Pagos[FECHA DE ABONO]))</f>
        <v>45996</v>
      </c>
    </row>
    <row r="732" spans="2:15" ht="21" customHeight="1" x14ac:dyDescent="0.25">
      <c r="B732" s="39">
        <v>1642</v>
      </c>
      <c r="C732" s="20">
        <v>45996</v>
      </c>
      <c r="D732" s="40" t="s">
        <v>504</v>
      </c>
      <c r="E732" s="37" t="str">
        <f>IFERROR(VLOOKUP(D732,CLIENTES!$B$12:$G$2602,2,FALSE),"")</f>
        <v>INTEGRAL SPA</v>
      </c>
      <c r="F732" s="31">
        <v>142800</v>
      </c>
      <c r="G732" s="41" t="s">
        <v>101</v>
      </c>
      <c r="H732" s="26">
        <v>0</v>
      </c>
      <c r="I732" s="21" t="str">
        <f t="shared" si="105"/>
        <v>Contado</v>
      </c>
      <c r="J732" s="22">
        <f t="shared" si="106"/>
        <v>45996</v>
      </c>
      <c r="K732" s="27">
        <f t="shared" ca="1" si="107"/>
        <v>0</v>
      </c>
      <c r="L732" s="23" t="str">
        <f t="shared" si="108"/>
        <v>Pagado</v>
      </c>
      <c r="M732" s="36">
        <f>SUMIFS(Tabla_Pagos[IMPORTE ABONADO],Tabla_Pagos[FECHA DE ABONO],"&gt;0",Tabla_Pagos[NRO DOC],B732)</f>
        <v>142800</v>
      </c>
      <c r="N732" s="36">
        <f t="shared" si="109"/>
        <v>0</v>
      </c>
      <c r="O732" s="22" cm="1">
        <f t="array" ref="O732">MAX(IF((Tabla_Pagos[NRO DOC]=B732)*(Tabla_Pagos[IMPORTE ABONADO]&gt;0),Tabla_Pagos[FECHA DE ABONO]))</f>
        <v>45996</v>
      </c>
    </row>
    <row r="733" spans="2:15" ht="21" customHeight="1" x14ac:dyDescent="0.25">
      <c r="B733" s="39">
        <v>1644</v>
      </c>
      <c r="C733" s="20">
        <v>46001</v>
      </c>
      <c r="D733" s="40" t="s">
        <v>44</v>
      </c>
      <c r="E733" s="37" t="str">
        <f>IFERROR(VLOOKUP(D733,CLIENTES!$B$12:$G$2602,2,FALSE),"")</f>
        <v>SKC RED SPA</v>
      </c>
      <c r="F733" s="31">
        <v>249900</v>
      </c>
      <c r="G733" s="41" t="s">
        <v>101</v>
      </c>
      <c r="H733" s="26">
        <v>30</v>
      </c>
      <c r="I733" s="21" t="str">
        <f t="shared" si="105"/>
        <v>Crédito</v>
      </c>
      <c r="J733" s="22">
        <f t="shared" si="106"/>
        <v>46031</v>
      </c>
      <c r="K733" s="27">
        <f t="shared" ca="1" si="107"/>
        <v>0</v>
      </c>
      <c r="L733" s="23" t="str">
        <f t="shared" si="108"/>
        <v>Pagado</v>
      </c>
      <c r="M733" s="36">
        <f>SUMIFS(Tabla_Pagos[IMPORTE ABONADO],Tabla_Pagos[FECHA DE ABONO],"&gt;0",Tabla_Pagos[NRO DOC],B733)</f>
        <v>249900</v>
      </c>
      <c r="N733" s="36">
        <f t="shared" si="109"/>
        <v>0</v>
      </c>
      <c r="O733" s="22" cm="1">
        <f t="array" ref="O733">MAX(IF((Tabla_Pagos[NRO DOC]=B733)*(Tabla_Pagos[IMPORTE ABONADO]&gt;0),Tabla_Pagos[FECHA DE ABONO]))</f>
        <v>46031</v>
      </c>
    </row>
    <row r="734" spans="2:15" ht="21" customHeight="1" x14ac:dyDescent="0.25">
      <c r="B734" s="39">
        <v>1645</v>
      </c>
      <c r="C734" s="20">
        <v>46001</v>
      </c>
      <c r="D734" s="40" t="s">
        <v>44</v>
      </c>
      <c r="E734" s="37" t="str">
        <f>IFERROR(VLOOKUP(D734,CLIENTES!$B$12:$G$2602,2,FALSE),"")</f>
        <v>SKC RED SPA</v>
      </c>
      <c r="F734" s="31">
        <v>249900</v>
      </c>
      <c r="G734" s="41" t="s">
        <v>101</v>
      </c>
      <c r="H734" s="26">
        <v>30</v>
      </c>
      <c r="I734" s="21" t="str">
        <f t="shared" si="105"/>
        <v>Crédito</v>
      </c>
      <c r="J734" s="22">
        <f t="shared" si="106"/>
        <v>46031</v>
      </c>
      <c r="K734" s="27">
        <f t="shared" ca="1" si="107"/>
        <v>0</v>
      </c>
      <c r="L734" s="23" t="str">
        <f t="shared" si="108"/>
        <v>Pagado</v>
      </c>
      <c r="M734" s="36">
        <f>SUMIFS(Tabla_Pagos[IMPORTE ABONADO],Tabla_Pagos[FECHA DE ABONO],"&gt;0",Tabla_Pagos[NRO DOC],B734)</f>
        <v>249900</v>
      </c>
      <c r="N734" s="36">
        <f t="shared" si="109"/>
        <v>0</v>
      </c>
      <c r="O734" s="22" cm="1">
        <f t="array" ref="O734">MAX(IF((Tabla_Pagos[NRO DOC]=B734)*(Tabla_Pagos[IMPORTE ABONADO]&gt;0),Tabla_Pagos[FECHA DE ABONO]))</f>
        <v>46031</v>
      </c>
    </row>
    <row r="735" spans="2:15" ht="21" customHeight="1" x14ac:dyDescent="0.25">
      <c r="B735" s="39">
        <v>1646</v>
      </c>
      <c r="C735" s="20">
        <v>46001</v>
      </c>
      <c r="D735" s="40" t="s">
        <v>44</v>
      </c>
      <c r="E735" s="37" t="str">
        <f>IFERROR(VLOOKUP(D735,CLIENTES!$B$12:$G$2602,2,FALSE),"")</f>
        <v>SKC RED SPA</v>
      </c>
      <c r="F735" s="31">
        <v>249900</v>
      </c>
      <c r="G735" s="41" t="s">
        <v>101</v>
      </c>
      <c r="H735" s="26">
        <v>30</v>
      </c>
      <c r="I735" s="21" t="str">
        <f t="shared" si="105"/>
        <v>Crédito</v>
      </c>
      <c r="J735" s="22">
        <f t="shared" si="106"/>
        <v>46031</v>
      </c>
      <c r="K735" s="27">
        <f t="shared" ca="1" si="107"/>
        <v>0</v>
      </c>
      <c r="L735" s="23" t="str">
        <f t="shared" si="108"/>
        <v>Pagado</v>
      </c>
      <c r="M735" s="36">
        <f>SUMIFS(Tabla_Pagos[IMPORTE ABONADO],Tabla_Pagos[FECHA DE ABONO],"&gt;0",Tabla_Pagos[NRO DOC],B735)</f>
        <v>249900</v>
      </c>
      <c r="N735" s="36">
        <f t="shared" si="109"/>
        <v>0</v>
      </c>
      <c r="O735" s="22" cm="1">
        <f t="array" ref="O735">MAX(IF((Tabla_Pagos[NRO DOC]=B735)*(Tabla_Pagos[IMPORTE ABONADO]&gt;0),Tabla_Pagos[FECHA DE ABONO]))</f>
        <v>46031</v>
      </c>
    </row>
    <row r="736" spans="2:15" ht="21" customHeight="1" x14ac:dyDescent="0.25">
      <c r="B736" s="39">
        <v>1647</v>
      </c>
      <c r="C736" s="20">
        <v>46001</v>
      </c>
      <c r="D736" s="40" t="s">
        <v>44</v>
      </c>
      <c r="E736" s="37" t="str">
        <f>IFERROR(VLOOKUP(D736,CLIENTES!$B$12:$G$2602,2,FALSE),"")</f>
        <v>SKC RED SPA</v>
      </c>
      <c r="F736" s="31">
        <v>249900</v>
      </c>
      <c r="G736" s="41" t="s">
        <v>101</v>
      </c>
      <c r="H736" s="26">
        <v>30</v>
      </c>
      <c r="I736" s="21" t="str">
        <f t="shared" si="105"/>
        <v>Crédito</v>
      </c>
      <c r="J736" s="22">
        <f t="shared" si="106"/>
        <v>46031</v>
      </c>
      <c r="K736" s="27">
        <f t="shared" ca="1" si="107"/>
        <v>0</v>
      </c>
      <c r="L736" s="23" t="str">
        <f t="shared" si="108"/>
        <v>Pagado</v>
      </c>
      <c r="M736" s="36">
        <f>SUMIFS(Tabla_Pagos[IMPORTE ABONADO],Tabla_Pagos[FECHA DE ABONO],"&gt;0",Tabla_Pagos[NRO DOC],B736)</f>
        <v>249900</v>
      </c>
      <c r="N736" s="36">
        <f t="shared" si="109"/>
        <v>0</v>
      </c>
      <c r="O736" s="22" cm="1">
        <f t="array" ref="O736">MAX(IF((Tabla_Pagos[NRO DOC]=B736)*(Tabla_Pagos[IMPORTE ABONADO]&gt;0),Tabla_Pagos[FECHA DE ABONO]))</f>
        <v>46031</v>
      </c>
    </row>
    <row r="737" spans="2:15" ht="21" customHeight="1" x14ac:dyDescent="0.25">
      <c r="B737" s="39">
        <v>1648</v>
      </c>
      <c r="C737" s="20">
        <v>46001</v>
      </c>
      <c r="D737" s="40" t="s">
        <v>44</v>
      </c>
      <c r="E737" s="37" t="str">
        <f>IFERROR(VLOOKUP(D737,CLIENTES!$B$12:$G$2602,2,FALSE),"")</f>
        <v>SKC RED SPA</v>
      </c>
      <c r="F737" s="31">
        <v>309400</v>
      </c>
      <c r="G737" s="41" t="s">
        <v>101</v>
      </c>
      <c r="H737" s="26">
        <v>30</v>
      </c>
      <c r="I737" s="21" t="str">
        <f t="shared" si="105"/>
        <v>Crédito</v>
      </c>
      <c r="J737" s="22">
        <f t="shared" si="106"/>
        <v>46031</v>
      </c>
      <c r="K737" s="27">
        <f t="shared" ca="1" si="107"/>
        <v>0</v>
      </c>
      <c r="L737" s="23" t="str">
        <f t="shared" si="108"/>
        <v>Pagado</v>
      </c>
      <c r="M737" s="36">
        <f>SUMIFS(Tabla_Pagos[IMPORTE ABONADO],Tabla_Pagos[FECHA DE ABONO],"&gt;0",Tabla_Pagos[NRO DOC],B737)</f>
        <v>309400</v>
      </c>
      <c r="N737" s="36">
        <f t="shared" si="109"/>
        <v>0</v>
      </c>
      <c r="O737" s="22" cm="1">
        <f t="array" ref="O737">MAX(IF((Tabla_Pagos[NRO DOC]=B737)*(Tabla_Pagos[IMPORTE ABONADO]&gt;0),Tabla_Pagos[FECHA DE ABONO]))</f>
        <v>46031</v>
      </c>
    </row>
    <row r="738" spans="2:15" ht="21" customHeight="1" x14ac:dyDescent="0.25">
      <c r="B738" s="39">
        <v>1649</v>
      </c>
      <c r="C738" s="20">
        <v>46001</v>
      </c>
      <c r="D738" s="40" t="s">
        <v>44</v>
      </c>
      <c r="E738" s="37" t="str">
        <f>IFERROR(VLOOKUP(D738,CLIENTES!$B$12:$G$2602,2,FALSE),"")</f>
        <v>SKC RED SPA</v>
      </c>
      <c r="F738" s="31">
        <v>309400</v>
      </c>
      <c r="G738" s="41" t="s">
        <v>101</v>
      </c>
      <c r="H738" s="26">
        <v>30</v>
      </c>
      <c r="I738" s="21" t="str">
        <f t="shared" si="105"/>
        <v>Crédito</v>
      </c>
      <c r="J738" s="22">
        <f t="shared" si="106"/>
        <v>46031</v>
      </c>
      <c r="K738" s="27">
        <f t="shared" ca="1" si="107"/>
        <v>0</v>
      </c>
      <c r="L738" s="23" t="str">
        <f t="shared" si="108"/>
        <v>Pagado</v>
      </c>
      <c r="M738" s="36">
        <f>SUMIFS(Tabla_Pagos[IMPORTE ABONADO],Tabla_Pagos[FECHA DE ABONO],"&gt;0",Tabla_Pagos[NRO DOC],B738)</f>
        <v>309400</v>
      </c>
      <c r="N738" s="36">
        <f t="shared" si="109"/>
        <v>0</v>
      </c>
      <c r="O738" s="22" cm="1">
        <f t="array" ref="O738">MAX(IF((Tabla_Pagos[NRO DOC]=B738)*(Tabla_Pagos[IMPORTE ABONADO]&gt;0),Tabla_Pagos[FECHA DE ABONO]))</f>
        <v>46031</v>
      </c>
    </row>
    <row r="739" spans="2:15" ht="21" customHeight="1" x14ac:dyDescent="0.25">
      <c r="B739" s="39">
        <v>1650</v>
      </c>
      <c r="C739" s="20">
        <v>46003</v>
      </c>
      <c r="D739" s="40" t="s">
        <v>604</v>
      </c>
      <c r="E739" s="37" t="str">
        <f>IFERROR(VLOOKUP(D739,CLIENTES!$B$12:$G$2602,2,FALSE),"")</f>
        <v>SERVICIO Y TRANSPORTE MERCATUR LIMITADA</v>
      </c>
      <c r="F739" s="31">
        <v>690200</v>
      </c>
      <c r="G739" s="41" t="s">
        <v>101</v>
      </c>
      <c r="H739" s="26">
        <v>0</v>
      </c>
      <c r="I739" s="21" t="str">
        <f t="shared" si="105"/>
        <v>Contado</v>
      </c>
      <c r="J739" s="22">
        <f t="shared" si="106"/>
        <v>46003</v>
      </c>
      <c r="K739" s="27">
        <f t="shared" ca="1" si="107"/>
        <v>0</v>
      </c>
      <c r="L739" s="23" t="str">
        <f t="shared" si="108"/>
        <v>Pagado</v>
      </c>
      <c r="M739" s="36">
        <f>SUMIFS(Tabla_Pagos[IMPORTE ABONADO],Tabla_Pagos[FECHA DE ABONO],"&gt;0",Tabla_Pagos[NRO DOC],B739)</f>
        <v>690200</v>
      </c>
      <c r="N739" s="36">
        <f t="shared" si="109"/>
        <v>0</v>
      </c>
      <c r="O739" s="22" cm="1">
        <f t="array" ref="O739">MAX(IF((Tabla_Pagos[NRO DOC]=B739)*(Tabla_Pagos[IMPORTE ABONADO]&gt;0),Tabla_Pagos[FECHA DE ABONO]))</f>
        <v>46003</v>
      </c>
    </row>
    <row r="740" spans="2:15" ht="21" customHeight="1" x14ac:dyDescent="0.25">
      <c r="B740" s="39">
        <v>1651</v>
      </c>
      <c r="C740" s="20">
        <v>46006</v>
      </c>
      <c r="D740" s="40" t="s">
        <v>605</v>
      </c>
      <c r="E740" s="37" t="str">
        <f>IFERROR(VLOOKUP(D740,CLIENTES!$B$12:$G$2602,2,FALSE),"")</f>
        <v>HIDRAULIC MOTOR SERVICES LTDA</v>
      </c>
      <c r="F740" s="31">
        <v>95200</v>
      </c>
      <c r="G740" s="41" t="s">
        <v>101</v>
      </c>
      <c r="H740" s="26">
        <v>0</v>
      </c>
      <c r="I740" s="21" t="str">
        <f t="shared" si="105"/>
        <v>Contado</v>
      </c>
      <c r="J740" s="22">
        <f t="shared" si="106"/>
        <v>46006</v>
      </c>
      <c r="K740" s="27">
        <f t="shared" ca="1" si="107"/>
        <v>0</v>
      </c>
      <c r="L740" s="23" t="str">
        <f t="shared" si="108"/>
        <v>Pagado</v>
      </c>
      <c r="M740" s="36">
        <f>SUMIFS(Tabla_Pagos[IMPORTE ABONADO],Tabla_Pagos[FECHA DE ABONO],"&gt;0",Tabla_Pagos[NRO DOC],B740)</f>
        <v>95200</v>
      </c>
      <c r="N740" s="36">
        <f t="shared" si="109"/>
        <v>0</v>
      </c>
      <c r="O740" s="22" cm="1">
        <f t="array" ref="O740">MAX(IF((Tabla_Pagos[NRO DOC]=B740)*(Tabla_Pagos[IMPORTE ABONADO]&gt;0),Tabla_Pagos[FECHA DE ABONO]))</f>
        <v>46006</v>
      </c>
    </row>
    <row r="741" spans="2:15" ht="21" customHeight="1" x14ac:dyDescent="0.25">
      <c r="B741" s="39">
        <v>1652</v>
      </c>
      <c r="C741" s="20">
        <v>46006</v>
      </c>
      <c r="D741" s="40" t="s">
        <v>606</v>
      </c>
      <c r="E741" s="37" t="str">
        <f>IFERROR(VLOOKUP(D741,CLIENTES!$B$12:$G$2602,2,FALSE),"")</f>
        <v>PIETRO GIULIANO DIAZ VITALI</v>
      </c>
      <c r="F741" s="31">
        <v>57120</v>
      </c>
      <c r="G741" s="41" t="s">
        <v>101</v>
      </c>
      <c r="H741" s="26">
        <v>30</v>
      </c>
      <c r="I741" s="21" t="str">
        <f t="shared" si="105"/>
        <v>Crédito</v>
      </c>
      <c r="J741" s="22">
        <f t="shared" si="106"/>
        <v>46036</v>
      </c>
      <c r="K741" s="27">
        <f t="shared" ca="1" si="107"/>
        <v>0</v>
      </c>
      <c r="L741" s="23" t="str">
        <f t="shared" si="108"/>
        <v>Pagado</v>
      </c>
      <c r="M741" s="36">
        <f>SUMIFS(Tabla_Pagos[IMPORTE ABONADO],Tabla_Pagos[FECHA DE ABONO],"&gt;0",Tabla_Pagos[NRO DOC],B741)</f>
        <v>57120</v>
      </c>
      <c r="N741" s="36">
        <f t="shared" si="109"/>
        <v>0</v>
      </c>
      <c r="O741" s="22" cm="1">
        <f t="array" ref="O741">MAX(IF((Tabla_Pagos[NRO DOC]=B741)*(Tabla_Pagos[IMPORTE ABONADO]&gt;0),Tabla_Pagos[FECHA DE ABONO]))</f>
        <v>46368</v>
      </c>
    </row>
    <row r="742" spans="2:15" ht="21" customHeight="1" x14ac:dyDescent="0.25">
      <c r="B742" s="39">
        <v>1653</v>
      </c>
      <c r="C742" s="20">
        <v>46006</v>
      </c>
      <c r="D742" s="40" t="s">
        <v>607</v>
      </c>
      <c r="E742" s="37" t="str">
        <f>IFERROR(VLOOKUP(D742,CLIENTES!$B$12:$G$2602,2,FALSE),"")</f>
        <v>AGROLOAR SPA</v>
      </c>
      <c r="F742" s="31">
        <v>5950</v>
      </c>
      <c r="G742" s="41" t="s">
        <v>101</v>
      </c>
      <c r="H742" s="26">
        <v>30</v>
      </c>
      <c r="I742" s="21" t="str">
        <f t="shared" si="105"/>
        <v>Crédito</v>
      </c>
      <c r="J742" s="22">
        <f t="shared" si="106"/>
        <v>46036</v>
      </c>
      <c r="K742" s="27">
        <f t="shared" ca="1" si="107"/>
        <v>0</v>
      </c>
      <c r="L742" s="23" t="str">
        <f t="shared" si="108"/>
        <v>Pagado</v>
      </c>
      <c r="M742" s="36">
        <f>SUMIFS(Tabla_Pagos[IMPORTE ABONADO],Tabla_Pagos[FECHA DE ABONO],"&gt;0",Tabla_Pagos[NRO DOC],B742)</f>
        <v>5950</v>
      </c>
      <c r="N742" s="36">
        <f t="shared" si="109"/>
        <v>0</v>
      </c>
      <c r="O742" s="22" cm="1">
        <f t="array" ref="O742">MAX(IF((Tabla_Pagos[NRO DOC]=B742)*(Tabla_Pagos[IMPORTE ABONADO]&gt;0),Tabla_Pagos[FECHA DE ABONO]))</f>
        <v>46006</v>
      </c>
    </row>
    <row r="743" spans="2:15" ht="21" customHeight="1" x14ac:dyDescent="0.25">
      <c r="B743" s="39">
        <v>1654</v>
      </c>
      <c r="C743" s="20">
        <v>46006</v>
      </c>
      <c r="D743" s="40" t="s">
        <v>608</v>
      </c>
      <c r="E743" s="37" t="str">
        <f>IFERROR(VLOOKUP(D743,CLIENTES!$B$12:$G$2602,2,FALSE),"")</f>
        <v>INGENIO SPA</v>
      </c>
      <c r="F743" s="31">
        <v>10908374</v>
      </c>
      <c r="G743" s="41" t="s">
        <v>101</v>
      </c>
      <c r="H743" s="26">
        <v>30</v>
      </c>
      <c r="I743" s="21" t="str">
        <f t="shared" si="105"/>
        <v>Crédito</v>
      </c>
      <c r="J743" s="22">
        <f t="shared" si="106"/>
        <v>46036</v>
      </c>
      <c r="K743" s="27">
        <f t="shared" ca="1" si="107"/>
        <v>0</v>
      </c>
      <c r="L743" s="23" t="str">
        <f t="shared" si="108"/>
        <v>Pagado</v>
      </c>
      <c r="M743" s="36">
        <f>SUMIFS(Tabla_Pagos[IMPORTE ABONADO],Tabla_Pagos[FECHA DE ABONO],"&gt;0",Tabla_Pagos[NRO DOC],B743)</f>
        <v>10908374</v>
      </c>
      <c r="N743" s="36">
        <f t="shared" si="109"/>
        <v>0</v>
      </c>
      <c r="O743" s="22" cm="1">
        <f t="array" ref="O743">MAX(IF((Tabla_Pagos[NRO DOC]=B743)*(Tabla_Pagos[IMPORTE ABONADO]&gt;0),Tabla_Pagos[FECHA DE ABONO]))</f>
        <v>46006</v>
      </c>
    </row>
    <row r="744" spans="2:15" ht="21" customHeight="1" x14ac:dyDescent="0.25">
      <c r="B744" s="39">
        <v>1655</v>
      </c>
      <c r="C744" s="20">
        <v>46007</v>
      </c>
      <c r="D744" s="40" t="s">
        <v>58</v>
      </c>
      <c r="E744" s="37" t="str">
        <f>IFERROR(VLOOKUP(D744,CLIENTES!$B$12:$G$2602,2,FALSE),"")</f>
        <v>ZACH PROYECTOS SA</v>
      </c>
      <c r="F744" s="31">
        <v>59500</v>
      </c>
      <c r="G744" s="41" t="s">
        <v>101</v>
      </c>
      <c r="H744" s="26">
        <v>0</v>
      </c>
      <c r="I744" s="21" t="str">
        <f>IF(H744="","",IF(H744=0,"Contado","Crédito"))</f>
        <v>Contado</v>
      </c>
      <c r="J744" s="22">
        <f>IF(I744="","",C744+H744)</f>
        <v>46007</v>
      </c>
      <c r="K744" s="27">
        <f ca="1">IFERROR(IF(B744="","",IF(N744=0,0,J744-TODAY())),"")</f>
        <v>0</v>
      </c>
      <c r="L744" s="23" t="str">
        <f>IF(I744="","",IF(N744=0,"Pagado",IF(K744&lt;0,"Vencido","No vencido")))</f>
        <v>Pagado</v>
      </c>
      <c r="M744" s="36">
        <f>SUMIFS(Tabla_Pagos[IMPORTE ABONADO],Tabla_Pagos[FECHA DE ABONO],"&gt;0",Tabla_Pagos[NRO DOC],B744)</f>
        <v>59500</v>
      </c>
      <c r="N744" s="36">
        <f>F744-M744</f>
        <v>0</v>
      </c>
      <c r="O744" s="22" cm="1">
        <f t="array" ref="O744">MAX(IF((Tabla_Pagos[NRO DOC]=B744)*(Tabla_Pagos[IMPORTE ABONADO]&gt;0),Tabla_Pagos[FECHA DE ABONO]))</f>
        <v>46007</v>
      </c>
    </row>
    <row r="745" spans="2:15" ht="21" customHeight="1" x14ac:dyDescent="0.25">
      <c r="B745" s="39">
        <v>1656</v>
      </c>
      <c r="C745" s="20">
        <v>46007</v>
      </c>
      <c r="D745" s="40" t="s">
        <v>63</v>
      </c>
      <c r="E745" s="37" t="str">
        <f>IFERROR(VLOOKUP(D745,CLIENTES!$B$12:$G$2602,2,FALSE),"")</f>
        <v>MULTISERVICIOS SANABRIA SPA</v>
      </c>
      <c r="F745" s="31">
        <v>72947</v>
      </c>
      <c r="G745" s="41" t="s">
        <v>101</v>
      </c>
      <c r="H745" s="26">
        <v>0</v>
      </c>
      <c r="I745" s="21" t="str">
        <f t="shared" ref="I745:I774" si="110">IF(H745="","",IF(H745=0,"Contado","Crédito"))</f>
        <v>Contado</v>
      </c>
      <c r="J745" s="22">
        <f t="shared" ref="J745:J774" si="111">IF(I745="","",C745+H745)</f>
        <v>46007</v>
      </c>
      <c r="K745" s="27">
        <f t="shared" ref="K745:K774" ca="1" si="112">IFERROR(IF(B745="","",IF(N745=0,0,J745-TODAY())),"")</f>
        <v>0</v>
      </c>
      <c r="L745" s="23" t="str">
        <f t="shared" ref="L745:L774" si="113">IF(I745="","",IF(N745=0,"Pagado",IF(K745&lt;0,"Vencido","No vencido")))</f>
        <v>Pagado</v>
      </c>
      <c r="M745" s="36">
        <f>SUMIFS(Tabla_Pagos[IMPORTE ABONADO],Tabla_Pagos[FECHA DE ABONO],"&gt;0",Tabla_Pagos[NRO DOC],B745)</f>
        <v>72947</v>
      </c>
      <c r="N745" s="36">
        <f t="shared" ref="N745:N774" si="114">F745-M745</f>
        <v>0</v>
      </c>
      <c r="O745" s="22" cm="1">
        <f t="array" ref="O745">MAX(IF((Tabla_Pagos[NRO DOC]=B745)*(Tabla_Pagos[IMPORTE ABONADO]&gt;0),Tabla_Pagos[FECHA DE ABONO]))</f>
        <v>46007</v>
      </c>
    </row>
    <row r="746" spans="2:15" ht="21" customHeight="1" x14ac:dyDescent="0.25">
      <c r="B746" s="39">
        <v>1657</v>
      </c>
      <c r="C746" s="20">
        <v>46007</v>
      </c>
      <c r="D746" s="40" t="s">
        <v>485</v>
      </c>
      <c r="E746" s="37" t="str">
        <f>IFERROR(VLOOKUP(D746,CLIENTES!$B$12:$G$2602,2,FALSE),"")</f>
        <v>SAN RAFAEL INGENIERIA Y  SERVICIOS LIMITADA</v>
      </c>
      <c r="F746" s="31">
        <v>83062</v>
      </c>
      <c r="G746" s="41" t="s">
        <v>101</v>
      </c>
      <c r="H746" s="26">
        <v>30</v>
      </c>
      <c r="I746" s="21" t="str">
        <f t="shared" si="110"/>
        <v>Crédito</v>
      </c>
      <c r="J746" s="22">
        <f t="shared" si="111"/>
        <v>46037</v>
      </c>
      <c r="K746" s="27">
        <f t="shared" ca="1" si="112"/>
        <v>0</v>
      </c>
      <c r="L746" s="23" t="str">
        <f t="shared" si="113"/>
        <v>Pagado</v>
      </c>
      <c r="M746" s="36">
        <f>SUMIFS(Tabla_Pagos[IMPORTE ABONADO],Tabla_Pagos[FECHA DE ABONO],"&gt;0",Tabla_Pagos[NRO DOC],B746)</f>
        <v>83062</v>
      </c>
      <c r="N746" s="36">
        <f t="shared" si="114"/>
        <v>0</v>
      </c>
      <c r="O746" s="22" cm="1">
        <f t="array" ref="O746">MAX(IF((Tabla_Pagos[NRO DOC]=B746)*(Tabla_Pagos[IMPORTE ABONADO]&gt;0),Tabla_Pagos[FECHA DE ABONO]))</f>
        <v>46044</v>
      </c>
    </row>
    <row r="747" spans="2:15" ht="21" customHeight="1" x14ac:dyDescent="0.25">
      <c r="B747" s="39">
        <v>1658</v>
      </c>
      <c r="C747" s="20">
        <v>46007</v>
      </c>
      <c r="D747" s="40" t="s">
        <v>485</v>
      </c>
      <c r="E747" s="37" t="str">
        <f>IFERROR(VLOOKUP(D747,CLIENTES!$B$12:$G$2602,2,FALSE),"")</f>
        <v>SAN RAFAEL INGENIERIA Y  SERVICIOS LIMITADA</v>
      </c>
      <c r="F747" s="31">
        <v>83300</v>
      </c>
      <c r="G747" s="41" t="s">
        <v>101</v>
      </c>
      <c r="H747" s="26">
        <v>30</v>
      </c>
      <c r="I747" s="21" t="str">
        <f t="shared" si="110"/>
        <v>Crédito</v>
      </c>
      <c r="J747" s="22">
        <f t="shared" si="111"/>
        <v>46037</v>
      </c>
      <c r="K747" s="27">
        <f t="shared" ca="1" si="112"/>
        <v>0</v>
      </c>
      <c r="L747" s="23" t="str">
        <f t="shared" si="113"/>
        <v>Pagado</v>
      </c>
      <c r="M747" s="36">
        <f>SUMIFS(Tabla_Pagos[IMPORTE ABONADO],Tabla_Pagos[FECHA DE ABONO],"&gt;0",Tabla_Pagos[NRO DOC],B747)</f>
        <v>83300</v>
      </c>
      <c r="N747" s="36">
        <f t="shared" si="114"/>
        <v>0</v>
      </c>
      <c r="O747" s="22" cm="1">
        <f t="array" ref="O747">MAX(IF((Tabla_Pagos[NRO DOC]=B747)*(Tabla_Pagos[IMPORTE ABONADO]&gt;0),Tabla_Pagos[FECHA DE ABONO]))</f>
        <v>46044</v>
      </c>
    </row>
    <row r="748" spans="2:15" ht="21" customHeight="1" x14ac:dyDescent="0.25">
      <c r="B748" s="39">
        <v>1659</v>
      </c>
      <c r="C748" s="20">
        <v>46007</v>
      </c>
      <c r="D748" s="40" t="s">
        <v>621</v>
      </c>
      <c r="E748" s="37" t="str">
        <f>IFERROR(VLOOKUP(D748,CLIENTES!$B$12:$G$2602,2,FALSE),"")</f>
        <v>SERVICIOS DE INGENIERÃA Y CONSTRUCCIÃ“N PIÃ‘ONES  LIMITADA</v>
      </c>
      <c r="F748" s="31">
        <v>2147950</v>
      </c>
      <c r="G748" s="41" t="s">
        <v>101</v>
      </c>
      <c r="H748" s="26">
        <v>0</v>
      </c>
      <c r="I748" s="21" t="str">
        <f t="shared" si="110"/>
        <v>Contado</v>
      </c>
      <c r="J748" s="22">
        <f t="shared" si="111"/>
        <v>46007</v>
      </c>
      <c r="K748" s="27">
        <f t="shared" ca="1" si="112"/>
        <v>0</v>
      </c>
      <c r="L748" s="23" t="str">
        <f t="shared" si="113"/>
        <v>Pagado</v>
      </c>
      <c r="M748" s="36">
        <f>SUMIFS(Tabla_Pagos[IMPORTE ABONADO],Tabla_Pagos[FECHA DE ABONO],"&gt;0",Tabla_Pagos[NRO DOC],B748)</f>
        <v>2147950</v>
      </c>
      <c r="N748" s="36">
        <f t="shared" si="114"/>
        <v>0</v>
      </c>
      <c r="O748" s="22" cm="1">
        <f t="array" ref="O748">MAX(IF((Tabla_Pagos[NRO DOC]=B748)*(Tabla_Pagos[IMPORTE ABONADO]&gt;0),Tabla_Pagos[FECHA DE ABONO]))</f>
        <v>46007</v>
      </c>
    </row>
    <row r="749" spans="2:15" ht="21" customHeight="1" x14ac:dyDescent="0.25">
      <c r="B749" s="39">
        <v>1660</v>
      </c>
      <c r="C749" s="20">
        <v>46008</v>
      </c>
      <c r="D749" s="40" t="s">
        <v>115</v>
      </c>
      <c r="E749" s="37" t="str">
        <f>IFERROR(VLOOKUP(D749,CLIENTES!$B$12:$G$2602,2,FALSE),"")</f>
        <v>SOCIEDAD DE SERVICIOS FUNERARIOS S.A.</v>
      </c>
      <c r="F749" s="31">
        <v>57358</v>
      </c>
      <c r="G749" s="41" t="s">
        <v>101</v>
      </c>
      <c r="H749" s="26">
        <v>30</v>
      </c>
      <c r="I749" s="21" t="str">
        <f t="shared" si="110"/>
        <v>Crédito</v>
      </c>
      <c r="J749" s="22">
        <f t="shared" si="111"/>
        <v>46038</v>
      </c>
      <c r="K749" s="27">
        <f t="shared" ca="1" si="112"/>
        <v>0</v>
      </c>
      <c r="L749" s="23" t="str">
        <f t="shared" si="113"/>
        <v>Pagado</v>
      </c>
      <c r="M749" s="36">
        <f>SUMIFS(Tabla_Pagos[IMPORTE ABONADO],Tabla_Pagos[FECHA DE ABONO],"&gt;0",Tabla_Pagos[NRO DOC],B749)</f>
        <v>57358</v>
      </c>
      <c r="N749" s="36">
        <f t="shared" si="114"/>
        <v>0</v>
      </c>
      <c r="O749" s="22" cm="1">
        <f t="array" ref="O749">MAX(IF((Tabla_Pagos[NRO DOC]=B749)*(Tabla_Pagos[IMPORTE ABONADO]&gt;0),Tabla_Pagos[FECHA DE ABONO]))</f>
        <v>46042</v>
      </c>
    </row>
    <row r="750" spans="2:15" ht="21" customHeight="1" x14ac:dyDescent="0.25">
      <c r="B750" s="39">
        <v>1661</v>
      </c>
      <c r="C750" s="20">
        <v>46008</v>
      </c>
      <c r="D750" s="40" t="s">
        <v>459</v>
      </c>
      <c r="E750" s="37" t="str">
        <f>IFERROR(VLOOKUP(D750,CLIENTES!$B$12:$G$2602,2,FALSE),"")</f>
        <v>JAG SERVICIOS CHILE SPA</v>
      </c>
      <c r="F750" s="31">
        <v>142800</v>
      </c>
      <c r="G750" s="41" t="s">
        <v>101</v>
      </c>
      <c r="H750" s="26">
        <v>0</v>
      </c>
      <c r="I750" s="21" t="str">
        <f t="shared" si="110"/>
        <v>Contado</v>
      </c>
      <c r="J750" s="22">
        <f t="shared" si="111"/>
        <v>46008</v>
      </c>
      <c r="K750" s="27">
        <f t="shared" ca="1" si="112"/>
        <v>0</v>
      </c>
      <c r="L750" s="23" t="str">
        <f t="shared" si="113"/>
        <v>Pagado</v>
      </c>
      <c r="M750" s="36">
        <f>SUMIFS(Tabla_Pagos[IMPORTE ABONADO],Tabla_Pagos[FECHA DE ABONO],"&gt;0",Tabla_Pagos[NRO DOC],B750)</f>
        <v>142800</v>
      </c>
      <c r="N750" s="36">
        <f t="shared" si="114"/>
        <v>0</v>
      </c>
      <c r="O750" s="22" cm="1">
        <f t="array" ref="O750">MAX(IF((Tabla_Pagos[NRO DOC]=B750)*(Tabla_Pagos[IMPORTE ABONADO]&gt;0),Tabla_Pagos[FECHA DE ABONO]))</f>
        <v>46008</v>
      </c>
    </row>
    <row r="751" spans="2:15" ht="21" customHeight="1" x14ac:dyDescent="0.25">
      <c r="B751" s="39">
        <v>1662</v>
      </c>
      <c r="C751" s="20">
        <v>46009</v>
      </c>
      <c r="D751" s="40" t="s">
        <v>395</v>
      </c>
      <c r="E751" s="37" t="str">
        <f>IFERROR(VLOOKUP(D751,CLIENTES!$B$12:$G$2602,2,FALSE),"")</f>
        <v>SOLUCIONES GLOBALES CARLOS HERBERTO MOSCOSO</v>
      </c>
      <c r="F751" s="31">
        <v>702100</v>
      </c>
      <c r="G751" s="41" t="s">
        <v>101</v>
      </c>
      <c r="H751" s="26">
        <v>30</v>
      </c>
      <c r="I751" s="21" t="str">
        <f t="shared" si="110"/>
        <v>Crédito</v>
      </c>
      <c r="J751" s="22">
        <f t="shared" si="111"/>
        <v>46039</v>
      </c>
      <c r="K751" s="27">
        <f t="shared" ca="1" si="112"/>
        <v>0</v>
      </c>
      <c r="L751" s="23" t="str">
        <f t="shared" si="113"/>
        <v>Pagado</v>
      </c>
      <c r="M751" s="36">
        <f>SUMIFS(Tabla_Pagos[IMPORTE ABONADO],Tabla_Pagos[FECHA DE ABONO],"&gt;0",Tabla_Pagos[NRO DOC],B751)</f>
        <v>702100</v>
      </c>
      <c r="N751" s="36">
        <f t="shared" si="114"/>
        <v>0</v>
      </c>
      <c r="O751" s="22" cm="1">
        <f t="array" ref="O751">MAX(IF((Tabla_Pagos[NRO DOC]=B751)*(Tabla_Pagos[IMPORTE ABONADO]&gt;0),Tabla_Pagos[FECHA DE ABONO]))</f>
        <v>46015</v>
      </c>
    </row>
    <row r="752" spans="2:15" ht="21" customHeight="1" x14ac:dyDescent="0.25">
      <c r="B752" s="39">
        <v>1663</v>
      </c>
      <c r="C752" s="20">
        <v>46009</v>
      </c>
      <c r="D752" s="40" t="s">
        <v>485</v>
      </c>
      <c r="E752" s="37" t="str">
        <f>IFERROR(VLOOKUP(D752,CLIENTES!$B$12:$G$2602,2,FALSE),"")</f>
        <v>SAN RAFAEL INGENIERIA Y  SERVICIOS LIMITADA</v>
      </c>
      <c r="F752" s="31">
        <v>74970</v>
      </c>
      <c r="G752" s="41" t="s">
        <v>101</v>
      </c>
      <c r="H752" s="26">
        <v>30</v>
      </c>
      <c r="I752" s="21" t="str">
        <f t="shared" si="110"/>
        <v>Crédito</v>
      </c>
      <c r="J752" s="22">
        <f t="shared" si="111"/>
        <v>46039</v>
      </c>
      <c r="K752" s="27">
        <f t="shared" ca="1" si="112"/>
        <v>0</v>
      </c>
      <c r="L752" s="23" t="str">
        <f t="shared" si="113"/>
        <v>Pagado</v>
      </c>
      <c r="M752" s="36">
        <f>SUMIFS(Tabla_Pagos[IMPORTE ABONADO],Tabla_Pagos[FECHA DE ABONO],"&gt;0",Tabla_Pagos[NRO DOC],B752)</f>
        <v>74970</v>
      </c>
      <c r="N752" s="36">
        <f t="shared" si="114"/>
        <v>0</v>
      </c>
      <c r="O752" s="22" cm="1">
        <f t="array" ref="O752">MAX(IF((Tabla_Pagos[NRO DOC]=B752)*(Tabla_Pagos[IMPORTE ABONADO]&gt;0),Tabla_Pagos[FECHA DE ABONO]))</f>
        <v>46044</v>
      </c>
    </row>
    <row r="753" spans="2:15" ht="21" customHeight="1" x14ac:dyDescent="0.25">
      <c r="B753" s="39">
        <v>1664</v>
      </c>
      <c r="C753" s="20">
        <v>46009</v>
      </c>
      <c r="D753" s="40" t="s">
        <v>485</v>
      </c>
      <c r="E753" s="37" t="str">
        <f>IFERROR(VLOOKUP(D753,CLIENTES!$B$12:$G$2602,2,FALSE),"")</f>
        <v>SAN RAFAEL INGENIERIA Y  SERVICIOS LIMITADA</v>
      </c>
      <c r="F753" s="31">
        <v>501704</v>
      </c>
      <c r="G753" s="41" t="s">
        <v>101</v>
      </c>
      <c r="H753" s="26">
        <v>30</v>
      </c>
      <c r="I753" s="21" t="str">
        <f t="shared" si="110"/>
        <v>Crédito</v>
      </c>
      <c r="J753" s="22">
        <f t="shared" si="111"/>
        <v>46039</v>
      </c>
      <c r="K753" s="27">
        <f t="shared" ca="1" si="112"/>
        <v>0</v>
      </c>
      <c r="L753" s="23" t="str">
        <f t="shared" si="113"/>
        <v>Pagado</v>
      </c>
      <c r="M753" s="36">
        <f>SUMIFS(Tabla_Pagos[IMPORTE ABONADO],Tabla_Pagos[FECHA DE ABONO],"&gt;0",Tabla_Pagos[NRO DOC],B753)</f>
        <v>501704</v>
      </c>
      <c r="N753" s="36">
        <f t="shared" si="114"/>
        <v>0</v>
      </c>
      <c r="O753" s="22" cm="1">
        <f t="array" ref="O753">MAX(IF((Tabla_Pagos[NRO DOC]=B753)*(Tabla_Pagos[IMPORTE ABONADO]&gt;0),Tabla_Pagos[FECHA DE ABONO]))</f>
        <v>46044</v>
      </c>
    </row>
    <row r="754" spans="2:15" ht="21" customHeight="1" x14ac:dyDescent="0.25">
      <c r="B754" s="39">
        <v>1665</v>
      </c>
      <c r="C754" s="20">
        <v>46010</v>
      </c>
      <c r="D754" s="40" t="s">
        <v>48</v>
      </c>
      <c r="E754" s="37" t="str">
        <f>IFERROR(VLOOKUP(D754,CLIENTES!$B$12:$G$2602,2,FALSE),"")</f>
        <v>RESITER SERVICIOS GENERALES SPA</v>
      </c>
      <c r="F754" s="31">
        <v>30940</v>
      </c>
      <c r="G754" s="41" t="s">
        <v>101</v>
      </c>
      <c r="H754" s="26">
        <v>0</v>
      </c>
      <c r="I754" s="21" t="str">
        <f t="shared" si="110"/>
        <v>Contado</v>
      </c>
      <c r="J754" s="22">
        <f t="shared" si="111"/>
        <v>46010</v>
      </c>
      <c r="K754" s="27">
        <f t="shared" ca="1" si="112"/>
        <v>0</v>
      </c>
      <c r="L754" s="23" t="str">
        <f t="shared" si="113"/>
        <v>Pagado</v>
      </c>
      <c r="M754" s="36">
        <f>SUMIFS(Tabla_Pagos[IMPORTE ABONADO],Tabla_Pagos[FECHA DE ABONO],"&gt;0",Tabla_Pagos[NRO DOC],B754)</f>
        <v>30940</v>
      </c>
      <c r="N754" s="36">
        <f t="shared" si="114"/>
        <v>0</v>
      </c>
      <c r="O754" s="22" cm="1">
        <f t="array" ref="O754">MAX(IF((Tabla_Pagos[NRO DOC]=B754)*(Tabla_Pagos[IMPORTE ABONADO]&gt;0),Tabla_Pagos[FECHA DE ABONO]))</f>
        <v>46010</v>
      </c>
    </row>
    <row r="755" spans="2:15" ht="21" customHeight="1" x14ac:dyDescent="0.25">
      <c r="B755" s="39">
        <v>1666</v>
      </c>
      <c r="C755" s="20">
        <v>46010</v>
      </c>
      <c r="D755" s="40" t="s">
        <v>622</v>
      </c>
      <c r="E755" s="37" t="str">
        <f>IFERROR(VLOOKUP(D755,CLIENTES!$B$12:$G$2602,2,FALSE),"")</f>
        <v>RESITER S.A.</v>
      </c>
      <c r="F755" s="31">
        <v>30940</v>
      </c>
      <c r="G755" s="41" t="s">
        <v>101</v>
      </c>
      <c r="H755" s="26">
        <v>0</v>
      </c>
      <c r="I755" s="21" t="str">
        <f t="shared" si="110"/>
        <v>Contado</v>
      </c>
      <c r="J755" s="22">
        <f t="shared" si="111"/>
        <v>46010</v>
      </c>
      <c r="K755" s="27">
        <f t="shared" ca="1" si="112"/>
        <v>0</v>
      </c>
      <c r="L755" s="23" t="str">
        <f t="shared" si="113"/>
        <v>Pagado</v>
      </c>
      <c r="M755" s="36">
        <f>SUMIFS(Tabla_Pagos[IMPORTE ABONADO],Tabla_Pagos[FECHA DE ABONO],"&gt;0",Tabla_Pagos[NRO DOC],B755)</f>
        <v>30940</v>
      </c>
      <c r="N755" s="36">
        <f>F755-M755</f>
        <v>0</v>
      </c>
      <c r="O755" s="22" cm="1">
        <f t="array" ref="O755">MAX(IF((Tabla_Pagos[NRO DOC]=B755)*(Tabla_Pagos[IMPORTE ABONADO]&gt;0),Tabla_Pagos[FECHA DE ABONO]))</f>
        <v>46010</v>
      </c>
    </row>
    <row r="756" spans="2:15" ht="21" customHeight="1" x14ac:dyDescent="0.25">
      <c r="B756" s="39">
        <v>1667</v>
      </c>
      <c r="C756" s="20">
        <v>46013</v>
      </c>
      <c r="D756" s="40" t="s">
        <v>102</v>
      </c>
      <c r="E756" s="37" t="str">
        <f>IFERROR(VLOOKUP(D756,CLIENTES!$B$12:$G$2602,2,FALSE),"")</f>
        <v>CONSTRUCTORA CARLOS ALBERTO ANDRES ALBISTUR REYES E.I.R.L.</v>
      </c>
      <c r="F756" s="31">
        <v>856800</v>
      </c>
      <c r="G756" s="41" t="s">
        <v>101</v>
      </c>
      <c r="H756" s="26">
        <v>30</v>
      </c>
      <c r="I756" s="21" t="str">
        <f>IF(H756="","",IF(H756=0,"Contado","Crédito"))</f>
        <v>Crédito</v>
      </c>
      <c r="J756" s="22">
        <f>IF(I756="","",C756+H756)</f>
        <v>46043</v>
      </c>
      <c r="K756" s="27">
        <f ca="1">IFERROR(IF(B756="","",IF(N756=0,0,J756-TODAY())),"")</f>
        <v>0</v>
      </c>
      <c r="L756" s="23" t="str">
        <f>IF(I756="","",IF(N756=0,"Pagado",IF(K756&lt;0,"Vencido","No vencido")))</f>
        <v>Pagado</v>
      </c>
      <c r="M756" s="36">
        <f>SUMIFS(Tabla_Pagos[IMPORTE ABONADO],Tabla_Pagos[FECHA DE ABONO],"&gt;0",Tabla_Pagos[NRO DOC],B756)</f>
        <v>856800</v>
      </c>
      <c r="N756" s="36">
        <f>F756-M756</f>
        <v>0</v>
      </c>
      <c r="O756" s="22" cm="1">
        <f t="array" ref="O756">MAX(IF((Tabla_Pagos[NRO DOC]=B756)*(Tabla_Pagos[IMPORTE ABONADO]&gt;0),Tabla_Pagos[FECHA DE ABONO]))</f>
        <v>46048</v>
      </c>
    </row>
    <row r="757" spans="2:15" ht="21" customHeight="1" x14ac:dyDescent="0.25">
      <c r="B757" s="39">
        <v>1668</v>
      </c>
      <c r="C757" s="20">
        <v>46013</v>
      </c>
      <c r="D757" s="40" t="s">
        <v>623</v>
      </c>
      <c r="E757" s="37" t="str">
        <f>IFERROR(VLOOKUP(D757,CLIENTES!$B$12:$G$2602,2,FALSE),"")</f>
        <v>MARIA CRISTINA MOLINA CASTILLO</v>
      </c>
      <c r="F757" s="31">
        <v>647241</v>
      </c>
      <c r="G757" s="41" t="s">
        <v>101</v>
      </c>
      <c r="H757" s="26">
        <v>0</v>
      </c>
      <c r="I757" s="21" t="str">
        <f t="shared" si="110"/>
        <v>Contado</v>
      </c>
      <c r="J757" s="22">
        <f t="shared" si="111"/>
        <v>46013</v>
      </c>
      <c r="K757" s="27">
        <f t="shared" ca="1" si="112"/>
        <v>0</v>
      </c>
      <c r="L757" s="23" t="str">
        <f t="shared" si="113"/>
        <v>Pagado</v>
      </c>
      <c r="M757" s="36">
        <f>SUMIFS(Tabla_Pagos[IMPORTE ABONADO],Tabla_Pagos[FECHA DE ABONO],"&gt;0",Tabla_Pagos[NRO DOC],B757)</f>
        <v>647241</v>
      </c>
      <c r="N757" s="36">
        <f t="shared" si="114"/>
        <v>0</v>
      </c>
      <c r="O757" s="22" cm="1">
        <f t="array" ref="O757">MAX(IF((Tabla_Pagos[NRO DOC]=B757)*(Tabla_Pagos[IMPORTE ABONADO]&gt;0),Tabla_Pagos[FECHA DE ABONO]))</f>
        <v>46013</v>
      </c>
    </row>
    <row r="758" spans="2:15" ht="21" customHeight="1" x14ac:dyDescent="0.25">
      <c r="B758" s="39">
        <v>1669</v>
      </c>
      <c r="C758" s="20">
        <v>46013</v>
      </c>
      <c r="D758" s="40" t="s">
        <v>623</v>
      </c>
      <c r="E758" s="37" t="str">
        <f>IFERROR(VLOOKUP(D758,CLIENTES!$B$12:$G$2602,2,FALSE),"")</f>
        <v>MARIA CRISTINA MOLINA CASTILLO</v>
      </c>
      <c r="F758" s="31">
        <v>352597</v>
      </c>
      <c r="G758" s="41" t="s">
        <v>101</v>
      </c>
      <c r="H758" s="26">
        <v>0</v>
      </c>
      <c r="I758" s="21" t="str">
        <f t="shared" si="110"/>
        <v>Contado</v>
      </c>
      <c r="J758" s="22">
        <f t="shared" si="111"/>
        <v>46013</v>
      </c>
      <c r="K758" s="27">
        <f t="shared" ca="1" si="112"/>
        <v>0</v>
      </c>
      <c r="L758" s="23" t="str">
        <f t="shared" si="113"/>
        <v>Pagado</v>
      </c>
      <c r="M758" s="36">
        <f>SUMIFS(Tabla_Pagos[IMPORTE ABONADO],Tabla_Pagos[FECHA DE ABONO],"&gt;0",Tabla_Pagos[NRO DOC],B758)</f>
        <v>352597</v>
      </c>
      <c r="N758" s="36">
        <f t="shared" si="114"/>
        <v>0</v>
      </c>
      <c r="O758" s="22" cm="1">
        <f t="array" ref="O758">MAX(IF((Tabla_Pagos[NRO DOC]=B758)*(Tabla_Pagos[IMPORTE ABONADO]&gt;0),Tabla_Pagos[FECHA DE ABONO]))</f>
        <v>46013</v>
      </c>
    </row>
    <row r="759" spans="2:15" ht="21" customHeight="1" x14ac:dyDescent="0.25">
      <c r="B759" s="39">
        <v>1670</v>
      </c>
      <c r="C759" s="20">
        <v>46013</v>
      </c>
      <c r="D759" s="40" t="s">
        <v>205</v>
      </c>
      <c r="E759" s="37" t="str">
        <f>IFERROR(VLOOKUP(D759,CLIENTES!$B$12:$G$2602,2,FALSE),"")</f>
        <v>CONSTRUCTORA DE PAVIMENTOS ASFALTICOS BITUMIX S.A</v>
      </c>
      <c r="F759" s="31">
        <v>214200</v>
      </c>
      <c r="G759" s="41" t="s">
        <v>101</v>
      </c>
      <c r="H759" s="26">
        <v>30</v>
      </c>
      <c r="I759" s="21" t="str">
        <f t="shared" si="110"/>
        <v>Crédito</v>
      </c>
      <c r="J759" s="22">
        <f t="shared" si="111"/>
        <v>46043</v>
      </c>
      <c r="K759" s="27">
        <f t="shared" ca="1" si="112"/>
        <v>0</v>
      </c>
      <c r="L759" s="23" t="str">
        <f t="shared" si="113"/>
        <v>Pagado</v>
      </c>
      <c r="M759" s="36">
        <f>SUMIFS(Tabla_Pagos[IMPORTE ABONADO],Tabla_Pagos[FECHA DE ABONO],"&gt;0",Tabla_Pagos[NRO DOC],B759)</f>
        <v>214200</v>
      </c>
      <c r="N759" s="36">
        <f t="shared" si="114"/>
        <v>0</v>
      </c>
      <c r="O759" s="22" cm="1">
        <f t="array" ref="O759">MAX(IF((Tabla_Pagos[NRO DOC]=B759)*(Tabla_Pagos[IMPORTE ABONADO]&gt;0),Tabla_Pagos[FECHA DE ABONO]))</f>
        <v>46059</v>
      </c>
    </row>
    <row r="760" spans="2:15" ht="21" customHeight="1" x14ac:dyDescent="0.25">
      <c r="B760" s="39">
        <v>1671</v>
      </c>
      <c r="C760" s="20">
        <v>46013</v>
      </c>
      <c r="D760" s="40" t="s">
        <v>624</v>
      </c>
      <c r="E760" s="37" t="str">
        <f>IFERROR(VLOOKUP(D760,CLIENTES!$B$12:$G$2602,2,FALSE),"")</f>
        <v>MARIA ANGELICA FIGUEROA ARDILES</v>
      </c>
      <c r="F760" s="31">
        <v>136564</v>
      </c>
      <c r="G760" s="41" t="s">
        <v>101</v>
      </c>
      <c r="H760" s="26">
        <v>30</v>
      </c>
      <c r="I760" s="21" t="str">
        <f t="shared" si="110"/>
        <v>Crédito</v>
      </c>
      <c r="J760" s="22">
        <f t="shared" si="111"/>
        <v>46043</v>
      </c>
      <c r="K760" s="27">
        <f t="shared" ca="1" si="112"/>
        <v>0</v>
      </c>
      <c r="L760" s="23" t="str">
        <f t="shared" si="113"/>
        <v>Pagado</v>
      </c>
      <c r="M760" s="36">
        <f>SUMIFS(Tabla_Pagos[IMPORTE ABONADO],Tabla_Pagos[FECHA DE ABONO],"&gt;0",Tabla_Pagos[NRO DOC],B760)</f>
        <v>136564</v>
      </c>
      <c r="N760" s="36">
        <f t="shared" si="114"/>
        <v>0</v>
      </c>
      <c r="O760" s="22" cm="1">
        <f t="array" ref="O760">MAX(IF((Tabla_Pagos[NRO DOC]=B760)*(Tabla_Pagos[IMPORTE ABONADO]&gt;0),Tabla_Pagos[FECHA DE ABONO]))</f>
        <v>46051</v>
      </c>
    </row>
    <row r="761" spans="2:15" ht="21" customHeight="1" x14ac:dyDescent="0.25">
      <c r="B761" s="39">
        <v>1672</v>
      </c>
      <c r="C761" s="20">
        <v>46013</v>
      </c>
      <c r="D761" s="40" t="s">
        <v>625</v>
      </c>
      <c r="E761" s="37" t="str">
        <f>IFERROR(VLOOKUP(D761,CLIENTES!$B$12:$G$2602,2,FALSE),"")</f>
        <v>EMPRESA DE SERVICIOS DE INGENIERIA Y CONSTRUCCIÃ“N SERNEWMAS SPA</v>
      </c>
      <c r="F761" s="31">
        <v>217413</v>
      </c>
      <c r="G761" s="41" t="s">
        <v>101</v>
      </c>
      <c r="H761" s="26">
        <v>0</v>
      </c>
      <c r="I761" s="21" t="str">
        <f t="shared" si="110"/>
        <v>Contado</v>
      </c>
      <c r="J761" s="22">
        <f t="shared" si="111"/>
        <v>46013</v>
      </c>
      <c r="K761" s="27">
        <f t="shared" ca="1" si="112"/>
        <v>0</v>
      </c>
      <c r="L761" s="23" t="str">
        <f t="shared" si="113"/>
        <v>Pagado</v>
      </c>
      <c r="M761" s="36">
        <f>SUMIFS(Tabla_Pagos[IMPORTE ABONADO],Tabla_Pagos[FECHA DE ABONO],"&gt;0",Tabla_Pagos[NRO DOC],B761)</f>
        <v>217413</v>
      </c>
      <c r="N761" s="36">
        <f t="shared" si="114"/>
        <v>0</v>
      </c>
      <c r="O761" s="22" cm="1">
        <f t="array" ref="O761">MAX(IF((Tabla_Pagos[NRO DOC]=B761)*(Tabla_Pagos[IMPORTE ABONADO]&gt;0),Tabla_Pagos[FECHA DE ABONO]))</f>
        <v>46013</v>
      </c>
    </row>
    <row r="762" spans="2:15" ht="21" customHeight="1" x14ac:dyDescent="0.25">
      <c r="B762" s="39">
        <v>1673</v>
      </c>
      <c r="C762" s="20">
        <v>46013</v>
      </c>
      <c r="D762" s="40" t="s">
        <v>245</v>
      </c>
      <c r="E762" s="37" t="str">
        <f>IFERROR(VLOOKUP(D762,CLIENTES!$B$12:$G$2602,2,FALSE),"")</f>
        <v>SERVICIOS MONTENEGRO SPA</v>
      </c>
      <c r="F762" s="31">
        <v>334390</v>
      </c>
      <c r="G762" s="41" t="s">
        <v>101</v>
      </c>
      <c r="H762" s="26">
        <v>0</v>
      </c>
      <c r="I762" s="21" t="str">
        <f t="shared" si="110"/>
        <v>Contado</v>
      </c>
      <c r="J762" s="22">
        <f t="shared" si="111"/>
        <v>46013</v>
      </c>
      <c r="K762" s="27">
        <f t="shared" ca="1" si="112"/>
        <v>0</v>
      </c>
      <c r="L762" s="23" t="str">
        <f t="shared" si="113"/>
        <v>Pagado</v>
      </c>
      <c r="M762" s="36">
        <f>SUMIFS(Tabla_Pagos[IMPORTE ABONADO],Tabla_Pagos[FECHA DE ABONO],"&gt;0",Tabla_Pagos[NRO DOC],B762)</f>
        <v>334390</v>
      </c>
      <c r="N762" s="36">
        <f t="shared" si="114"/>
        <v>0</v>
      </c>
      <c r="O762" s="22" cm="1">
        <f t="array" ref="O762">MAX(IF((Tabla_Pagos[NRO DOC]=B762)*(Tabla_Pagos[IMPORTE ABONADO]&gt;0),Tabla_Pagos[FECHA DE ABONO]))</f>
        <v>46013</v>
      </c>
    </row>
    <row r="763" spans="2:15" ht="21" customHeight="1" x14ac:dyDescent="0.25">
      <c r="B763" s="39">
        <v>1674</v>
      </c>
      <c r="C763" s="20">
        <v>46014</v>
      </c>
      <c r="D763" s="40" t="s">
        <v>194</v>
      </c>
      <c r="E763" s="37" t="str">
        <f>IFERROR(VLOOKUP(D763,CLIENTES!$B$12:$G$2602,2,FALSE),"")</f>
        <v>PRESTACION DE SERVICIOS MEDICOS JOSE LUIS GUERRA DIAZ E.I.R.L.</v>
      </c>
      <c r="F763" s="31">
        <v>11428760</v>
      </c>
      <c r="G763" s="41" t="s">
        <v>101</v>
      </c>
      <c r="H763" s="26">
        <v>0</v>
      </c>
      <c r="I763" s="21" t="str">
        <f t="shared" si="110"/>
        <v>Contado</v>
      </c>
      <c r="J763" s="22">
        <f t="shared" si="111"/>
        <v>46014</v>
      </c>
      <c r="K763" s="27">
        <f t="shared" ca="1" si="112"/>
        <v>0</v>
      </c>
      <c r="L763" s="23" t="str">
        <f t="shared" si="113"/>
        <v>Pagado</v>
      </c>
      <c r="M763" s="36">
        <f>SUMIFS(Tabla_Pagos[IMPORTE ABONADO],Tabla_Pagos[FECHA DE ABONO],"&gt;0",Tabla_Pagos[NRO DOC],B763)</f>
        <v>11428760</v>
      </c>
      <c r="N763" s="36">
        <f t="shared" si="114"/>
        <v>0</v>
      </c>
      <c r="O763" s="22" cm="1">
        <f t="array" ref="O763">MAX(IF((Tabla_Pagos[NRO DOC]=B763)*(Tabla_Pagos[IMPORTE ABONADO]&gt;0),Tabla_Pagos[FECHA DE ABONO]))</f>
        <v>46014</v>
      </c>
    </row>
    <row r="764" spans="2:15" ht="21" customHeight="1" x14ac:dyDescent="0.25">
      <c r="B764" s="39">
        <v>1675</v>
      </c>
      <c r="C764" s="20">
        <v>46014</v>
      </c>
      <c r="D764" s="40" t="s">
        <v>168</v>
      </c>
      <c r="E764" s="37" t="str">
        <f>IFERROR(VLOOKUP(D764,CLIENTES!$B$12:$G$2602,2,FALSE),"")</f>
        <v>CENTRO DE RECICLAJE DEL NORTE LIMITADA</v>
      </c>
      <c r="F764" s="31">
        <v>464100</v>
      </c>
      <c r="G764" s="41" t="s">
        <v>101</v>
      </c>
      <c r="H764" s="26">
        <v>30</v>
      </c>
      <c r="I764" s="21" t="str">
        <f t="shared" si="110"/>
        <v>Crédito</v>
      </c>
      <c r="J764" s="22">
        <f t="shared" si="111"/>
        <v>46044</v>
      </c>
      <c r="K764" s="27">
        <f t="shared" ca="1" si="112"/>
        <v>0</v>
      </c>
      <c r="L764" s="23" t="str">
        <f t="shared" si="113"/>
        <v>Pagado</v>
      </c>
      <c r="M764" s="36">
        <f>SUMIFS(Tabla_Pagos[IMPORTE ABONADO],Tabla_Pagos[FECHA DE ABONO],"&gt;0",Tabla_Pagos[NRO DOC],B764)</f>
        <v>464100</v>
      </c>
      <c r="N764" s="36">
        <f t="shared" si="114"/>
        <v>0</v>
      </c>
      <c r="O764" s="22" cm="1">
        <f t="array" ref="O764">MAX(IF((Tabla_Pagos[NRO DOC]=B764)*(Tabla_Pagos[IMPORTE ABONADO]&gt;0),Tabla_Pagos[FECHA DE ABONO]))</f>
        <v>46014</v>
      </c>
    </row>
    <row r="765" spans="2:15" ht="21" customHeight="1" x14ac:dyDescent="0.25">
      <c r="B765" s="39">
        <v>1676</v>
      </c>
      <c r="C765" s="20">
        <v>46015</v>
      </c>
      <c r="D765" s="40" t="s">
        <v>168</v>
      </c>
      <c r="E765" s="37" t="str">
        <f>IFERROR(VLOOKUP(D765,CLIENTES!$B$12:$G$2602,2,FALSE),"")</f>
        <v>CENTRO DE RECICLAJE DEL NORTE LIMITADA</v>
      </c>
      <c r="F765" s="31">
        <v>35700</v>
      </c>
      <c r="G765" s="41" t="s">
        <v>101</v>
      </c>
      <c r="H765" s="26">
        <v>0</v>
      </c>
      <c r="I765" s="21" t="str">
        <f t="shared" si="110"/>
        <v>Contado</v>
      </c>
      <c r="J765" s="22">
        <f t="shared" si="111"/>
        <v>46015</v>
      </c>
      <c r="K765" s="27">
        <f t="shared" ca="1" si="112"/>
        <v>0</v>
      </c>
      <c r="L765" s="23" t="str">
        <f t="shared" si="113"/>
        <v>Pagado</v>
      </c>
      <c r="M765" s="36">
        <f>SUMIFS(Tabla_Pagos[IMPORTE ABONADO],Tabla_Pagos[FECHA DE ABONO],"&gt;0",Tabla_Pagos[NRO DOC],B765)</f>
        <v>35700</v>
      </c>
      <c r="N765" s="36">
        <f t="shared" si="114"/>
        <v>0</v>
      </c>
      <c r="O765" s="22" cm="1">
        <f t="array" ref="O765">MAX(IF((Tabla_Pagos[NRO DOC]=B765)*(Tabla_Pagos[IMPORTE ABONADO]&gt;0),Tabla_Pagos[FECHA DE ABONO]))</f>
        <v>46015</v>
      </c>
    </row>
    <row r="766" spans="2:15" ht="21" customHeight="1" x14ac:dyDescent="0.25">
      <c r="B766" s="39">
        <v>1677</v>
      </c>
      <c r="C766" s="20">
        <v>46017</v>
      </c>
      <c r="D766" s="40" t="s">
        <v>626</v>
      </c>
      <c r="E766" s="37" t="str">
        <f>IFERROR(VLOOKUP(D766,CLIENTES!$B$12:$G$2602,2,FALSE),"")</f>
        <v>GREEN PEST CONTROL SPA</v>
      </c>
      <c r="F766" s="31">
        <v>47600</v>
      </c>
      <c r="G766" s="41" t="s">
        <v>101</v>
      </c>
      <c r="H766" s="26">
        <v>0</v>
      </c>
      <c r="I766" s="21" t="str">
        <f t="shared" si="110"/>
        <v>Contado</v>
      </c>
      <c r="J766" s="22">
        <f t="shared" si="111"/>
        <v>46017</v>
      </c>
      <c r="K766" s="27">
        <f t="shared" ca="1" si="112"/>
        <v>0</v>
      </c>
      <c r="L766" s="23" t="str">
        <f t="shared" si="113"/>
        <v>Pagado</v>
      </c>
      <c r="M766" s="36">
        <f>SUMIFS(Tabla_Pagos[IMPORTE ABONADO],Tabla_Pagos[FECHA DE ABONO],"&gt;0",Tabla_Pagos[NRO DOC],B766)</f>
        <v>47600</v>
      </c>
      <c r="N766" s="36">
        <f t="shared" si="114"/>
        <v>0</v>
      </c>
      <c r="O766" s="22" cm="1">
        <f t="array" ref="O766">MAX(IF((Tabla_Pagos[NRO DOC]=B766)*(Tabla_Pagos[IMPORTE ABONADO]&gt;0),Tabla_Pagos[FECHA DE ABONO]))</f>
        <v>46017</v>
      </c>
    </row>
    <row r="767" spans="2:15" ht="21" customHeight="1" x14ac:dyDescent="0.25">
      <c r="B767" s="39">
        <v>1682</v>
      </c>
      <c r="C767" s="20">
        <v>46020</v>
      </c>
      <c r="D767" s="40" t="s">
        <v>36</v>
      </c>
      <c r="E767" s="37" t="str">
        <f>IFERROR(VLOOKUP(D767,CLIENTES!$B$12:$G$2602,2,FALSE),"")</f>
        <v>LC GROUP INTERNATIONAL SPA</v>
      </c>
      <c r="F767" s="31">
        <v>910350</v>
      </c>
      <c r="G767" s="41" t="s">
        <v>101</v>
      </c>
      <c r="H767" s="26">
        <v>30</v>
      </c>
      <c r="I767" s="21" t="str">
        <f t="shared" si="110"/>
        <v>Crédito</v>
      </c>
      <c r="J767" s="22">
        <f t="shared" si="111"/>
        <v>46050</v>
      </c>
      <c r="K767" s="27">
        <f t="shared" ca="1" si="112"/>
        <v>0</v>
      </c>
      <c r="L767" s="23" t="str">
        <f t="shared" si="113"/>
        <v>Pagado</v>
      </c>
      <c r="M767" s="36">
        <f>SUMIFS(Tabla_Pagos[IMPORTE ABONADO],Tabla_Pagos[FECHA DE ABONO],"&gt;0",Tabla_Pagos[NRO DOC],B767)</f>
        <v>910350</v>
      </c>
      <c r="N767" s="36">
        <f t="shared" si="114"/>
        <v>0</v>
      </c>
      <c r="O767" s="22" cm="1">
        <f t="array" ref="O767">MAX(IF((Tabla_Pagos[NRO DOC]=B767)*(Tabla_Pagos[IMPORTE ABONADO]&gt;0),Tabla_Pagos[FECHA DE ABONO]))</f>
        <v>46027</v>
      </c>
    </row>
    <row r="768" spans="2:15" ht="21" customHeight="1" x14ac:dyDescent="0.25">
      <c r="B768" s="39">
        <v>1683</v>
      </c>
      <c r="C768" s="20">
        <v>46020</v>
      </c>
      <c r="D768" s="40" t="s">
        <v>627</v>
      </c>
      <c r="E768" s="37" t="str">
        <f>IFERROR(VLOOKUP(D768,CLIENTES!$B$12:$G$2602,2,FALSE),"")</f>
        <v>COMERCIALIZADORA Y DISTRIBUIDORA MEGA COSTO SPA</v>
      </c>
      <c r="F768" s="31">
        <v>446250</v>
      </c>
      <c r="G768" s="41" t="s">
        <v>101</v>
      </c>
      <c r="H768" s="26">
        <v>0</v>
      </c>
      <c r="I768" s="21" t="str">
        <f t="shared" si="110"/>
        <v>Contado</v>
      </c>
      <c r="J768" s="22">
        <f t="shared" si="111"/>
        <v>46020</v>
      </c>
      <c r="K768" s="27">
        <f t="shared" ca="1" si="112"/>
        <v>0</v>
      </c>
      <c r="L768" s="23" t="str">
        <f t="shared" si="113"/>
        <v>Pagado</v>
      </c>
      <c r="M768" s="36">
        <f>SUMIFS(Tabla_Pagos[IMPORTE ABONADO],Tabla_Pagos[FECHA DE ABONO],"&gt;0",Tabla_Pagos[NRO DOC],B768)</f>
        <v>446250</v>
      </c>
      <c r="N768" s="36">
        <f t="shared" si="114"/>
        <v>0</v>
      </c>
      <c r="O768" s="22" cm="1">
        <f t="array" ref="O768">MAX(IF((Tabla_Pagos[NRO DOC]=B768)*(Tabla_Pagos[IMPORTE ABONADO]&gt;0),Tabla_Pagos[FECHA DE ABONO]))</f>
        <v>46020</v>
      </c>
    </row>
    <row r="769" spans="2:15" ht="21" customHeight="1" x14ac:dyDescent="0.25">
      <c r="B769" s="39">
        <v>1684</v>
      </c>
      <c r="C769" s="20">
        <v>46020</v>
      </c>
      <c r="D769" s="40" t="s">
        <v>628</v>
      </c>
      <c r="E769" s="37" t="str">
        <f>IFERROR(VLOOKUP(D769,CLIENTES!$B$12:$G$2602,2,FALSE),"")</f>
        <v>AGRITRANS SERVICIOS SPA</v>
      </c>
      <c r="F769" s="31">
        <v>226100</v>
      </c>
      <c r="G769" s="41" t="s">
        <v>101</v>
      </c>
      <c r="H769" s="26">
        <v>0</v>
      </c>
      <c r="I769" s="21" t="str">
        <f t="shared" si="110"/>
        <v>Contado</v>
      </c>
      <c r="J769" s="22">
        <f t="shared" si="111"/>
        <v>46020</v>
      </c>
      <c r="K769" s="27">
        <f t="shared" ca="1" si="112"/>
        <v>0</v>
      </c>
      <c r="L769" s="23" t="str">
        <f t="shared" si="113"/>
        <v>Pagado</v>
      </c>
      <c r="M769" s="36">
        <f>SUMIFS(Tabla_Pagos[IMPORTE ABONADO],Tabla_Pagos[FECHA DE ABONO],"&gt;0",Tabla_Pagos[NRO DOC],B769)</f>
        <v>226100</v>
      </c>
      <c r="N769" s="36">
        <f t="shared" si="114"/>
        <v>0</v>
      </c>
      <c r="O769" s="22" cm="1">
        <f t="array" ref="O769">MAX(IF((Tabla_Pagos[NRO DOC]=B769)*(Tabla_Pagos[IMPORTE ABONADO]&gt;0),Tabla_Pagos[FECHA DE ABONO]))</f>
        <v>46020</v>
      </c>
    </row>
    <row r="770" spans="2:15" ht="21" customHeight="1" x14ac:dyDescent="0.25">
      <c r="B770" s="39">
        <v>1686</v>
      </c>
      <c r="C770" s="20">
        <v>46021</v>
      </c>
      <c r="D770" s="40" t="s">
        <v>468</v>
      </c>
      <c r="E770" s="37" t="str">
        <f>IFERROR(VLOOKUP(D770,CLIENTES!$B$12:$G$2602,2,FALSE),"")</f>
        <v>ELIAS RESK CONTRERAS TRANSPORTES Y SERVICIOS LIMITADA</v>
      </c>
      <c r="F770" s="31">
        <v>26002</v>
      </c>
      <c r="G770" s="41" t="s">
        <v>101</v>
      </c>
      <c r="H770" s="26">
        <v>0</v>
      </c>
      <c r="I770" s="21" t="str">
        <f t="shared" si="110"/>
        <v>Contado</v>
      </c>
      <c r="J770" s="22">
        <f t="shared" si="111"/>
        <v>46021</v>
      </c>
      <c r="K770" s="27">
        <f t="shared" ca="1" si="112"/>
        <v>0</v>
      </c>
      <c r="L770" s="23" t="str">
        <f t="shared" si="113"/>
        <v>Pagado</v>
      </c>
      <c r="M770" s="36">
        <f>SUMIFS(Tabla_Pagos[IMPORTE ABONADO],Tabla_Pagos[FECHA DE ABONO],"&gt;0",Tabla_Pagos[NRO DOC],B770)</f>
        <v>26002</v>
      </c>
      <c r="N770" s="36">
        <f t="shared" si="114"/>
        <v>0</v>
      </c>
      <c r="O770" s="22" cm="1">
        <f t="array" ref="O770">MAX(IF((Tabla_Pagos[NRO DOC]=B770)*(Tabla_Pagos[IMPORTE ABONADO]&gt;0),Tabla_Pagos[FECHA DE ABONO]))</f>
        <v>46021</v>
      </c>
    </row>
    <row r="771" spans="2:15" ht="21" customHeight="1" x14ac:dyDescent="0.25">
      <c r="B771" s="39">
        <v>1687</v>
      </c>
      <c r="C771" s="20">
        <v>46021</v>
      </c>
      <c r="D771" s="40" t="s">
        <v>401</v>
      </c>
      <c r="E771" s="37" t="str">
        <f>IFERROR(VLOOKUP(D771,CLIENTES!$B$12:$G$2602,2,FALSE),"")</f>
        <v>INVERSIONES SANTA LUISA LIMITADA</v>
      </c>
      <c r="F771" s="31">
        <v>23800</v>
      </c>
      <c r="G771" s="41" t="s">
        <v>101</v>
      </c>
      <c r="H771" s="26">
        <v>0</v>
      </c>
      <c r="I771" s="21" t="str">
        <f t="shared" si="110"/>
        <v>Contado</v>
      </c>
      <c r="J771" s="22">
        <f t="shared" si="111"/>
        <v>46021</v>
      </c>
      <c r="K771" s="27">
        <f t="shared" ca="1" si="112"/>
        <v>0</v>
      </c>
      <c r="L771" s="23" t="str">
        <f t="shared" si="113"/>
        <v>Pagado</v>
      </c>
      <c r="M771" s="36">
        <f>SUMIFS(Tabla_Pagos[IMPORTE ABONADO],Tabla_Pagos[FECHA DE ABONO],"&gt;0",Tabla_Pagos[NRO DOC],B771)</f>
        <v>23800</v>
      </c>
      <c r="N771" s="36">
        <f t="shared" si="114"/>
        <v>0</v>
      </c>
      <c r="O771" s="22" cm="1">
        <f t="array" ref="O771">MAX(IF((Tabla_Pagos[NRO DOC]=B771)*(Tabla_Pagos[IMPORTE ABONADO]&gt;0),Tabla_Pagos[FECHA DE ABONO]))</f>
        <v>46021</v>
      </c>
    </row>
    <row r="772" spans="2:15" ht="21" customHeight="1" x14ac:dyDescent="0.25">
      <c r="B772" s="39">
        <v>1688</v>
      </c>
      <c r="C772" s="20">
        <v>46022</v>
      </c>
      <c r="D772" s="40" t="s">
        <v>54</v>
      </c>
      <c r="E772" s="37" t="str">
        <f>IFERROR(VLOOKUP(D772,CLIENTES!$B$12:$G$2602,2,FALSE),"")</f>
        <v>AUCAN LOGISTIC SPA</v>
      </c>
      <c r="F772" s="31">
        <v>5429970</v>
      </c>
      <c r="G772" s="41" t="s">
        <v>101</v>
      </c>
      <c r="H772" s="26">
        <v>0</v>
      </c>
      <c r="I772" s="21" t="str">
        <f t="shared" si="110"/>
        <v>Contado</v>
      </c>
      <c r="J772" s="22">
        <f t="shared" si="111"/>
        <v>46022</v>
      </c>
      <c r="K772" s="27">
        <f t="shared" ca="1" si="112"/>
        <v>-156</v>
      </c>
      <c r="L772" s="23" t="str">
        <f t="shared" ca="1" si="113"/>
        <v>Vencido</v>
      </c>
      <c r="M772" s="36">
        <f>SUMIFS(Tabla_Pagos[IMPORTE ABONADO],Tabla_Pagos[FECHA DE ABONO],"&gt;0",Tabla_Pagos[NRO DOC],B772)</f>
        <v>10429970</v>
      </c>
      <c r="N772" s="36">
        <f t="shared" si="114"/>
        <v>-5000000</v>
      </c>
      <c r="O772" s="22" cm="1">
        <f t="array" ref="O772">MAX(IF((Tabla_Pagos[NRO DOC]=B772)*(Tabla_Pagos[IMPORTE ABONADO]&gt;0),Tabla_Pagos[FECHA DE ABONO]))</f>
        <v>46034</v>
      </c>
    </row>
    <row r="773" spans="2:15" ht="21" customHeight="1" x14ac:dyDescent="0.25">
      <c r="B773" s="39">
        <v>1689</v>
      </c>
      <c r="C773" s="20">
        <v>46022</v>
      </c>
      <c r="D773" s="40" t="s">
        <v>629</v>
      </c>
      <c r="E773" s="37" t="str">
        <f>IFERROR(VLOOKUP(D773,CLIENTES!$B$12:$G$2602,2,FALSE),"")</f>
        <v>RCR TÃCTICAL  TECHNOLOGY SUPPORT SPA</v>
      </c>
      <c r="F773" s="31">
        <v>3000000</v>
      </c>
      <c r="G773" s="41" t="s">
        <v>101</v>
      </c>
      <c r="H773" s="26">
        <v>0</v>
      </c>
      <c r="I773" s="21" t="str">
        <f t="shared" si="110"/>
        <v>Contado</v>
      </c>
      <c r="J773" s="22">
        <f t="shared" si="111"/>
        <v>46022</v>
      </c>
      <c r="K773" s="27">
        <f t="shared" ca="1" si="112"/>
        <v>0</v>
      </c>
      <c r="L773" s="23" t="str">
        <f t="shared" si="113"/>
        <v>Pagado</v>
      </c>
      <c r="M773" s="36">
        <f>SUMIFS(Tabla_Pagos[IMPORTE ABONADO],Tabla_Pagos[FECHA DE ABONO],"&gt;0",Tabla_Pagos[NRO DOC],B773)</f>
        <v>3000000</v>
      </c>
      <c r="N773" s="36">
        <f t="shared" si="114"/>
        <v>0</v>
      </c>
      <c r="O773" s="22" cm="1">
        <f t="array" ref="O773">MAX(IF((Tabla_Pagos[NRO DOC]=B773)*(Tabla_Pagos[IMPORTE ABONADO]&gt;0),Tabla_Pagos[FECHA DE ABONO]))</f>
        <v>46022</v>
      </c>
    </row>
    <row r="774" spans="2:15" ht="21" customHeight="1" x14ac:dyDescent="0.25">
      <c r="B774" s="39">
        <v>1690</v>
      </c>
      <c r="C774" s="20">
        <v>46022</v>
      </c>
      <c r="D774" s="40" t="s">
        <v>630</v>
      </c>
      <c r="E774" s="37" t="str">
        <f>IFERROR(VLOOKUP(D774,CLIENTES!$B$12:$G$2602,2,FALSE),"")</f>
        <v>OPTICAS JOVAL SPA</v>
      </c>
      <c r="F774" s="31">
        <v>2000000</v>
      </c>
      <c r="G774" s="41" t="s">
        <v>101</v>
      </c>
      <c r="H774" s="26">
        <v>0</v>
      </c>
      <c r="I774" s="21" t="str">
        <f t="shared" si="110"/>
        <v>Contado</v>
      </c>
      <c r="J774" s="22">
        <f t="shared" si="111"/>
        <v>46022</v>
      </c>
      <c r="K774" s="27">
        <f t="shared" ca="1" si="112"/>
        <v>0</v>
      </c>
      <c r="L774" s="23" t="str">
        <f t="shared" si="113"/>
        <v>Pagado</v>
      </c>
      <c r="M774" s="36">
        <f>SUMIFS(Tabla_Pagos[IMPORTE ABONADO],Tabla_Pagos[FECHA DE ABONO],"&gt;0",Tabla_Pagos[NRO DOC],B774)</f>
        <v>2000000</v>
      </c>
      <c r="N774" s="36">
        <f t="shared" si="114"/>
        <v>0</v>
      </c>
      <c r="O774" s="22" cm="1">
        <f t="array" ref="O774">MAX(IF((Tabla_Pagos[NRO DOC]=B774)*(Tabla_Pagos[IMPORTE ABONADO]&gt;0),Tabla_Pagos[FECHA DE ABONO]))</f>
        <v>46022</v>
      </c>
    </row>
    <row r="775" spans="2:15" ht="21" customHeight="1" x14ac:dyDescent="0.25">
      <c r="B775" s="39">
        <v>1691</v>
      </c>
      <c r="C775" s="20">
        <v>46024</v>
      </c>
      <c r="D775" s="40" t="s">
        <v>641</v>
      </c>
      <c r="E775" s="37" t="str">
        <f>IFERROR(VLOOKUP(D775,CLIENTES!$B$12:$G$2602,2,FALSE),"")</f>
        <v>TRANSPORTES KIMSA, SERVICIOS DISTRIBUCION SPA</v>
      </c>
      <c r="F775" s="31">
        <v>47600</v>
      </c>
      <c r="G775" s="41" t="s">
        <v>101</v>
      </c>
      <c r="H775" s="26">
        <v>0</v>
      </c>
      <c r="I775" s="21" t="str">
        <f>IF(H775="","",IF(H775=0,"Contado","Crédito"))</f>
        <v>Contado</v>
      </c>
      <c r="J775" s="22">
        <f>IF(I775="","",C775+H775)</f>
        <v>46024</v>
      </c>
      <c r="K775" s="27">
        <f ca="1">IFERROR(IF(B775="","",IF(N775=0,0,J775-TODAY())),"")</f>
        <v>0</v>
      </c>
      <c r="L775" s="23" t="str">
        <f>IF(I775="","",IF(N775=0,"Pagado",IF(K775&lt;0,"Vencido","No vencido")))</f>
        <v>Pagado</v>
      </c>
      <c r="M775" s="36">
        <f>SUMIFS(Tabla_Pagos[IMPORTE ABONADO],Tabla_Pagos[FECHA DE ABONO],"&gt;0",Tabla_Pagos[NRO DOC],B775)</f>
        <v>47600</v>
      </c>
      <c r="N775" s="36">
        <f>F775-M775</f>
        <v>0</v>
      </c>
      <c r="O775" s="22" cm="1">
        <f t="array" ref="O775">MAX(IF((Tabla_Pagos[NRO DOC]=B775)*(Tabla_Pagos[IMPORTE ABONADO]&gt;0),Tabla_Pagos[FECHA DE ABONO]))</f>
        <v>46024</v>
      </c>
    </row>
    <row r="776" spans="2:15" ht="21" customHeight="1" x14ac:dyDescent="0.25">
      <c r="B776" s="39">
        <v>1692</v>
      </c>
      <c r="C776" s="20">
        <v>46027</v>
      </c>
      <c r="D776" s="40" t="s">
        <v>485</v>
      </c>
      <c r="E776" s="37" t="str">
        <f>IFERROR(VLOOKUP(D776,CLIENTES!$B$12:$G$2602,2,FALSE),"")</f>
        <v>SAN RAFAEL INGENIERIA Y  SERVICIOS LIMITADA</v>
      </c>
      <c r="F776" s="31">
        <v>891310</v>
      </c>
      <c r="G776" s="41" t="s">
        <v>101</v>
      </c>
      <c r="H776" s="26">
        <v>30</v>
      </c>
      <c r="I776" s="21" t="str">
        <f t="shared" ref="I776:I807" si="115">IF(H776="","",IF(H776=0,"Contado","Crédito"))</f>
        <v>Crédito</v>
      </c>
      <c r="J776" s="22">
        <f t="shared" ref="J776:J807" si="116">IF(I776="","",C776+H776)</f>
        <v>46057</v>
      </c>
      <c r="K776" s="27">
        <f t="shared" ref="K776:K807" ca="1" si="117">IFERROR(IF(B776="","",IF(N776=0,0,J776-TODAY())),"")</f>
        <v>0</v>
      </c>
      <c r="L776" s="23" t="str">
        <f t="shared" ref="L776:L807" si="118">IF(I776="","",IF(N776=0,"Pagado",IF(K776&lt;0,"Vencido","No vencido")))</f>
        <v>Pagado</v>
      </c>
      <c r="M776" s="36">
        <f>SUMIFS(Tabla_Pagos[IMPORTE ABONADO],Tabla_Pagos[FECHA DE ABONO],"&gt;0",Tabla_Pagos[NRO DOC],B776)</f>
        <v>891310</v>
      </c>
      <c r="N776" s="36">
        <f t="shared" ref="N776:N807" si="119">F776-M776</f>
        <v>0</v>
      </c>
      <c r="O776" s="22" cm="1">
        <f t="array" ref="O776">MAX(IF((Tabla_Pagos[NRO DOC]=B776)*(Tabla_Pagos[IMPORTE ABONADO]&gt;0),Tabla_Pagos[FECHA DE ABONO]))</f>
        <v>46058</v>
      </c>
    </row>
    <row r="777" spans="2:15" ht="21" customHeight="1" x14ac:dyDescent="0.25">
      <c r="B777" s="39">
        <v>1693</v>
      </c>
      <c r="C777" s="20">
        <v>46027</v>
      </c>
      <c r="D777" s="40" t="s">
        <v>460</v>
      </c>
      <c r="E777" s="37" t="str">
        <f>IFERROR(VLOOKUP(D777,CLIENTES!$B$12:$G$2602,2,FALSE),"")</f>
        <v>INGENIERIA GACITUA SPA</v>
      </c>
      <c r="F777" s="31">
        <v>433160</v>
      </c>
      <c r="G777" s="41" t="s">
        <v>101</v>
      </c>
      <c r="H777" s="26">
        <v>0</v>
      </c>
      <c r="I777" s="21" t="str">
        <f t="shared" si="115"/>
        <v>Contado</v>
      </c>
      <c r="J777" s="22">
        <f t="shared" si="116"/>
        <v>46027</v>
      </c>
      <c r="K777" s="27">
        <f t="shared" ca="1" si="117"/>
        <v>0</v>
      </c>
      <c r="L777" s="23" t="str">
        <f t="shared" si="118"/>
        <v>Pagado</v>
      </c>
      <c r="M777" s="36">
        <f>SUMIFS(Tabla_Pagos[IMPORTE ABONADO],Tabla_Pagos[FECHA DE ABONO],"&gt;0",Tabla_Pagos[NRO DOC],B777)</f>
        <v>433160</v>
      </c>
      <c r="N777" s="36">
        <f t="shared" si="119"/>
        <v>0</v>
      </c>
      <c r="O777" s="22" cm="1">
        <f t="array" ref="O777">MAX(IF((Tabla_Pagos[NRO DOC]=B777)*(Tabla_Pagos[IMPORTE ABONADO]&gt;0),Tabla_Pagos[FECHA DE ABONO]))</f>
        <v>46027</v>
      </c>
    </row>
    <row r="778" spans="2:15" ht="21" customHeight="1" x14ac:dyDescent="0.25">
      <c r="B778" s="39">
        <v>1694</v>
      </c>
      <c r="C778" s="20">
        <v>46027</v>
      </c>
      <c r="D778" s="40" t="s">
        <v>260</v>
      </c>
      <c r="E778" s="37" t="str">
        <f>IFERROR(VLOOKUP(D778,CLIENTES!$B$12:$G$2602,2,FALSE),"")</f>
        <v>TRANSPORTES GALLARDO LIMITADA</v>
      </c>
      <c r="F778" s="31">
        <v>35700</v>
      </c>
      <c r="G778" s="41" t="s">
        <v>101</v>
      </c>
      <c r="H778" s="26">
        <v>0</v>
      </c>
      <c r="I778" s="21" t="str">
        <f t="shared" si="115"/>
        <v>Contado</v>
      </c>
      <c r="J778" s="22">
        <f t="shared" si="116"/>
        <v>46027</v>
      </c>
      <c r="K778" s="27">
        <f t="shared" ca="1" si="117"/>
        <v>0</v>
      </c>
      <c r="L778" s="23" t="str">
        <f t="shared" si="118"/>
        <v>Pagado</v>
      </c>
      <c r="M778" s="36">
        <f>SUMIFS(Tabla_Pagos[IMPORTE ABONADO],Tabla_Pagos[FECHA DE ABONO],"&gt;0",Tabla_Pagos[NRO DOC],B778)</f>
        <v>35700</v>
      </c>
      <c r="N778" s="36">
        <f t="shared" si="119"/>
        <v>0</v>
      </c>
      <c r="O778" s="22" cm="1">
        <f t="array" ref="O778">MAX(IF((Tabla_Pagos[NRO DOC]=B778)*(Tabla_Pagos[IMPORTE ABONADO]&gt;0),Tabla_Pagos[FECHA DE ABONO]))</f>
        <v>46027</v>
      </c>
    </row>
    <row r="779" spans="2:15" ht="21" customHeight="1" x14ac:dyDescent="0.25">
      <c r="B779" s="39">
        <v>1695</v>
      </c>
      <c r="C779" s="20">
        <v>46028</v>
      </c>
      <c r="D779" s="40" t="s">
        <v>642</v>
      </c>
      <c r="E779" s="37" t="str">
        <f>IFERROR(VLOOKUP(D779,CLIENTES!$B$12:$G$2602,2,FALSE),"")</f>
        <v>ANAKENA GROUP SPA</v>
      </c>
      <c r="F779" s="31">
        <v>20000</v>
      </c>
      <c r="G779" s="41" t="s">
        <v>101</v>
      </c>
      <c r="H779" s="26">
        <v>0</v>
      </c>
      <c r="I779" s="21" t="str">
        <f t="shared" si="115"/>
        <v>Contado</v>
      </c>
      <c r="J779" s="22">
        <f t="shared" si="116"/>
        <v>46028</v>
      </c>
      <c r="K779" s="27">
        <f t="shared" ca="1" si="117"/>
        <v>0</v>
      </c>
      <c r="L779" s="23" t="str">
        <f t="shared" si="118"/>
        <v>Pagado</v>
      </c>
      <c r="M779" s="36">
        <f>SUMIFS(Tabla_Pagos[IMPORTE ABONADO],Tabla_Pagos[FECHA DE ABONO],"&gt;0",Tabla_Pagos[NRO DOC],B779)</f>
        <v>20000</v>
      </c>
      <c r="N779" s="36">
        <f t="shared" si="119"/>
        <v>0</v>
      </c>
      <c r="O779" s="22" cm="1">
        <f t="array" ref="O779">MAX(IF((Tabla_Pagos[NRO DOC]=B779)*(Tabla_Pagos[IMPORTE ABONADO]&gt;0),Tabla_Pagos[FECHA DE ABONO]))</f>
        <v>46028</v>
      </c>
    </row>
    <row r="780" spans="2:15" ht="21" customHeight="1" x14ac:dyDescent="0.25">
      <c r="B780" s="39">
        <v>1696</v>
      </c>
      <c r="C780" s="20">
        <v>46028</v>
      </c>
      <c r="D780" s="40" t="s">
        <v>643</v>
      </c>
      <c r="E780" s="37" t="str">
        <f>IFERROR(VLOOKUP(D780,CLIENTES!$B$12:$G$2602,2,FALSE),"")</f>
        <v>LATORRE INGENIERIA SPA</v>
      </c>
      <c r="F780" s="31">
        <v>90000</v>
      </c>
      <c r="G780" s="41" t="s">
        <v>101</v>
      </c>
      <c r="H780" s="26">
        <v>0</v>
      </c>
      <c r="I780" s="21" t="str">
        <f t="shared" si="115"/>
        <v>Contado</v>
      </c>
      <c r="J780" s="22">
        <f t="shared" si="116"/>
        <v>46028</v>
      </c>
      <c r="K780" s="27">
        <f t="shared" ca="1" si="117"/>
        <v>0</v>
      </c>
      <c r="L780" s="23" t="str">
        <f t="shared" si="118"/>
        <v>Pagado</v>
      </c>
      <c r="M780" s="36">
        <f>SUMIFS(Tabla_Pagos[IMPORTE ABONADO],Tabla_Pagos[FECHA DE ABONO],"&gt;0",Tabla_Pagos[NRO DOC],B780)</f>
        <v>90000</v>
      </c>
      <c r="N780" s="36">
        <f t="shared" si="119"/>
        <v>0</v>
      </c>
      <c r="O780" s="22" cm="1">
        <f t="array" ref="O780">MAX(IF((Tabla_Pagos[NRO DOC]=B780)*(Tabla_Pagos[IMPORTE ABONADO]&gt;0),Tabla_Pagos[FECHA DE ABONO]))</f>
        <v>46028</v>
      </c>
    </row>
    <row r="781" spans="2:15" ht="21" customHeight="1" x14ac:dyDescent="0.25">
      <c r="B781" s="39">
        <v>1697</v>
      </c>
      <c r="C781" s="20">
        <v>46028</v>
      </c>
      <c r="D781" s="40" t="s">
        <v>644</v>
      </c>
      <c r="E781" s="37" t="str">
        <f>IFERROR(VLOOKUP(D781,CLIENTES!$B$12:$G$2602,2,FALSE),"")</f>
        <v>TRANSPORTES GALLARDO SPA</v>
      </c>
      <c r="F781" s="31">
        <v>273700</v>
      </c>
      <c r="G781" s="41" t="s">
        <v>101</v>
      </c>
      <c r="H781" s="26">
        <v>0</v>
      </c>
      <c r="I781" s="21" t="str">
        <f t="shared" si="115"/>
        <v>Contado</v>
      </c>
      <c r="J781" s="22">
        <f t="shared" si="116"/>
        <v>46028</v>
      </c>
      <c r="K781" s="27">
        <f t="shared" ca="1" si="117"/>
        <v>0</v>
      </c>
      <c r="L781" s="23" t="str">
        <f t="shared" si="118"/>
        <v>Pagado</v>
      </c>
      <c r="M781" s="36">
        <f>SUMIFS(Tabla_Pagos[IMPORTE ABONADO],Tabla_Pagos[FECHA DE ABONO],"&gt;0",Tabla_Pagos[NRO DOC],B781)</f>
        <v>273700</v>
      </c>
      <c r="N781" s="36">
        <f t="shared" si="119"/>
        <v>0</v>
      </c>
      <c r="O781" s="22" cm="1">
        <f t="array" ref="O781">MAX(IF((Tabla_Pagos[NRO DOC]=B781)*(Tabla_Pagos[IMPORTE ABONADO]&gt;0),Tabla_Pagos[FECHA DE ABONO]))</f>
        <v>46028</v>
      </c>
    </row>
    <row r="782" spans="2:15" ht="21" customHeight="1" x14ac:dyDescent="0.25">
      <c r="B782" s="39">
        <v>1698</v>
      </c>
      <c r="C782" s="20">
        <v>46029</v>
      </c>
      <c r="D782" s="40" t="s">
        <v>579</v>
      </c>
      <c r="E782" s="37" t="str">
        <f>IFERROR(VLOOKUP(D782,CLIENTES!$B$12:$G$2602,2,FALSE),"")</f>
        <v>COMERCIALIZADORA TEC RAPOL LIMITADA</v>
      </c>
      <c r="F782" s="31">
        <v>1666000</v>
      </c>
      <c r="G782" s="41" t="s">
        <v>101</v>
      </c>
      <c r="H782" s="26">
        <v>30</v>
      </c>
      <c r="I782" s="21" t="str">
        <f t="shared" si="115"/>
        <v>Crédito</v>
      </c>
      <c r="J782" s="22">
        <f t="shared" si="116"/>
        <v>46059</v>
      </c>
      <c r="K782" s="27">
        <f t="shared" ca="1" si="117"/>
        <v>0</v>
      </c>
      <c r="L782" s="23" t="str">
        <f t="shared" si="118"/>
        <v>Pagado</v>
      </c>
      <c r="M782" s="36">
        <f>SUMIFS(Tabla_Pagos[IMPORTE ABONADO],Tabla_Pagos[FECHA DE ABONO],"&gt;0",Tabla_Pagos[NRO DOC],B782)</f>
        <v>1666000</v>
      </c>
      <c r="N782" s="36">
        <f t="shared" si="119"/>
        <v>0</v>
      </c>
      <c r="O782" s="22" cm="1">
        <f t="array" ref="O782">MAX(IF((Tabla_Pagos[NRO DOC]=B782)*(Tabla_Pagos[IMPORTE ABONADO]&gt;0),Tabla_Pagos[FECHA DE ABONO]))</f>
        <v>46058</v>
      </c>
    </row>
    <row r="783" spans="2:15" ht="21" customHeight="1" x14ac:dyDescent="0.25">
      <c r="B783" s="39">
        <v>1699</v>
      </c>
      <c r="C783" s="20">
        <v>46029</v>
      </c>
      <c r="D783" s="40" t="s">
        <v>645</v>
      </c>
      <c r="E783" s="37" t="str">
        <f>IFERROR(VLOOKUP(D783,CLIENTES!$B$12:$G$2602,2,FALSE),"")</f>
        <v>GEARMINDS SPA</v>
      </c>
      <c r="F783" s="31">
        <v>107100</v>
      </c>
      <c r="G783" s="41" t="s">
        <v>101</v>
      </c>
      <c r="H783" s="26">
        <v>0</v>
      </c>
      <c r="I783" s="21" t="str">
        <f t="shared" si="115"/>
        <v>Contado</v>
      </c>
      <c r="J783" s="22">
        <f t="shared" si="116"/>
        <v>46029</v>
      </c>
      <c r="K783" s="27">
        <f t="shared" ca="1" si="117"/>
        <v>0</v>
      </c>
      <c r="L783" s="23" t="str">
        <f t="shared" si="118"/>
        <v>Pagado</v>
      </c>
      <c r="M783" s="36">
        <f>SUMIFS(Tabla_Pagos[IMPORTE ABONADO],Tabla_Pagos[FECHA DE ABONO],"&gt;0",Tabla_Pagos[NRO DOC],B783)</f>
        <v>107100</v>
      </c>
      <c r="N783" s="36">
        <f t="shared" si="119"/>
        <v>0</v>
      </c>
      <c r="O783" s="22" cm="1">
        <f t="array" ref="O783">MAX(IF((Tabla_Pagos[NRO DOC]=B783)*(Tabla_Pagos[IMPORTE ABONADO]&gt;0),Tabla_Pagos[FECHA DE ABONO]))</f>
        <v>46029</v>
      </c>
    </row>
    <row r="784" spans="2:15" ht="21" customHeight="1" x14ac:dyDescent="0.25">
      <c r="B784" s="39">
        <v>1701</v>
      </c>
      <c r="C784" s="20">
        <v>46030</v>
      </c>
      <c r="D784" s="40" t="s">
        <v>646</v>
      </c>
      <c r="E784" s="37" t="str">
        <f>IFERROR(VLOOKUP(D784,CLIENTES!$B$12:$G$2602,2,FALSE),"")</f>
        <v>CLUB ATLETICO BATALLON DE ATACAMA</v>
      </c>
      <c r="F784" s="31">
        <v>952000</v>
      </c>
      <c r="G784" s="41" t="s">
        <v>101</v>
      </c>
      <c r="H784" s="26">
        <v>0</v>
      </c>
      <c r="I784" s="21" t="str">
        <f t="shared" si="115"/>
        <v>Contado</v>
      </c>
      <c r="J784" s="22">
        <f t="shared" si="116"/>
        <v>46030</v>
      </c>
      <c r="K784" s="27">
        <f t="shared" ca="1" si="117"/>
        <v>0</v>
      </c>
      <c r="L784" s="23" t="str">
        <f t="shared" si="118"/>
        <v>Pagado</v>
      </c>
      <c r="M784" s="36">
        <f>SUMIFS(Tabla_Pagos[IMPORTE ABONADO],Tabla_Pagos[FECHA DE ABONO],"&gt;0",Tabla_Pagos[NRO DOC],B784)</f>
        <v>952000</v>
      </c>
      <c r="N784" s="36">
        <f t="shared" si="119"/>
        <v>0</v>
      </c>
      <c r="O784" s="22" cm="1">
        <f t="array" ref="O784">MAX(IF((Tabla_Pagos[NRO DOC]=B784)*(Tabla_Pagos[IMPORTE ABONADO]&gt;0),Tabla_Pagos[FECHA DE ABONO]))</f>
        <v>46030</v>
      </c>
    </row>
    <row r="785" spans="2:15" ht="21" customHeight="1" x14ac:dyDescent="0.25">
      <c r="B785" s="39">
        <v>1702</v>
      </c>
      <c r="C785" s="20">
        <v>46030</v>
      </c>
      <c r="D785" s="40" t="s">
        <v>49</v>
      </c>
      <c r="E785" s="37" t="str">
        <f>IFERROR(VLOOKUP(D785,CLIENTES!$B$12:$G$2602,2,FALSE),"")</f>
        <v>MOINCO INGENIERIA SPA</v>
      </c>
      <c r="F785" s="31">
        <v>296667</v>
      </c>
      <c r="G785" s="41" t="s">
        <v>101</v>
      </c>
      <c r="H785" s="26">
        <v>0</v>
      </c>
      <c r="I785" s="21" t="str">
        <f t="shared" si="115"/>
        <v>Contado</v>
      </c>
      <c r="J785" s="22">
        <f t="shared" si="116"/>
        <v>46030</v>
      </c>
      <c r="K785" s="27">
        <f t="shared" ca="1" si="117"/>
        <v>0</v>
      </c>
      <c r="L785" s="23" t="str">
        <f t="shared" si="118"/>
        <v>Pagado</v>
      </c>
      <c r="M785" s="36">
        <f>SUMIFS(Tabla_Pagos[IMPORTE ABONADO],Tabla_Pagos[FECHA DE ABONO],"&gt;0",Tabla_Pagos[NRO DOC],B785)</f>
        <v>296667</v>
      </c>
      <c r="N785" s="36">
        <f t="shared" si="119"/>
        <v>0</v>
      </c>
      <c r="O785" s="22" cm="1">
        <f t="array" ref="O785">MAX(IF((Tabla_Pagos[NRO DOC]=B785)*(Tabla_Pagos[IMPORTE ABONADO]&gt;0),Tabla_Pagos[FECHA DE ABONO]))</f>
        <v>46030</v>
      </c>
    </row>
    <row r="786" spans="2:15" ht="21" customHeight="1" x14ac:dyDescent="0.25">
      <c r="B786" s="39">
        <v>1703</v>
      </c>
      <c r="C786" s="20">
        <v>46030</v>
      </c>
      <c r="D786" s="40" t="s">
        <v>647</v>
      </c>
      <c r="E786" s="37" t="str">
        <f>IFERROR(VLOOKUP(D786,CLIENTES!$B$12:$G$2602,2,FALSE),"")</f>
        <v>LATINOS PAINT CARS SPA</v>
      </c>
      <c r="F786" s="31">
        <v>38080</v>
      </c>
      <c r="G786" s="41" t="s">
        <v>101</v>
      </c>
      <c r="H786" s="26">
        <v>0</v>
      </c>
      <c r="I786" s="21" t="str">
        <f t="shared" si="115"/>
        <v>Contado</v>
      </c>
      <c r="J786" s="22">
        <f t="shared" si="116"/>
        <v>46030</v>
      </c>
      <c r="K786" s="27">
        <f t="shared" ca="1" si="117"/>
        <v>0</v>
      </c>
      <c r="L786" s="23" t="str">
        <f t="shared" si="118"/>
        <v>Pagado</v>
      </c>
      <c r="M786" s="36">
        <f>SUMIFS(Tabla_Pagos[IMPORTE ABONADO],Tabla_Pagos[FECHA DE ABONO],"&gt;0",Tabla_Pagos[NRO DOC],B786)</f>
        <v>38080</v>
      </c>
      <c r="N786" s="36">
        <f t="shared" si="119"/>
        <v>0</v>
      </c>
      <c r="O786" s="22" cm="1">
        <f t="array" ref="O786">MAX(IF((Tabla_Pagos[NRO DOC]=B786)*(Tabla_Pagos[IMPORTE ABONADO]&gt;0),Tabla_Pagos[FECHA DE ABONO]))</f>
        <v>46030</v>
      </c>
    </row>
    <row r="787" spans="2:15" ht="21" customHeight="1" x14ac:dyDescent="0.25">
      <c r="B787" s="39">
        <v>1704</v>
      </c>
      <c r="C787" s="20">
        <v>46030</v>
      </c>
      <c r="D787" s="40" t="s">
        <v>627</v>
      </c>
      <c r="E787" s="37" t="str">
        <f>IFERROR(VLOOKUP(D787,CLIENTES!$B$12:$G$2602,2,FALSE),"")</f>
        <v>COMERCIALIZADORA Y DISTRIBUIDORA MEGA COSTO SPA</v>
      </c>
      <c r="F787" s="31">
        <v>199920</v>
      </c>
      <c r="G787" s="41" t="s">
        <v>101</v>
      </c>
      <c r="H787" s="26">
        <v>0</v>
      </c>
      <c r="I787" s="21" t="str">
        <f t="shared" si="115"/>
        <v>Contado</v>
      </c>
      <c r="J787" s="22">
        <f t="shared" si="116"/>
        <v>46030</v>
      </c>
      <c r="K787" s="27">
        <f t="shared" ca="1" si="117"/>
        <v>0</v>
      </c>
      <c r="L787" s="23" t="str">
        <f t="shared" si="118"/>
        <v>Pagado</v>
      </c>
      <c r="M787" s="36">
        <f>SUMIFS(Tabla_Pagos[IMPORTE ABONADO],Tabla_Pagos[FECHA DE ABONO],"&gt;0",Tabla_Pagos[NRO DOC],B787)</f>
        <v>199920</v>
      </c>
      <c r="N787" s="36">
        <f t="shared" si="119"/>
        <v>0</v>
      </c>
      <c r="O787" s="22" cm="1">
        <f t="array" ref="O787">MAX(IF((Tabla_Pagos[NRO DOC]=B787)*(Tabla_Pagos[IMPORTE ABONADO]&gt;0),Tabla_Pagos[FECHA DE ABONO]))</f>
        <v>46030</v>
      </c>
    </row>
    <row r="788" spans="2:15" ht="21" customHeight="1" x14ac:dyDescent="0.25">
      <c r="B788" s="39">
        <v>1705</v>
      </c>
      <c r="C788" s="20">
        <v>46031</v>
      </c>
      <c r="D788" s="40" t="s">
        <v>576</v>
      </c>
      <c r="E788" s="37" t="str">
        <f>IFERROR(VLOOKUP(D788,CLIENTES!$B$12:$G$2602,2,FALSE),"")</f>
        <v>SONDA S A</v>
      </c>
      <c r="F788" s="31">
        <v>76874</v>
      </c>
      <c r="G788" s="41" t="s">
        <v>101</v>
      </c>
      <c r="H788" s="26">
        <v>0</v>
      </c>
      <c r="I788" s="21" t="str">
        <f t="shared" si="115"/>
        <v>Contado</v>
      </c>
      <c r="J788" s="22">
        <f t="shared" si="116"/>
        <v>46031</v>
      </c>
      <c r="K788" s="27">
        <f t="shared" ca="1" si="117"/>
        <v>0</v>
      </c>
      <c r="L788" s="23" t="str">
        <f t="shared" si="118"/>
        <v>Pagado</v>
      </c>
      <c r="M788" s="36">
        <f>SUMIFS(Tabla_Pagos[IMPORTE ABONADO],Tabla_Pagos[FECHA DE ABONO],"&gt;0",Tabla_Pagos[NRO DOC],B788)</f>
        <v>76874</v>
      </c>
      <c r="N788" s="36">
        <f t="shared" si="119"/>
        <v>0</v>
      </c>
      <c r="O788" s="22" cm="1">
        <f t="array" ref="O788">MAX(IF((Tabla_Pagos[NRO DOC]=B788)*(Tabla_Pagos[IMPORTE ABONADO]&gt;0),Tabla_Pagos[FECHA DE ABONO]))</f>
        <v>46031</v>
      </c>
    </row>
    <row r="789" spans="2:15" ht="21" customHeight="1" x14ac:dyDescent="0.25">
      <c r="B789" s="39">
        <v>1706</v>
      </c>
      <c r="C789" s="20">
        <v>46031</v>
      </c>
      <c r="D789" s="40" t="s">
        <v>648</v>
      </c>
      <c r="E789" s="37" t="str">
        <f>IFERROR(VLOOKUP(D789,CLIENTES!$B$12:$G$2602,2,FALSE),"")</f>
        <v>CONSTRUCTORA RIVERA CUBILLOS LIMITADA</v>
      </c>
      <c r="F789" s="31">
        <v>85680</v>
      </c>
      <c r="G789" s="41" t="s">
        <v>101</v>
      </c>
      <c r="H789" s="26">
        <v>0</v>
      </c>
      <c r="I789" s="21" t="str">
        <f t="shared" si="115"/>
        <v>Contado</v>
      </c>
      <c r="J789" s="22">
        <f t="shared" si="116"/>
        <v>46031</v>
      </c>
      <c r="K789" s="27">
        <f t="shared" ca="1" si="117"/>
        <v>0</v>
      </c>
      <c r="L789" s="23" t="str">
        <f t="shared" si="118"/>
        <v>Pagado</v>
      </c>
      <c r="M789" s="36">
        <f>SUMIFS(Tabla_Pagos[IMPORTE ABONADO],Tabla_Pagos[FECHA DE ABONO],"&gt;0",Tabla_Pagos[NRO DOC],B789)</f>
        <v>85680</v>
      </c>
      <c r="N789" s="36">
        <f t="shared" si="119"/>
        <v>0</v>
      </c>
      <c r="O789" s="22" cm="1">
        <f t="array" ref="O789">MAX(IF((Tabla_Pagos[NRO DOC]=B789)*(Tabla_Pagos[IMPORTE ABONADO]&gt;0),Tabla_Pagos[FECHA DE ABONO]))</f>
        <v>46031</v>
      </c>
    </row>
    <row r="790" spans="2:15" ht="21" customHeight="1" x14ac:dyDescent="0.25">
      <c r="B790" s="39">
        <v>1707</v>
      </c>
      <c r="C790" s="20">
        <v>46031</v>
      </c>
      <c r="D790" s="40" t="s">
        <v>623</v>
      </c>
      <c r="E790" s="37" t="str">
        <f>IFERROR(VLOOKUP(D790,CLIENTES!$B$12:$G$2602,2,FALSE),"")</f>
        <v>MARIA CRISTINA MOLINA CASTILLO</v>
      </c>
      <c r="F790" s="31">
        <v>1088755</v>
      </c>
      <c r="G790" s="41" t="s">
        <v>101</v>
      </c>
      <c r="H790" s="26">
        <v>30</v>
      </c>
      <c r="I790" s="21" t="str">
        <f t="shared" si="115"/>
        <v>Crédito</v>
      </c>
      <c r="J790" s="22">
        <f t="shared" si="116"/>
        <v>46061</v>
      </c>
      <c r="K790" s="27">
        <f t="shared" ca="1" si="117"/>
        <v>0</v>
      </c>
      <c r="L790" s="23" t="str">
        <f t="shared" si="118"/>
        <v>Pagado</v>
      </c>
      <c r="M790" s="36">
        <f>SUMIFS(Tabla_Pagos[IMPORTE ABONADO],Tabla_Pagos[FECHA DE ABONO],"&gt;0",Tabla_Pagos[NRO DOC],B790)</f>
        <v>1088755</v>
      </c>
      <c r="N790" s="36">
        <f t="shared" si="119"/>
        <v>0</v>
      </c>
      <c r="O790" s="22" cm="1">
        <f t="array" ref="O790">MAX(IF((Tabla_Pagos[NRO DOC]=B790)*(Tabla_Pagos[IMPORTE ABONADO]&gt;0),Tabla_Pagos[FECHA DE ABONO]))</f>
        <v>46035</v>
      </c>
    </row>
    <row r="791" spans="2:15" ht="21" customHeight="1" x14ac:dyDescent="0.25">
      <c r="B791" s="39">
        <v>1708</v>
      </c>
      <c r="C791" s="20">
        <v>46031</v>
      </c>
      <c r="D791" s="40" t="s">
        <v>623</v>
      </c>
      <c r="E791" s="37" t="str">
        <f>IFERROR(VLOOKUP(D791,CLIENTES!$B$12:$G$2602,2,FALSE),"")</f>
        <v>MARIA CRISTINA MOLINA CASTILLO</v>
      </c>
      <c r="F791" s="31">
        <v>1044029</v>
      </c>
      <c r="G791" s="41" t="s">
        <v>101</v>
      </c>
      <c r="H791" s="26">
        <v>30</v>
      </c>
      <c r="I791" s="21" t="str">
        <f t="shared" si="115"/>
        <v>Crédito</v>
      </c>
      <c r="J791" s="22">
        <f t="shared" si="116"/>
        <v>46061</v>
      </c>
      <c r="K791" s="27">
        <f t="shared" ca="1" si="117"/>
        <v>0</v>
      </c>
      <c r="L791" s="23" t="str">
        <f t="shared" si="118"/>
        <v>Pagado</v>
      </c>
      <c r="M791" s="36">
        <f>SUMIFS(Tabla_Pagos[IMPORTE ABONADO],Tabla_Pagos[FECHA DE ABONO],"&gt;0",Tabla_Pagos[NRO DOC],B791)</f>
        <v>1044029</v>
      </c>
      <c r="N791" s="36">
        <f t="shared" si="119"/>
        <v>0</v>
      </c>
      <c r="O791" s="22" cm="1">
        <f t="array" ref="O791">MAX(IF((Tabla_Pagos[NRO DOC]=B791)*(Tabla_Pagos[IMPORTE ABONADO]&gt;0),Tabla_Pagos[FECHA DE ABONO]))</f>
        <v>46037</v>
      </c>
    </row>
    <row r="792" spans="2:15" ht="21" customHeight="1" x14ac:dyDescent="0.25">
      <c r="B792" s="39">
        <v>1709</v>
      </c>
      <c r="C792" s="20">
        <v>46031</v>
      </c>
      <c r="D792" s="40" t="s">
        <v>171</v>
      </c>
      <c r="E792" s="37" t="str">
        <f>IFERROR(VLOOKUP(D792,CLIENTES!$B$12:$G$2602,2,FALSE),"")</f>
        <v>EDWIN HOLVOET Y COMPANIA LIMITADA</v>
      </c>
      <c r="F792" s="31">
        <v>23800</v>
      </c>
      <c r="G792" s="41" t="s">
        <v>101</v>
      </c>
      <c r="H792" s="26">
        <v>0</v>
      </c>
      <c r="I792" s="21" t="str">
        <f t="shared" si="115"/>
        <v>Contado</v>
      </c>
      <c r="J792" s="22">
        <f t="shared" si="116"/>
        <v>46031</v>
      </c>
      <c r="K792" s="27">
        <f t="shared" ca="1" si="117"/>
        <v>0</v>
      </c>
      <c r="L792" s="23" t="str">
        <f t="shared" si="118"/>
        <v>Pagado</v>
      </c>
      <c r="M792" s="36">
        <f>SUMIFS(Tabla_Pagos[IMPORTE ABONADO],Tabla_Pagos[FECHA DE ABONO],"&gt;0",Tabla_Pagos[NRO DOC],B792)</f>
        <v>23800</v>
      </c>
      <c r="N792" s="36">
        <f t="shared" si="119"/>
        <v>0</v>
      </c>
      <c r="O792" s="22" cm="1">
        <f t="array" ref="O792">MAX(IF((Tabla_Pagos[NRO DOC]=B792)*(Tabla_Pagos[IMPORTE ABONADO]&gt;0),Tabla_Pagos[FECHA DE ABONO]))</f>
        <v>46031</v>
      </c>
    </row>
    <row r="793" spans="2:15" ht="21" customHeight="1" x14ac:dyDescent="0.25">
      <c r="B793" s="39">
        <v>1710</v>
      </c>
      <c r="C793" s="20">
        <v>46031</v>
      </c>
      <c r="D793" s="40" t="s">
        <v>47</v>
      </c>
      <c r="E793" s="37" t="str">
        <f>IFERROR(VLOOKUP(D793,CLIENTES!$B$12:$G$2602,2,FALSE),"")</f>
        <v>PATAGONIA SERVICIOS SPA</v>
      </c>
      <c r="F793" s="31">
        <v>5117000</v>
      </c>
      <c r="G793" s="41" t="s">
        <v>101</v>
      </c>
      <c r="H793" s="26">
        <v>0</v>
      </c>
      <c r="I793" s="21" t="str">
        <f t="shared" si="115"/>
        <v>Contado</v>
      </c>
      <c r="J793" s="22">
        <f t="shared" si="116"/>
        <v>46031</v>
      </c>
      <c r="K793" s="27">
        <f t="shared" ca="1" si="117"/>
        <v>0</v>
      </c>
      <c r="L793" s="23" t="str">
        <f t="shared" si="118"/>
        <v>Pagado</v>
      </c>
      <c r="M793" s="36">
        <f>SUMIFS(Tabla_Pagos[IMPORTE ABONADO],Tabla_Pagos[FECHA DE ABONO],"&gt;0",Tabla_Pagos[NRO DOC],B793)</f>
        <v>5117000</v>
      </c>
      <c r="N793" s="36">
        <f t="shared" si="119"/>
        <v>0</v>
      </c>
      <c r="O793" s="22" cm="1">
        <f t="array" ref="O793">MAX(IF((Tabla_Pagos[NRO DOC]=B793)*(Tabla_Pagos[IMPORTE ABONADO]&gt;0),Tabla_Pagos[FECHA DE ABONO]))</f>
        <v>46031</v>
      </c>
    </row>
    <row r="794" spans="2:15" ht="21" customHeight="1" x14ac:dyDescent="0.25">
      <c r="B794" s="39">
        <v>1713</v>
      </c>
      <c r="C794" s="20">
        <v>46031</v>
      </c>
      <c r="D794" s="40" t="s">
        <v>254</v>
      </c>
      <c r="E794" s="37" t="str">
        <f>IFERROR(VLOOKUP(D794,CLIENTES!$B$12:$G$2602,2,FALSE),"")</f>
        <v>KRADE SPA</v>
      </c>
      <c r="F794" s="31">
        <v>33915</v>
      </c>
      <c r="G794" s="41" t="s">
        <v>101</v>
      </c>
      <c r="H794" s="26">
        <v>0</v>
      </c>
      <c r="I794" s="21" t="str">
        <f t="shared" si="115"/>
        <v>Contado</v>
      </c>
      <c r="J794" s="22">
        <f t="shared" si="116"/>
        <v>46031</v>
      </c>
      <c r="K794" s="27">
        <f t="shared" ca="1" si="117"/>
        <v>0</v>
      </c>
      <c r="L794" s="23" t="str">
        <f t="shared" si="118"/>
        <v>Pagado</v>
      </c>
      <c r="M794" s="36">
        <f>SUMIFS(Tabla_Pagos[IMPORTE ABONADO],Tabla_Pagos[FECHA DE ABONO],"&gt;0",Tabla_Pagos[NRO DOC],B794)</f>
        <v>33915</v>
      </c>
      <c r="N794" s="36">
        <f t="shared" si="119"/>
        <v>0</v>
      </c>
      <c r="O794" s="22" cm="1">
        <f t="array" ref="O794">MAX(IF((Tabla_Pagos[NRO DOC]=B794)*(Tabla_Pagos[IMPORTE ABONADO]&gt;0),Tabla_Pagos[FECHA DE ABONO]))</f>
        <v>46031</v>
      </c>
    </row>
    <row r="795" spans="2:15" ht="21" customHeight="1" x14ac:dyDescent="0.25">
      <c r="B795" s="39">
        <v>1714</v>
      </c>
      <c r="C795" s="20">
        <v>46034</v>
      </c>
      <c r="D795" s="40" t="s">
        <v>106</v>
      </c>
      <c r="E795" s="37" t="str">
        <f>IFERROR(VLOOKUP(D795,CLIENTES!$B$12:$G$2602,2,FALSE),"")</f>
        <v>COMERCIAL SERPAN SPA</v>
      </c>
      <c r="F795" s="31">
        <v>98056</v>
      </c>
      <c r="G795" s="41" t="s">
        <v>101</v>
      </c>
      <c r="H795" s="26">
        <v>30</v>
      </c>
      <c r="I795" s="21" t="str">
        <f t="shared" si="115"/>
        <v>Crédito</v>
      </c>
      <c r="J795" s="22">
        <f t="shared" si="116"/>
        <v>46064</v>
      </c>
      <c r="K795" s="27">
        <f t="shared" ca="1" si="117"/>
        <v>0</v>
      </c>
      <c r="L795" s="23" t="str">
        <f t="shared" si="118"/>
        <v>Pagado</v>
      </c>
      <c r="M795" s="36">
        <f>SUMIFS(Tabla_Pagos[IMPORTE ABONADO],Tabla_Pagos[FECHA DE ABONO],"&gt;0",Tabla_Pagos[NRO DOC],B795)</f>
        <v>98056</v>
      </c>
      <c r="N795" s="36">
        <f t="shared" si="119"/>
        <v>0</v>
      </c>
      <c r="O795" s="22" cm="1">
        <f t="array" ref="O795">MAX(IF((Tabla_Pagos[NRO DOC]=B795)*(Tabla_Pagos[IMPORTE ABONADO]&gt;0),Tabla_Pagos[FECHA DE ABONO]))</f>
        <v>46066</v>
      </c>
    </row>
    <row r="796" spans="2:15" ht="21" customHeight="1" x14ac:dyDescent="0.25">
      <c r="B796" s="39">
        <v>1715</v>
      </c>
      <c r="C796" s="20">
        <v>46034</v>
      </c>
      <c r="D796" s="40" t="s">
        <v>106</v>
      </c>
      <c r="E796" s="37" t="str">
        <f>IFERROR(VLOOKUP(D796,CLIENTES!$B$12:$G$2602,2,FALSE),"")</f>
        <v>COMERCIAL SERPAN SPA</v>
      </c>
      <c r="F796" s="31">
        <v>98056</v>
      </c>
      <c r="G796" s="41" t="s">
        <v>101</v>
      </c>
      <c r="H796" s="26">
        <v>30</v>
      </c>
      <c r="I796" s="21" t="str">
        <f t="shared" si="115"/>
        <v>Crédito</v>
      </c>
      <c r="J796" s="22">
        <f t="shared" si="116"/>
        <v>46064</v>
      </c>
      <c r="K796" s="27">
        <f t="shared" ca="1" si="117"/>
        <v>0</v>
      </c>
      <c r="L796" s="23" t="str">
        <f t="shared" si="118"/>
        <v>Pagado</v>
      </c>
      <c r="M796" s="36">
        <f>SUMIFS(Tabla_Pagos[IMPORTE ABONADO],Tabla_Pagos[FECHA DE ABONO],"&gt;0",Tabla_Pagos[NRO DOC],B796)</f>
        <v>98056</v>
      </c>
      <c r="N796" s="36">
        <f t="shared" si="119"/>
        <v>0</v>
      </c>
      <c r="O796" s="22" cm="1">
        <f t="array" ref="O796">MAX(IF((Tabla_Pagos[NRO DOC]=B796)*(Tabla_Pagos[IMPORTE ABONADO]&gt;0),Tabla_Pagos[FECHA DE ABONO]))</f>
        <v>46066</v>
      </c>
    </row>
    <row r="797" spans="2:15" ht="21" customHeight="1" x14ac:dyDescent="0.25">
      <c r="B797" s="39">
        <v>1716</v>
      </c>
      <c r="C797" s="20">
        <v>46034</v>
      </c>
      <c r="D797" s="40" t="s">
        <v>106</v>
      </c>
      <c r="E797" s="37" t="str">
        <f>IFERROR(VLOOKUP(D797,CLIENTES!$B$12:$G$2602,2,FALSE),"")</f>
        <v>COMERCIAL SERPAN SPA</v>
      </c>
      <c r="F797" s="31">
        <v>98056</v>
      </c>
      <c r="G797" s="41" t="s">
        <v>101</v>
      </c>
      <c r="H797" s="26">
        <v>30</v>
      </c>
      <c r="I797" s="21" t="str">
        <f t="shared" si="115"/>
        <v>Crédito</v>
      </c>
      <c r="J797" s="22">
        <f t="shared" si="116"/>
        <v>46064</v>
      </c>
      <c r="K797" s="27">
        <f t="shared" ca="1" si="117"/>
        <v>0</v>
      </c>
      <c r="L797" s="23" t="str">
        <f t="shared" si="118"/>
        <v>Pagado</v>
      </c>
      <c r="M797" s="36">
        <f>SUMIFS(Tabla_Pagos[IMPORTE ABONADO],Tabla_Pagos[FECHA DE ABONO],"&gt;0",Tabla_Pagos[NRO DOC],B797)</f>
        <v>98056</v>
      </c>
      <c r="N797" s="36">
        <f t="shared" si="119"/>
        <v>0</v>
      </c>
      <c r="O797" s="22" cm="1">
        <f t="array" ref="O797">MAX(IF((Tabla_Pagos[NRO DOC]=B797)*(Tabla_Pagos[IMPORTE ABONADO]&gt;0),Tabla_Pagos[FECHA DE ABONO]))</f>
        <v>46066</v>
      </c>
    </row>
    <row r="798" spans="2:15" ht="21" customHeight="1" x14ac:dyDescent="0.25">
      <c r="B798" s="39">
        <v>1717</v>
      </c>
      <c r="C798" s="20">
        <v>46034</v>
      </c>
      <c r="D798" s="40" t="s">
        <v>31</v>
      </c>
      <c r="E798" s="37" t="str">
        <f>IFERROR(VLOOKUP(D798,CLIENTES!$B$12:$G$2602,2,FALSE),"")</f>
        <v>KAUFMANN SA VEHICULOS MOTORIZADOS</v>
      </c>
      <c r="F798" s="31">
        <v>190400</v>
      </c>
      <c r="G798" s="41" t="s">
        <v>101</v>
      </c>
      <c r="H798" s="26">
        <v>30</v>
      </c>
      <c r="I798" s="21" t="str">
        <f t="shared" si="115"/>
        <v>Crédito</v>
      </c>
      <c r="J798" s="22">
        <f t="shared" si="116"/>
        <v>46064</v>
      </c>
      <c r="K798" s="27">
        <f t="shared" ca="1" si="117"/>
        <v>0</v>
      </c>
      <c r="L798" s="23" t="str">
        <f t="shared" si="118"/>
        <v>Pagado</v>
      </c>
      <c r="M798" s="36">
        <f>SUMIFS(Tabla_Pagos[IMPORTE ABONADO],Tabla_Pagos[FECHA DE ABONO],"&gt;0",Tabla_Pagos[NRO DOC],B798)</f>
        <v>190400</v>
      </c>
      <c r="N798" s="36">
        <f t="shared" si="119"/>
        <v>0</v>
      </c>
      <c r="O798" s="22" cm="1">
        <f t="array" ref="O798">MAX(IF((Tabla_Pagos[NRO DOC]=B798)*(Tabla_Pagos[IMPORTE ABONADO]&gt;0),Tabla_Pagos[FECHA DE ABONO]))</f>
        <v>46066</v>
      </c>
    </row>
    <row r="799" spans="2:15" ht="21" customHeight="1" x14ac:dyDescent="0.25">
      <c r="B799" s="39">
        <v>1718</v>
      </c>
      <c r="C799" s="20">
        <v>46034</v>
      </c>
      <c r="D799" s="40" t="s">
        <v>145</v>
      </c>
      <c r="E799" s="37" t="str">
        <f>IFERROR(VLOOKUP(D799,CLIENTES!$B$12:$G$2602,2,FALSE),"")</f>
        <v>KUPFER HERMANOS SA</v>
      </c>
      <c r="F799" s="31">
        <v>74970</v>
      </c>
      <c r="G799" s="41" t="s">
        <v>101</v>
      </c>
      <c r="H799" s="26">
        <v>0</v>
      </c>
      <c r="I799" s="21" t="str">
        <f t="shared" si="115"/>
        <v>Contado</v>
      </c>
      <c r="J799" s="22">
        <f t="shared" si="116"/>
        <v>46034</v>
      </c>
      <c r="K799" s="27">
        <f t="shared" ca="1" si="117"/>
        <v>0</v>
      </c>
      <c r="L799" s="23" t="str">
        <f t="shared" si="118"/>
        <v>Pagado</v>
      </c>
      <c r="M799" s="36">
        <f>SUMIFS(Tabla_Pagos[IMPORTE ABONADO],Tabla_Pagos[FECHA DE ABONO],"&gt;0",Tabla_Pagos[NRO DOC],B799)</f>
        <v>74970</v>
      </c>
      <c r="N799" s="36">
        <f t="shared" si="119"/>
        <v>0</v>
      </c>
      <c r="O799" s="22" cm="1">
        <f t="array" ref="O799">MAX(IF((Tabla_Pagos[NRO DOC]=B799)*(Tabla_Pagos[IMPORTE ABONADO]&gt;0),Tabla_Pagos[FECHA DE ABONO]))</f>
        <v>46034</v>
      </c>
    </row>
    <row r="800" spans="2:15" ht="21" customHeight="1" x14ac:dyDescent="0.25">
      <c r="B800" s="39">
        <v>1719</v>
      </c>
      <c r="C800" s="20">
        <v>46034</v>
      </c>
      <c r="D800" s="40" t="s">
        <v>37</v>
      </c>
      <c r="E800" s="37" t="str">
        <f>IFERROR(VLOOKUP(D800,CLIENTES!$B$12:$G$2602,2,FALSE),"")</f>
        <v>AILUV SPA</v>
      </c>
      <c r="F800" s="31">
        <v>35700</v>
      </c>
      <c r="G800" s="41" t="s">
        <v>101</v>
      </c>
      <c r="H800" s="26">
        <v>0</v>
      </c>
      <c r="I800" s="21" t="str">
        <f t="shared" si="115"/>
        <v>Contado</v>
      </c>
      <c r="J800" s="22">
        <f t="shared" si="116"/>
        <v>46034</v>
      </c>
      <c r="K800" s="27">
        <f t="shared" ca="1" si="117"/>
        <v>0</v>
      </c>
      <c r="L800" s="23" t="str">
        <f t="shared" si="118"/>
        <v>Pagado</v>
      </c>
      <c r="M800" s="36">
        <f>SUMIFS(Tabla_Pagos[IMPORTE ABONADO],Tabla_Pagos[FECHA DE ABONO],"&gt;0",Tabla_Pagos[NRO DOC],B800)</f>
        <v>35700</v>
      </c>
      <c r="N800" s="36">
        <f t="shared" si="119"/>
        <v>0</v>
      </c>
      <c r="O800" s="22" cm="1">
        <f t="array" ref="O800">MAX(IF((Tabla_Pagos[NRO DOC]=B800)*(Tabla_Pagos[IMPORTE ABONADO]&gt;0),Tabla_Pagos[FECHA DE ABONO]))</f>
        <v>46034</v>
      </c>
    </row>
    <row r="801" spans="2:15" ht="21" customHeight="1" x14ac:dyDescent="0.25">
      <c r="B801" s="39">
        <v>1720</v>
      </c>
      <c r="C801" s="20">
        <v>46034</v>
      </c>
      <c r="D801" s="40" t="s">
        <v>538</v>
      </c>
      <c r="E801" s="37" t="str">
        <f>IFERROR(VLOOKUP(D801,CLIENTES!$B$12:$G$2602,2,FALSE),"")</f>
        <v>ATACAMA TECH SPA</v>
      </c>
      <c r="F801" s="31">
        <v>29750</v>
      </c>
      <c r="G801" s="41" t="s">
        <v>101</v>
      </c>
      <c r="H801" s="26">
        <v>0</v>
      </c>
      <c r="I801" s="21" t="str">
        <f t="shared" si="115"/>
        <v>Contado</v>
      </c>
      <c r="J801" s="22">
        <f t="shared" si="116"/>
        <v>46034</v>
      </c>
      <c r="K801" s="27">
        <f t="shared" ca="1" si="117"/>
        <v>0</v>
      </c>
      <c r="L801" s="23" t="str">
        <f t="shared" si="118"/>
        <v>Pagado</v>
      </c>
      <c r="M801" s="36">
        <f>SUMIFS(Tabla_Pagos[IMPORTE ABONADO],Tabla_Pagos[FECHA DE ABONO],"&gt;0",Tabla_Pagos[NRO DOC],B801)</f>
        <v>29750</v>
      </c>
      <c r="N801" s="36">
        <f t="shared" si="119"/>
        <v>0</v>
      </c>
      <c r="O801" s="22" cm="1">
        <f t="array" ref="O801">MAX(IF((Tabla_Pagos[NRO DOC]=B801)*(Tabla_Pagos[IMPORTE ABONADO]&gt;0),Tabla_Pagos[FECHA DE ABONO]))</f>
        <v>46034</v>
      </c>
    </row>
    <row r="802" spans="2:15" ht="21" customHeight="1" x14ac:dyDescent="0.25">
      <c r="B802" s="39">
        <v>1721</v>
      </c>
      <c r="C802" s="20">
        <v>46035</v>
      </c>
      <c r="D802" s="40" t="s">
        <v>62</v>
      </c>
      <c r="E802" s="37" t="str">
        <f>IFERROR(VLOOKUP(D802,CLIENTES!$B$12:$G$2602,2,FALSE),"")</f>
        <v>SEMINET SPA</v>
      </c>
      <c r="F802" s="31">
        <v>108528</v>
      </c>
      <c r="G802" s="41" t="s">
        <v>101</v>
      </c>
      <c r="H802" s="26">
        <v>30</v>
      </c>
      <c r="I802" s="21" t="str">
        <f t="shared" si="115"/>
        <v>Crédito</v>
      </c>
      <c r="J802" s="22">
        <f t="shared" si="116"/>
        <v>46065</v>
      </c>
      <c r="K802" s="27">
        <f t="shared" ca="1" si="117"/>
        <v>0</v>
      </c>
      <c r="L802" s="23" t="str">
        <f t="shared" si="118"/>
        <v>Pagado</v>
      </c>
      <c r="M802" s="36">
        <f>SUMIFS(Tabla_Pagos[IMPORTE ABONADO],Tabla_Pagos[FECHA DE ABONO],"&gt;0",Tabla_Pagos[NRO DOC],B802)</f>
        <v>108528</v>
      </c>
      <c r="N802" s="36">
        <f t="shared" si="119"/>
        <v>0</v>
      </c>
      <c r="O802" s="22" cm="1">
        <f t="array" ref="O802">MAX(IF((Tabla_Pagos[NRO DOC]=B802)*(Tabla_Pagos[IMPORTE ABONADO]&gt;0),Tabla_Pagos[FECHA DE ABONO]))</f>
        <v>46042</v>
      </c>
    </row>
    <row r="803" spans="2:15" ht="21" customHeight="1" x14ac:dyDescent="0.25">
      <c r="B803" s="39">
        <v>1722</v>
      </c>
      <c r="C803" s="20">
        <v>46035</v>
      </c>
      <c r="D803" s="40" t="s">
        <v>649</v>
      </c>
      <c r="E803" s="37" t="str">
        <f>IFERROR(VLOOKUP(D803,CLIENTES!$B$12:$G$2602,2,FALSE),"")</f>
        <v>AL INGENIERIA Y SERVICIOS LIMITADA</v>
      </c>
      <c r="F803" s="31">
        <v>53550</v>
      </c>
      <c r="G803" s="41" t="s">
        <v>101</v>
      </c>
      <c r="H803" s="26">
        <v>0</v>
      </c>
      <c r="I803" s="21" t="str">
        <f t="shared" si="115"/>
        <v>Contado</v>
      </c>
      <c r="J803" s="22">
        <f t="shared" si="116"/>
        <v>46035</v>
      </c>
      <c r="K803" s="27">
        <f t="shared" ca="1" si="117"/>
        <v>0</v>
      </c>
      <c r="L803" s="23" t="str">
        <f t="shared" si="118"/>
        <v>Pagado</v>
      </c>
      <c r="M803" s="36">
        <f>SUMIFS(Tabla_Pagos[IMPORTE ABONADO],Tabla_Pagos[FECHA DE ABONO],"&gt;0",Tabla_Pagos[NRO DOC],B803)</f>
        <v>53550</v>
      </c>
      <c r="N803" s="36">
        <f t="shared" si="119"/>
        <v>0</v>
      </c>
      <c r="O803" s="22" cm="1">
        <f t="array" ref="O803">MAX(IF((Tabla_Pagos[NRO DOC]=B803)*(Tabla_Pagos[IMPORTE ABONADO]&gt;0),Tabla_Pagos[FECHA DE ABONO]))</f>
        <v>46035</v>
      </c>
    </row>
    <row r="804" spans="2:15" ht="21" customHeight="1" x14ac:dyDescent="0.25">
      <c r="B804" s="39">
        <v>1723</v>
      </c>
      <c r="C804" s="20">
        <v>46035</v>
      </c>
      <c r="D804" s="40" t="s">
        <v>213</v>
      </c>
      <c r="E804" s="37" t="str">
        <f>IFERROR(VLOOKUP(D804,CLIENTES!$B$12:$G$2602,2,FALSE),"")</f>
        <v>COAX SPA</v>
      </c>
      <c r="F804" s="31">
        <v>53431</v>
      </c>
      <c r="G804" s="41" t="s">
        <v>101</v>
      </c>
      <c r="H804" s="26">
        <v>0</v>
      </c>
      <c r="I804" s="21" t="str">
        <f t="shared" si="115"/>
        <v>Contado</v>
      </c>
      <c r="J804" s="22">
        <f t="shared" si="116"/>
        <v>46035</v>
      </c>
      <c r="K804" s="27">
        <f t="shared" ca="1" si="117"/>
        <v>0</v>
      </c>
      <c r="L804" s="23" t="str">
        <f t="shared" si="118"/>
        <v>Pagado</v>
      </c>
      <c r="M804" s="36">
        <f>SUMIFS(Tabla_Pagos[IMPORTE ABONADO],Tabla_Pagos[FECHA DE ABONO],"&gt;0",Tabla_Pagos[NRO DOC],B804)</f>
        <v>53431</v>
      </c>
      <c r="N804" s="36">
        <f t="shared" si="119"/>
        <v>0</v>
      </c>
      <c r="O804" s="22" cm="1">
        <f t="array" ref="O804">MAX(IF((Tabla_Pagos[NRO DOC]=B804)*(Tabla_Pagos[IMPORTE ABONADO]&gt;0),Tabla_Pagos[FECHA DE ABONO]))</f>
        <v>46035</v>
      </c>
    </row>
    <row r="805" spans="2:15" ht="21" customHeight="1" x14ac:dyDescent="0.25">
      <c r="B805" s="39">
        <v>1724</v>
      </c>
      <c r="C805" s="20">
        <v>46035</v>
      </c>
      <c r="D805" s="40" t="s">
        <v>252</v>
      </c>
      <c r="E805" s="37" t="str">
        <f>IFERROR(VLOOKUP(D805,CLIENTES!$B$12:$G$2602,2,FALSE),"")</f>
        <v>LEYARZ SPA</v>
      </c>
      <c r="F805" s="31">
        <v>17850</v>
      </c>
      <c r="G805" s="41" t="s">
        <v>101</v>
      </c>
      <c r="H805" s="26">
        <v>0</v>
      </c>
      <c r="I805" s="21" t="str">
        <f t="shared" si="115"/>
        <v>Contado</v>
      </c>
      <c r="J805" s="22">
        <f t="shared" si="116"/>
        <v>46035</v>
      </c>
      <c r="K805" s="27">
        <f t="shared" ca="1" si="117"/>
        <v>0</v>
      </c>
      <c r="L805" s="23" t="str">
        <f t="shared" si="118"/>
        <v>Pagado</v>
      </c>
      <c r="M805" s="36">
        <f>SUMIFS(Tabla_Pagos[IMPORTE ABONADO],Tabla_Pagos[FECHA DE ABONO],"&gt;0",Tabla_Pagos[NRO DOC],B805)</f>
        <v>17850</v>
      </c>
      <c r="N805" s="36">
        <f t="shared" si="119"/>
        <v>0</v>
      </c>
      <c r="O805" s="22" cm="1">
        <f t="array" ref="O805">MAX(IF((Tabla_Pagos[NRO DOC]=B805)*(Tabla_Pagos[IMPORTE ABONADO]&gt;0),Tabla_Pagos[FECHA DE ABONO]))</f>
        <v>46035</v>
      </c>
    </row>
    <row r="806" spans="2:15" ht="21" customHeight="1" x14ac:dyDescent="0.25">
      <c r="B806" s="39">
        <v>1726</v>
      </c>
      <c r="C806" s="20">
        <v>46036</v>
      </c>
      <c r="D806" s="40" t="s">
        <v>650</v>
      </c>
      <c r="E806" s="37" t="str">
        <f>IFERROR(VLOOKUP(D806,CLIENTES!$B$12:$G$2602,2,FALSE),"")</f>
        <v>SERVICIOS INTEGRALES MAS GRAFIMANIA SPA</v>
      </c>
      <c r="F806" s="31">
        <v>53550</v>
      </c>
      <c r="G806" s="41" t="s">
        <v>101</v>
      </c>
      <c r="H806" s="26">
        <v>0</v>
      </c>
      <c r="I806" s="21" t="str">
        <f t="shared" si="115"/>
        <v>Contado</v>
      </c>
      <c r="J806" s="22">
        <f t="shared" si="116"/>
        <v>46036</v>
      </c>
      <c r="K806" s="27">
        <f t="shared" ca="1" si="117"/>
        <v>0</v>
      </c>
      <c r="L806" s="23" t="str">
        <f t="shared" si="118"/>
        <v>Pagado</v>
      </c>
      <c r="M806" s="36">
        <f>SUMIFS(Tabla_Pagos[IMPORTE ABONADO],Tabla_Pagos[FECHA DE ABONO],"&gt;0",Tabla_Pagos[NRO DOC],B806)</f>
        <v>53550</v>
      </c>
      <c r="N806" s="36">
        <f t="shared" si="119"/>
        <v>0</v>
      </c>
      <c r="O806" s="22" cm="1">
        <f t="array" ref="O806">MAX(IF((Tabla_Pagos[NRO DOC]=B806)*(Tabla_Pagos[IMPORTE ABONADO]&gt;0),Tabla_Pagos[FECHA DE ABONO]))</f>
        <v>46036</v>
      </c>
    </row>
    <row r="807" spans="2:15" ht="21" customHeight="1" x14ac:dyDescent="0.25">
      <c r="B807" s="39">
        <v>1727</v>
      </c>
      <c r="C807" s="20">
        <v>46036</v>
      </c>
      <c r="D807" s="40" t="s">
        <v>651</v>
      </c>
      <c r="E807" s="37" t="str">
        <f>IFERROR(VLOOKUP(D807,CLIENTES!$B$12:$G$2602,2,FALSE),"")</f>
        <v>CMBL SPA</v>
      </c>
      <c r="F807" s="31">
        <v>160000</v>
      </c>
      <c r="G807" s="41" t="s">
        <v>101</v>
      </c>
      <c r="H807" s="26">
        <v>0</v>
      </c>
      <c r="I807" s="21" t="str">
        <f t="shared" si="115"/>
        <v>Contado</v>
      </c>
      <c r="J807" s="22">
        <f t="shared" si="116"/>
        <v>46036</v>
      </c>
      <c r="K807" s="27">
        <f t="shared" ca="1" si="117"/>
        <v>0</v>
      </c>
      <c r="L807" s="23" t="str">
        <f t="shared" si="118"/>
        <v>Pagado</v>
      </c>
      <c r="M807" s="36">
        <f>SUMIFS(Tabla_Pagos[IMPORTE ABONADO],Tabla_Pagos[FECHA DE ABONO],"&gt;0",Tabla_Pagos[NRO DOC],B807)</f>
        <v>160000</v>
      </c>
      <c r="N807" s="36">
        <f t="shared" si="119"/>
        <v>0</v>
      </c>
      <c r="O807" s="22" cm="1">
        <f t="array" ref="O807">MAX(IF((Tabla_Pagos[NRO DOC]=B807)*(Tabla_Pagos[IMPORTE ABONADO]&gt;0),Tabla_Pagos[FECHA DE ABONO]))</f>
        <v>46036</v>
      </c>
    </row>
    <row r="808" spans="2:15" ht="21" customHeight="1" x14ac:dyDescent="0.25">
      <c r="B808" s="39">
        <v>1728</v>
      </c>
      <c r="C808" s="20">
        <v>46036</v>
      </c>
      <c r="D808" s="40" t="s">
        <v>650</v>
      </c>
      <c r="E808" s="37" t="str">
        <f>IFERROR(VLOOKUP(D808,CLIENTES!$B$12:$G$2602,2,FALSE),"")</f>
        <v>SERVICIOS INTEGRALES MAS GRAFIMANIA SPA</v>
      </c>
      <c r="F808" s="31">
        <v>90000</v>
      </c>
      <c r="G808" s="41" t="s">
        <v>101</v>
      </c>
      <c r="H808" s="26">
        <v>0</v>
      </c>
      <c r="I808" s="21" t="str">
        <f t="shared" ref="I808:I836" si="120">IF(H808="","",IF(H808=0,"Contado","Crédito"))</f>
        <v>Contado</v>
      </c>
      <c r="J808" s="22">
        <f t="shared" ref="J808:J836" si="121">IF(I808="","",C808+H808)</f>
        <v>46036</v>
      </c>
      <c r="K808" s="27">
        <f t="shared" ref="K808:K836" ca="1" si="122">IFERROR(IF(B808="","",IF(N808=0,0,J808-TODAY())),"")</f>
        <v>0</v>
      </c>
      <c r="L808" s="23" t="str">
        <f t="shared" ref="L808:L836" si="123">IF(I808="","",IF(N808=0,"Pagado",IF(K808&lt;0,"Vencido","No vencido")))</f>
        <v>Pagado</v>
      </c>
      <c r="M808" s="36">
        <f>SUMIFS(Tabla_Pagos[IMPORTE ABONADO],Tabla_Pagos[FECHA DE ABONO],"&gt;0",Tabla_Pagos[NRO DOC],B808)</f>
        <v>90000</v>
      </c>
      <c r="N808" s="36">
        <f t="shared" ref="N808:N836" si="124">F808-M808</f>
        <v>0</v>
      </c>
      <c r="O808" s="22" cm="1">
        <f t="array" ref="O808">MAX(IF((Tabla_Pagos[NRO DOC]=B808)*(Tabla_Pagos[IMPORTE ABONADO]&gt;0),Tabla_Pagos[FECHA DE ABONO]))</f>
        <v>46036</v>
      </c>
    </row>
    <row r="809" spans="2:15" ht="21" customHeight="1" x14ac:dyDescent="0.25">
      <c r="B809" s="39">
        <v>1729</v>
      </c>
      <c r="C809" s="20">
        <v>46036</v>
      </c>
      <c r="D809" s="40" t="s">
        <v>652</v>
      </c>
      <c r="E809" s="37" t="str">
        <f>IFERROR(VLOOKUP(D809,CLIENTES!$B$12:$G$2602,2,FALSE),"")</f>
        <v>ARRIENDO DE MAQUINARIAS Y SERVICIOS SERMAK SPA</v>
      </c>
      <c r="F809" s="31">
        <v>23800</v>
      </c>
      <c r="G809" s="41" t="s">
        <v>101</v>
      </c>
      <c r="H809" s="26">
        <v>0</v>
      </c>
      <c r="I809" s="21" t="str">
        <f t="shared" si="120"/>
        <v>Contado</v>
      </c>
      <c r="J809" s="22">
        <f t="shared" si="121"/>
        <v>46036</v>
      </c>
      <c r="K809" s="27">
        <f t="shared" ca="1" si="122"/>
        <v>0</v>
      </c>
      <c r="L809" s="23" t="str">
        <f t="shared" si="123"/>
        <v>Pagado</v>
      </c>
      <c r="M809" s="36">
        <f>SUMIFS(Tabla_Pagos[IMPORTE ABONADO],Tabla_Pagos[FECHA DE ABONO],"&gt;0",Tabla_Pagos[NRO DOC],B809)</f>
        <v>23800</v>
      </c>
      <c r="N809" s="36">
        <f t="shared" si="124"/>
        <v>0</v>
      </c>
      <c r="O809" s="22" cm="1">
        <f t="array" ref="O809">MAX(IF((Tabla_Pagos[NRO DOC]=B809)*(Tabla_Pagos[IMPORTE ABONADO]&gt;0),Tabla_Pagos[FECHA DE ABONO]))</f>
        <v>46036</v>
      </c>
    </row>
    <row r="810" spans="2:15" ht="21" customHeight="1" x14ac:dyDescent="0.25">
      <c r="B810" s="39">
        <v>1730</v>
      </c>
      <c r="C810" s="20">
        <v>46036</v>
      </c>
      <c r="D810" s="40" t="s">
        <v>653</v>
      </c>
      <c r="E810" s="37" t="str">
        <f>IFERROR(VLOOKUP(D810,CLIENTES!$B$12:$G$2602,2,FALSE),"")</f>
        <v>LADISLAO LINCOYAN ELGUETA CASTRO</v>
      </c>
      <c r="F810" s="31">
        <v>10000</v>
      </c>
      <c r="G810" s="41" t="s">
        <v>101</v>
      </c>
      <c r="H810" s="26">
        <v>0</v>
      </c>
      <c r="I810" s="21" t="str">
        <f t="shared" si="120"/>
        <v>Contado</v>
      </c>
      <c r="J810" s="22">
        <f t="shared" si="121"/>
        <v>46036</v>
      </c>
      <c r="K810" s="27">
        <f t="shared" ca="1" si="122"/>
        <v>0</v>
      </c>
      <c r="L810" s="23" t="str">
        <f t="shared" si="123"/>
        <v>Pagado</v>
      </c>
      <c r="M810" s="36">
        <f>SUMIFS(Tabla_Pagos[IMPORTE ABONADO],Tabla_Pagos[FECHA DE ABONO],"&gt;0",Tabla_Pagos[NRO DOC],B810)</f>
        <v>10000</v>
      </c>
      <c r="N810" s="36">
        <f t="shared" si="124"/>
        <v>0</v>
      </c>
      <c r="O810" s="22" cm="1">
        <f t="array" ref="O810">MAX(IF((Tabla_Pagos[NRO DOC]=B810)*(Tabla_Pagos[IMPORTE ABONADO]&gt;0),Tabla_Pagos[FECHA DE ABONO]))</f>
        <v>46036</v>
      </c>
    </row>
    <row r="811" spans="2:15" ht="21" customHeight="1" x14ac:dyDescent="0.25">
      <c r="B811" s="39">
        <v>1731</v>
      </c>
      <c r="C811" s="20">
        <v>46036</v>
      </c>
      <c r="D811" s="40" t="s">
        <v>40</v>
      </c>
      <c r="E811" s="37" t="str">
        <f>IFERROR(VLOOKUP(D811,CLIENTES!$B$12:$G$2602,2,FALSE),"")</f>
        <v>INGENIERIA Y SERVICIOS TERRACOP SPA</v>
      </c>
      <c r="F811" s="31">
        <v>23562</v>
      </c>
      <c r="G811" s="41" t="s">
        <v>101</v>
      </c>
      <c r="H811" s="26">
        <v>0</v>
      </c>
      <c r="I811" s="21" t="str">
        <f t="shared" si="120"/>
        <v>Contado</v>
      </c>
      <c r="J811" s="22">
        <f t="shared" si="121"/>
        <v>46036</v>
      </c>
      <c r="K811" s="27">
        <f t="shared" ca="1" si="122"/>
        <v>0</v>
      </c>
      <c r="L811" s="23" t="str">
        <f t="shared" si="123"/>
        <v>Pagado</v>
      </c>
      <c r="M811" s="36">
        <f>SUMIFS(Tabla_Pagos[IMPORTE ABONADO],Tabla_Pagos[FECHA DE ABONO],"&gt;0",Tabla_Pagos[NRO DOC],B811)</f>
        <v>23562</v>
      </c>
      <c r="N811" s="36">
        <f t="shared" si="124"/>
        <v>0</v>
      </c>
      <c r="O811" s="22" cm="1">
        <f t="array" ref="O811">MAX(IF((Tabla_Pagos[NRO DOC]=B811)*(Tabla_Pagos[IMPORTE ABONADO]&gt;0),Tabla_Pagos[FECHA DE ABONO]))</f>
        <v>46036</v>
      </c>
    </row>
    <row r="812" spans="2:15" ht="21" customHeight="1" x14ac:dyDescent="0.25">
      <c r="B812" s="39">
        <v>1732</v>
      </c>
      <c r="C812" s="20">
        <v>46037</v>
      </c>
      <c r="D812" s="40" t="s">
        <v>654</v>
      </c>
      <c r="E812" s="37" t="str">
        <f>IFERROR(VLOOKUP(D812,CLIENTES!$B$12:$G$2602,2,FALSE),"")</f>
        <v>BASSI E HIJOS SPA</v>
      </c>
      <c r="F812" s="31">
        <v>1180000</v>
      </c>
      <c r="G812" s="41" t="s">
        <v>101</v>
      </c>
      <c r="H812" s="26">
        <v>0</v>
      </c>
      <c r="I812" s="21" t="str">
        <f t="shared" si="120"/>
        <v>Contado</v>
      </c>
      <c r="J812" s="22">
        <f t="shared" si="121"/>
        <v>46037</v>
      </c>
      <c r="K812" s="27">
        <f t="shared" ca="1" si="122"/>
        <v>0</v>
      </c>
      <c r="L812" s="23" t="str">
        <f t="shared" si="123"/>
        <v>Pagado</v>
      </c>
      <c r="M812" s="36">
        <f>SUMIFS(Tabla_Pagos[IMPORTE ABONADO],Tabla_Pagos[FECHA DE ABONO],"&gt;0",Tabla_Pagos[NRO DOC],B812)</f>
        <v>1180000</v>
      </c>
      <c r="N812" s="36">
        <f t="shared" si="124"/>
        <v>0</v>
      </c>
      <c r="O812" s="22" cm="1">
        <f t="array" ref="O812">MAX(IF((Tabla_Pagos[NRO DOC]=B812)*(Tabla_Pagos[IMPORTE ABONADO]&gt;0),Tabla_Pagos[FECHA DE ABONO]))</f>
        <v>46037</v>
      </c>
    </row>
    <row r="813" spans="2:15" ht="21" customHeight="1" x14ac:dyDescent="0.25">
      <c r="B813" s="39">
        <v>1733</v>
      </c>
      <c r="C813" s="20">
        <v>46038</v>
      </c>
      <c r="D813" s="40" t="s">
        <v>655</v>
      </c>
      <c r="E813" s="37" t="str">
        <f>IFERROR(VLOOKUP(D813,CLIENTES!$B$12:$G$2602,2,FALSE),"")</f>
        <v>JUAN ALFREDO TRIGO DORADOR</v>
      </c>
      <c r="F813" s="31">
        <v>119000</v>
      </c>
      <c r="G813" s="41" t="s">
        <v>101</v>
      </c>
      <c r="H813" s="26">
        <v>0</v>
      </c>
      <c r="I813" s="21" t="str">
        <f t="shared" si="120"/>
        <v>Contado</v>
      </c>
      <c r="J813" s="22">
        <f t="shared" si="121"/>
        <v>46038</v>
      </c>
      <c r="K813" s="27">
        <f t="shared" ca="1" si="122"/>
        <v>0</v>
      </c>
      <c r="L813" s="23" t="str">
        <f t="shared" si="123"/>
        <v>Pagado</v>
      </c>
      <c r="M813" s="36">
        <f>SUMIFS(Tabla_Pagos[IMPORTE ABONADO],Tabla_Pagos[FECHA DE ABONO],"&gt;0",Tabla_Pagos[NRO DOC],B813)</f>
        <v>119000</v>
      </c>
      <c r="N813" s="36">
        <f t="shared" si="124"/>
        <v>0</v>
      </c>
      <c r="O813" s="22" cm="1">
        <f t="array" ref="O813">MAX(IF((Tabla_Pagos[NRO DOC]=B813)*(Tabla_Pagos[IMPORTE ABONADO]&gt;0),Tabla_Pagos[FECHA DE ABONO]))</f>
        <v>46038</v>
      </c>
    </row>
    <row r="814" spans="2:15" ht="21" customHeight="1" x14ac:dyDescent="0.25">
      <c r="B814" s="39">
        <v>1734</v>
      </c>
      <c r="C814" s="20">
        <v>46038</v>
      </c>
      <c r="D814" s="40" t="s">
        <v>417</v>
      </c>
      <c r="E814" s="37" t="str">
        <f>IFERROR(VLOOKUP(D814,CLIENTES!$B$12:$G$2602,2,FALSE),"")</f>
        <v>INGENIERIA HIDRAULICA LIMITADA</v>
      </c>
      <c r="F814" s="31">
        <v>261800</v>
      </c>
      <c r="G814" s="41" t="s">
        <v>101</v>
      </c>
      <c r="H814" s="26">
        <v>0</v>
      </c>
      <c r="I814" s="21" t="str">
        <f t="shared" si="120"/>
        <v>Contado</v>
      </c>
      <c r="J814" s="22">
        <f t="shared" si="121"/>
        <v>46038</v>
      </c>
      <c r="K814" s="27">
        <f t="shared" ca="1" si="122"/>
        <v>0</v>
      </c>
      <c r="L814" s="23" t="str">
        <f t="shared" si="123"/>
        <v>Pagado</v>
      </c>
      <c r="M814" s="36">
        <f>SUMIFS(Tabla_Pagos[IMPORTE ABONADO],Tabla_Pagos[FECHA DE ABONO],"&gt;0",Tabla_Pagos[NRO DOC],B814)</f>
        <v>261800</v>
      </c>
      <c r="N814" s="36">
        <f t="shared" si="124"/>
        <v>0</v>
      </c>
      <c r="O814" s="22" cm="1">
        <f t="array" ref="O814">MAX(IF((Tabla_Pagos[NRO DOC]=B814)*(Tabla_Pagos[IMPORTE ABONADO]&gt;0),Tabla_Pagos[FECHA DE ABONO]))</f>
        <v>46038</v>
      </c>
    </row>
    <row r="815" spans="2:15" ht="21" customHeight="1" x14ac:dyDescent="0.25">
      <c r="B815" s="39">
        <v>1735</v>
      </c>
      <c r="C815" s="20">
        <v>46041</v>
      </c>
      <c r="D815" s="40" t="s">
        <v>145</v>
      </c>
      <c r="E815" s="37" t="str">
        <f>IFERROR(VLOOKUP(D815,CLIENTES!$B$12:$G$2602,2,FALSE),"")</f>
        <v>KUPFER HERMANOS SA</v>
      </c>
      <c r="F815" s="31">
        <v>110075</v>
      </c>
      <c r="G815" s="41" t="s">
        <v>101</v>
      </c>
      <c r="H815" s="26">
        <v>0</v>
      </c>
      <c r="I815" s="21" t="str">
        <f t="shared" si="120"/>
        <v>Contado</v>
      </c>
      <c r="J815" s="22">
        <f t="shared" si="121"/>
        <v>46041</v>
      </c>
      <c r="K815" s="27">
        <f t="shared" ca="1" si="122"/>
        <v>0</v>
      </c>
      <c r="L815" s="23" t="str">
        <f t="shared" si="123"/>
        <v>Pagado</v>
      </c>
      <c r="M815" s="36">
        <f>SUMIFS(Tabla_Pagos[IMPORTE ABONADO],Tabla_Pagos[FECHA DE ABONO],"&gt;0",Tabla_Pagos[NRO DOC],B815)</f>
        <v>110075</v>
      </c>
      <c r="N815" s="36">
        <f t="shared" si="124"/>
        <v>0</v>
      </c>
      <c r="O815" s="22" cm="1">
        <f t="array" ref="O815">MAX(IF((Tabla_Pagos[NRO DOC]=B815)*(Tabla_Pagos[IMPORTE ABONADO]&gt;0),Tabla_Pagos[FECHA DE ABONO]))</f>
        <v>46041</v>
      </c>
    </row>
    <row r="816" spans="2:15" ht="21" customHeight="1" x14ac:dyDescent="0.25">
      <c r="B816" s="39">
        <v>1736</v>
      </c>
      <c r="C816" s="20">
        <v>46041</v>
      </c>
      <c r="D816" s="40" t="s">
        <v>656</v>
      </c>
      <c r="E816" s="37" t="str">
        <f>IFERROR(VLOOKUP(D816,CLIENTES!$B$12:$G$2602,2,FALSE),"")</f>
        <v>COMERCIAL OVIDIO LUIS RODRIGUEZ QUEVEDO MOVIMIENTO DE TIERRA SPA</v>
      </c>
      <c r="F816" s="31">
        <v>160000</v>
      </c>
      <c r="G816" s="41" t="s">
        <v>101</v>
      </c>
      <c r="H816" s="26">
        <v>0</v>
      </c>
      <c r="I816" s="21" t="str">
        <f t="shared" si="120"/>
        <v>Contado</v>
      </c>
      <c r="J816" s="22">
        <f t="shared" si="121"/>
        <v>46041</v>
      </c>
      <c r="K816" s="27">
        <f t="shared" ca="1" si="122"/>
        <v>0</v>
      </c>
      <c r="L816" s="23" t="str">
        <f t="shared" si="123"/>
        <v>Pagado</v>
      </c>
      <c r="M816" s="36">
        <f>SUMIFS(Tabla_Pagos[IMPORTE ABONADO],Tabla_Pagos[FECHA DE ABONO],"&gt;0",Tabla_Pagos[NRO DOC],B816)</f>
        <v>160000</v>
      </c>
      <c r="N816" s="36">
        <f t="shared" si="124"/>
        <v>0</v>
      </c>
      <c r="O816" s="22" cm="1">
        <f t="array" ref="O816">MAX(IF((Tabla_Pagos[NRO DOC]=B816)*(Tabla_Pagos[IMPORTE ABONADO]&gt;0),Tabla_Pagos[FECHA DE ABONO]))</f>
        <v>46041</v>
      </c>
    </row>
    <row r="817" spans="2:15" ht="21" customHeight="1" x14ac:dyDescent="0.25">
      <c r="B817" s="39">
        <v>1737</v>
      </c>
      <c r="C817" s="20">
        <v>46041</v>
      </c>
      <c r="D817" s="40" t="s">
        <v>657</v>
      </c>
      <c r="E817" s="37" t="str">
        <f>IFERROR(VLOOKUP(D817,CLIENTES!$B$12:$G$2602,2,FALSE),"")</f>
        <v>MAX SERVICE SEGURIDAD INDUSTRIAL SPA</v>
      </c>
      <c r="F817" s="31">
        <v>71400</v>
      </c>
      <c r="G817" s="41" t="s">
        <v>101</v>
      </c>
      <c r="H817" s="26">
        <v>0</v>
      </c>
      <c r="I817" s="21" t="str">
        <f t="shared" si="120"/>
        <v>Contado</v>
      </c>
      <c r="J817" s="22">
        <f t="shared" si="121"/>
        <v>46041</v>
      </c>
      <c r="K817" s="27">
        <f t="shared" ca="1" si="122"/>
        <v>0</v>
      </c>
      <c r="L817" s="23" t="str">
        <f t="shared" si="123"/>
        <v>Pagado</v>
      </c>
      <c r="M817" s="36">
        <f>SUMIFS(Tabla_Pagos[IMPORTE ABONADO],Tabla_Pagos[FECHA DE ABONO],"&gt;0",Tabla_Pagos[NRO DOC],B817)</f>
        <v>71400</v>
      </c>
      <c r="N817" s="36">
        <f t="shared" si="124"/>
        <v>0</v>
      </c>
      <c r="O817" s="22" cm="1">
        <f t="array" ref="O817">MAX(IF((Tabla_Pagos[NRO DOC]=B817)*(Tabla_Pagos[IMPORTE ABONADO]&gt;0),Tabla_Pagos[FECHA DE ABONO]))</f>
        <v>46041</v>
      </c>
    </row>
    <row r="818" spans="2:15" ht="21" customHeight="1" x14ac:dyDescent="0.25">
      <c r="B818" s="39">
        <v>1738</v>
      </c>
      <c r="C818" s="20">
        <v>46041</v>
      </c>
      <c r="D818" s="40" t="s">
        <v>658</v>
      </c>
      <c r="E818" s="37" t="str">
        <f>IFERROR(VLOOKUP(D818,CLIENTES!$B$12:$G$2602,2,FALSE),"")</f>
        <v>JUAN CARLOS CORDOVA AVILA</v>
      </c>
      <c r="F818" s="31">
        <v>190000</v>
      </c>
      <c r="G818" s="41" t="s">
        <v>101</v>
      </c>
      <c r="H818" s="26">
        <v>0</v>
      </c>
      <c r="I818" s="21" t="str">
        <f t="shared" si="120"/>
        <v>Contado</v>
      </c>
      <c r="J818" s="22">
        <f t="shared" si="121"/>
        <v>46041</v>
      </c>
      <c r="K818" s="27">
        <f t="shared" ca="1" si="122"/>
        <v>0</v>
      </c>
      <c r="L818" s="23" t="str">
        <f t="shared" si="123"/>
        <v>Pagado</v>
      </c>
      <c r="M818" s="36">
        <f>SUMIFS(Tabla_Pagos[IMPORTE ABONADO],Tabla_Pagos[FECHA DE ABONO],"&gt;0",Tabla_Pagos[NRO DOC],B818)</f>
        <v>190000</v>
      </c>
      <c r="N818" s="36">
        <f t="shared" si="124"/>
        <v>0</v>
      </c>
      <c r="O818" s="22" cm="1">
        <f t="array" ref="O818">MAX(IF((Tabla_Pagos[NRO DOC]=B818)*(Tabla_Pagos[IMPORTE ABONADO]&gt;0),Tabla_Pagos[FECHA DE ABONO]))</f>
        <v>46041</v>
      </c>
    </row>
    <row r="819" spans="2:15" ht="21" customHeight="1" x14ac:dyDescent="0.25">
      <c r="B819" s="39">
        <v>1739</v>
      </c>
      <c r="C819" s="20">
        <v>46041</v>
      </c>
      <c r="D819" s="40" t="s">
        <v>253</v>
      </c>
      <c r="E819" s="37" t="str">
        <f>IFERROR(VLOOKUP(D819,CLIENTES!$B$12:$G$2602,2,FALSE),"")</f>
        <v>LUIS MANUEL CONTRERAS YANEZ</v>
      </c>
      <c r="F819" s="31">
        <v>42840</v>
      </c>
      <c r="G819" s="41" t="s">
        <v>101</v>
      </c>
      <c r="H819" s="26">
        <v>0</v>
      </c>
      <c r="I819" s="21" t="str">
        <f t="shared" si="120"/>
        <v>Contado</v>
      </c>
      <c r="J819" s="22">
        <f t="shared" si="121"/>
        <v>46041</v>
      </c>
      <c r="K819" s="27">
        <f t="shared" ca="1" si="122"/>
        <v>0</v>
      </c>
      <c r="L819" s="23" t="str">
        <f t="shared" si="123"/>
        <v>Pagado</v>
      </c>
      <c r="M819" s="36">
        <f>SUMIFS(Tabla_Pagos[IMPORTE ABONADO],Tabla_Pagos[FECHA DE ABONO],"&gt;0",Tabla_Pagos[NRO DOC],B819)</f>
        <v>42840</v>
      </c>
      <c r="N819" s="36">
        <f t="shared" si="124"/>
        <v>0</v>
      </c>
      <c r="O819" s="22" cm="1">
        <f t="array" ref="O819">MAX(IF((Tabla_Pagos[NRO DOC]=B819)*(Tabla_Pagos[IMPORTE ABONADO]&gt;0),Tabla_Pagos[FECHA DE ABONO]))</f>
        <v>46041</v>
      </c>
    </row>
    <row r="820" spans="2:15" ht="21" customHeight="1" x14ac:dyDescent="0.25">
      <c r="B820" s="39">
        <v>1740</v>
      </c>
      <c r="C820" s="20">
        <v>46042</v>
      </c>
      <c r="D820" s="40" t="s">
        <v>485</v>
      </c>
      <c r="E820" s="37" t="str">
        <f>IFERROR(VLOOKUP(D820,CLIENTES!$B$12:$G$2602,2,FALSE),"")</f>
        <v>SAN RAFAEL INGENIERIA Y  SERVICIOS LIMITADA</v>
      </c>
      <c r="F820" s="31">
        <v>124950</v>
      </c>
      <c r="G820" s="41" t="s">
        <v>101</v>
      </c>
      <c r="H820" s="26">
        <v>30</v>
      </c>
      <c r="I820" s="21" t="str">
        <f t="shared" si="120"/>
        <v>Crédito</v>
      </c>
      <c r="J820" s="22">
        <f t="shared" si="121"/>
        <v>46072</v>
      </c>
      <c r="K820" s="27">
        <f t="shared" ca="1" si="122"/>
        <v>0</v>
      </c>
      <c r="L820" s="23" t="str">
        <f t="shared" si="123"/>
        <v>Pagado</v>
      </c>
      <c r="M820" s="36">
        <f>SUMIFS(Tabla_Pagos[IMPORTE ABONADO],Tabla_Pagos[FECHA DE ABONO],"&gt;0",Tabla_Pagos[NRO DOC],B820)</f>
        <v>124950</v>
      </c>
      <c r="N820" s="36">
        <f t="shared" si="124"/>
        <v>0</v>
      </c>
      <c r="O820" s="22" cm="1">
        <f t="array" ref="O820">MAX(IF((Tabla_Pagos[NRO DOC]=B820)*(Tabla_Pagos[IMPORTE ABONADO]&gt;0),Tabla_Pagos[FECHA DE ABONO]))</f>
        <v>46072</v>
      </c>
    </row>
    <row r="821" spans="2:15" ht="21" customHeight="1" x14ac:dyDescent="0.25">
      <c r="B821" s="39">
        <v>1741</v>
      </c>
      <c r="C821" s="20">
        <v>46042</v>
      </c>
      <c r="D821" s="40" t="s">
        <v>659</v>
      </c>
      <c r="E821" s="37" t="str">
        <f>IFERROR(VLOOKUP(D821,CLIENTES!$B$12:$G$2602,2,FALSE),"")</f>
        <v>INVERSIONES IBARRA HERMANAS SPA</v>
      </c>
      <c r="F821" s="31">
        <v>4500100</v>
      </c>
      <c r="G821" s="41" t="s">
        <v>101</v>
      </c>
      <c r="H821" s="26">
        <v>0</v>
      </c>
      <c r="I821" s="21" t="str">
        <f t="shared" si="120"/>
        <v>Contado</v>
      </c>
      <c r="J821" s="22">
        <f t="shared" si="121"/>
        <v>46042</v>
      </c>
      <c r="K821" s="27">
        <f t="shared" ca="1" si="122"/>
        <v>0</v>
      </c>
      <c r="L821" s="23" t="str">
        <f t="shared" si="123"/>
        <v>Pagado</v>
      </c>
      <c r="M821" s="36">
        <f>SUMIFS(Tabla_Pagos[IMPORTE ABONADO],Tabla_Pagos[FECHA DE ABONO],"&gt;0",Tabla_Pagos[NRO DOC],B821)</f>
        <v>4500100</v>
      </c>
      <c r="N821" s="36">
        <f t="shared" si="124"/>
        <v>0</v>
      </c>
      <c r="O821" s="22" cm="1">
        <f t="array" ref="O821">MAX(IF((Tabla_Pagos[NRO DOC]=B821)*(Tabla_Pagos[IMPORTE ABONADO]&gt;0),Tabla_Pagos[FECHA DE ABONO]))</f>
        <v>46042</v>
      </c>
    </row>
    <row r="822" spans="2:15" ht="21" customHeight="1" x14ac:dyDescent="0.25">
      <c r="B822" s="39">
        <v>1742</v>
      </c>
      <c r="C822" s="20">
        <v>46042</v>
      </c>
      <c r="D822" s="40" t="s">
        <v>37</v>
      </c>
      <c r="E822" s="37" t="str">
        <f>IFERROR(VLOOKUP(D822,CLIENTES!$B$12:$G$2602,2,FALSE),"")</f>
        <v>AILUV SPA</v>
      </c>
      <c r="F822" s="31">
        <v>107100</v>
      </c>
      <c r="G822" s="41" t="s">
        <v>101</v>
      </c>
      <c r="H822" s="26">
        <v>0</v>
      </c>
      <c r="I822" s="21" t="str">
        <f t="shared" si="120"/>
        <v>Contado</v>
      </c>
      <c r="J822" s="22">
        <f t="shared" si="121"/>
        <v>46042</v>
      </c>
      <c r="K822" s="27">
        <f t="shared" ca="1" si="122"/>
        <v>0</v>
      </c>
      <c r="L822" s="23" t="str">
        <f t="shared" si="123"/>
        <v>Pagado</v>
      </c>
      <c r="M822" s="36">
        <f>SUMIFS(Tabla_Pagos[IMPORTE ABONADO],Tabla_Pagos[FECHA DE ABONO],"&gt;0",Tabla_Pagos[NRO DOC],B822)</f>
        <v>107100</v>
      </c>
      <c r="N822" s="36">
        <f t="shared" si="124"/>
        <v>0</v>
      </c>
      <c r="O822" s="22" cm="1">
        <f t="array" ref="O822">MAX(IF((Tabla_Pagos[NRO DOC]=B822)*(Tabla_Pagos[IMPORTE ABONADO]&gt;0),Tabla_Pagos[FECHA DE ABONO]))</f>
        <v>46042</v>
      </c>
    </row>
    <row r="823" spans="2:15" ht="21" customHeight="1" x14ac:dyDescent="0.25">
      <c r="B823" s="39">
        <v>1743</v>
      </c>
      <c r="C823" s="20">
        <v>46042</v>
      </c>
      <c r="D823" s="40" t="s">
        <v>63</v>
      </c>
      <c r="E823" s="37" t="str">
        <f>IFERROR(VLOOKUP(D823,CLIENTES!$B$12:$G$2602,2,FALSE),"")</f>
        <v>MULTISERVICIOS SANABRIA SPA</v>
      </c>
      <c r="F823" s="31">
        <v>74137</v>
      </c>
      <c r="G823" s="41" t="s">
        <v>101</v>
      </c>
      <c r="H823" s="26">
        <v>0</v>
      </c>
      <c r="I823" s="21" t="str">
        <f t="shared" si="120"/>
        <v>Contado</v>
      </c>
      <c r="J823" s="22">
        <f t="shared" si="121"/>
        <v>46042</v>
      </c>
      <c r="K823" s="27">
        <f t="shared" ca="1" si="122"/>
        <v>0</v>
      </c>
      <c r="L823" s="23" t="str">
        <f t="shared" si="123"/>
        <v>Pagado</v>
      </c>
      <c r="M823" s="36">
        <f>SUMIFS(Tabla_Pagos[IMPORTE ABONADO],Tabla_Pagos[FECHA DE ABONO],"&gt;0",Tabla_Pagos[NRO DOC],B823)</f>
        <v>74137</v>
      </c>
      <c r="N823" s="36">
        <f t="shared" si="124"/>
        <v>0</v>
      </c>
      <c r="O823" s="22" cm="1">
        <f t="array" ref="O823">MAX(IF((Tabla_Pagos[NRO DOC]=B823)*(Tabla_Pagos[IMPORTE ABONADO]&gt;0),Tabla_Pagos[FECHA DE ABONO]))</f>
        <v>46042</v>
      </c>
    </row>
    <row r="824" spans="2:15" ht="21" customHeight="1" x14ac:dyDescent="0.25">
      <c r="B824" s="39">
        <v>1744</v>
      </c>
      <c r="C824" s="20">
        <v>46042</v>
      </c>
      <c r="D824" s="40" t="s">
        <v>648</v>
      </c>
      <c r="E824" s="37" t="str">
        <f>IFERROR(VLOOKUP(D824,CLIENTES!$B$12:$G$2602,2,FALSE),"")</f>
        <v>CONSTRUCTORA RIVERA CUBILLOS LIMITADA</v>
      </c>
      <c r="F824" s="31">
        <v>20000</v>
      </c>
      <c r="G824" s="41" t="s">
        <v>101</v>
      </c>
      <c r="H824" s="26">
        <v>0</v>
      </c>
      <c r="I824" s="21" t="str">
        <f t="shared" si="120"/>
        <v>Contado</v>
      </c>
      <c r="J824" s="22">
        <f t="shared" si="121"/>
        <v>46042</v>
      </c>
      <c r="K824" s="27">
        <f t="shared" ca="1" si="122"/>
        <v>0</v>
      </c>
      <c r="L824" s="23" t="str">
        <f t="shared" si="123"/>
        <v>Pagado</v>
      </c>
      <c r="M824" s="36">
        <f>SUMIFS(Tabla_Pagos[IMPORTE ABONADO],Tabla_Pagos[FECHA DE ABONO],"&gt;0",Tabla_Pagos[NRO DOC],B824)</f>
        <v>20000</v>
      </c>
      <c r="N824" s="36">
        <f t="shared" si="124"/>
        <v>0</v>
      </c>
      <c r="O824" s="22" cm="1">
        <f t="array" ref="O824">MAX(IF((Tabla_Pagos[NRO DOC]=B824)*(Tabla_Pagos[IMPORTE ABONADO]&gt;0),Tabla_Pagos[FECHA DE ABONO]))</f>
        <v>46042</v>
      </c>
    </row>
    <row r="825" spans="2:15" ht="21" customHeight="1" x14ac:dyDescent="0.25">
      <c r="B825" s="39">
        <v>1745</v>
      </c>
      <c r="C825" s="20">
        <v>46043</v>
      </c>
      <c r="D825" s="40" t="s">
        <v>660</v>
      </c>
      <c r="E825" s="37" t="str">
        <f>IFERROR(VLOOKUP(D825,CLIENTES!$B$12:$G$2602,2,FALSE),"")</f>
        <v>INGENIERIA, PROYECTOS Y MONTAJES PROPAMAT SPA</v>
      </c>
      <c r="F825" s="31">
        <v>334747</v>
      </c>
      <c r="G825" s="41" t="s">
        <v>101</v>
      </c>
      <c r="H825" s="26">
        <v>0</v>
      </c>
      <c r="I825" s="21" t="str">
        <f t="shared" si="120"/>
        <v>Contado</v>
      </c>
      <c r="J825" s="22">
        <f t="shared" si="121"/>
        <v>46043</v>
      </c>
      <c r="K825" s="27">
        <f t="shared" ca="1" si="122"/>
        <v>0</v>
      </c>
      <c r="L825" s="23" t="str">
        <f t="shared" si="123"/>
        <v>Pagado</v>
      </c>
      <c r="M825" s="36">
        <f>SUMIFS(Tabla_Pagos[IMPORTE ABONADO],Tabla_Pagos[FECHA DE ABONO],"&gt;0",Tabla_Pagos[NRO DOC],B825)</f>
        <v>334747</v>
      </c>
      <c r="N825" s="36">
        <f t="shared" si="124"/>
        <v>0</v>
      </c>
      <c r="O825" s="22" cm="1">
        <f t="array" ref="O825">MAX(IF((Tabla_Pagos[NRO DOC]=B825)*(Tabla_Pagos[IMPORTE ABONADO]&gt;0),Tabla_Pagos[FECHA DE ABONO]))</f>
        <v>46043</v>
      </c>
    </row>
    <row r="826" spans="2:15" ht="21" customHeight="1" x14ac:dyDescent="0.25">
      <c r="B826" s="39">
        <v>1746</v>
      </c>
      <c r="C826" s="20">
        <v>46043</v>
      </c>
      <c r="D826" s="40" t="s">
        <v>209</v>
      </c>
      <c r="E826" s="37" t="str">
        <f>IFERROR(VLOOKUP(D826,CLIENTES!$B$12:$G$2602,2,FALSE),"")</f>
        <v>SOCIEDAD COMERCIAL E INDUSTRIAL HYDRO CLEANING VAPOR LIMITADA</v>
      </c>
      <c r="F826" s="31">
        <v>285600</v>
      </c>
      <c r="G826" s="41" t="s">
        <v>101</v>
      </c>
      <c r="H826" s="26">
        <v>0</v>
      </c>
      <c r="I826" s="21" t="str">
        <f t="shared" si="120"/>
        <v>Contado</v>
      </c>
      <c r="J826" s="22">
        <f t="shared" si="121"/>
        <v>46043</v>
      </c>
      <c r="K826" s="27">
        <f t="shared" ca="1" si="122"/>
        <v>0</v>
      </c>
      <c r="L826" s="23" t="str">
        <f t="shared" si="123"/>
        <v>Pagado</v>
      </c>
      <c r="M826" s="36">
        <f>SUMIFS(Tabla_Pagos[IMPORTE ABONADO],Tabla_Pagos[FECHA DE ABONO],"&gt;0",Tabla_Pagos[NRO DOC],B826)</f>
        <v>285600</v>
      </c>
      <c r="N826" s="36">
        <f t="shared" si="124"/>
        <v>0</v>
      </c>
      <c r="O826" s="22" cm="1">
        <f t="array" ref="O826">MAX(IF((Tabla_Pagos[NRO DOC]=B826)*(Tabla_Pagos[IMPORTE ABONADO]&gt;0),Tabla_Pagos[FECHA DE ABONO]))</f>
        <v>46043</v>
      </c>
    </row>
    <row r="827" spans="2:15" ht="21" customHeight="1" x14ac:dyDescent="0.25">
      <c r="B827" s="39">
        <v>1747</v>
      </c>
      <c r="C827" s="20">
        <v>46043</v>
      </c>
      <c r="D827" s="40" t="s">
        <v>47</v>
      </c>
      <c r="E827" s="37" t="str">
        <f>IFERROR(VLOOKUP(D827,CLIENTES!$B$12:$G$2602,2,FALSE),"")</f>
        <v>PATAGONIA SERVICIOS SPA</v>
      </c>
      <c r="F827" s="31">
        <v>6045200</v>
      </c>
      <c r="G827" s="41" t="s">
        <v>101</v>
      </c>
      <c r="H827" s="26">
        <v>0</v>
      </c>
      <c r="I827" s="21" t="str">
        <f t="shared" si="120"/>
        <v>Contado</v>
      </c>
      <c r="J827" s="22">
        <f t="shared" si="121"/>
        <v>46043</v>
      </c>
      <c r="K827" s="27">
        <f t="shared" ca="1" si="122"/>
        <v>0</v>
      </c>
      <c r="L827" s="23" t="str">
        <f t="shared" si="123"/>
        <v>Pagado</v>
      </c>
      <c r="M827" s="36">
        <f>SUMIFS(Tabla_Pagos[IMPORTE ABONADO],Tabla_Pagos[FECHA DE ABONO],"&gt;0",Tabla_Pagos[NRO DOC],B827)</f>
        <v>6045200</v>
      </c>
      <c r="N827" s="36">
        <f t="shared" si="124"/>
        <v>0</v>
      </c>
      <c r="O827" s="22" cm="1">
        <f t="array" ref="O827">MAX(IF((Tabla_Pagos[NRO DOC]=B827)*(Tabla_Pagos[IMPORTE ABONADO]&gt;0),Tabla_Pagos[FECHA DE ABONO]))</f>
        <v>46043</v>
      </c>
    </row>
    <row r="828" spans="2:15" ht="21" customHeight="1" x14ac:dyDescent="0.25">
      <c r="B828" s="39">
        <v>1748</v>
      </c>
      <c r="C828" s="20">
        <v>46044</v>
      </c>
      <c r="D828" s="40" t="s">
        <v>661</v>
      </c>
      <c r="E828" s="37" t="str">
        <f>IFERROR(VLOOKUP(D828,CLIENTES!$B$12:$G$2602,2,FALSE),"")</f>
        <v>MARÃŒA BALLESTERO TARDON Y SERVICIOS E.I.R.L.</v>
      </c>
      <c r="F828" s="31">
        <v>59500</v>
      </c>
      <c r="G828" s="41" t="s">
        <v>101</v>
      </c>
      <c r="H828" s="26">
        <v>0</v>
      </c>
      <c r="I828" s="21" t="str">
        <f t="shared" si="120"/>
        <v>Contado</v>
      </c>
      <c r="J828" s="22">
        <f t="shared" si="121"/>
        <v>46044</v>
      </c>
      <c r="K828" s="27">
        <f t="shared" ca="1" si="122"/>
        <v>0</v>
      </c>
      <c r="L828" s="23" t="str">
        <f t="shared" si="123"/>
        <v>Pagado</v>
      </c>
      <c r="M828" s="36">
        <f>SUMIFS(Tabla_Pagos[IMPORTE ABONADO],Tabla_Pagos[FECHA DE ABONO],"&gt;0",Tabla_Pagos[NRO DOC],B828)</f>
        <v>59500</v>
      </c>
      <c r="N828" s="36">
        <f t="shared" si="124"/>
        <v>0</v>
      </c>
      <c r="O828" s="22" cm="1">
        <f t="array" ref="O828">MAX(IF((Tabla_Pagos[NRO DOC]=B828)*(Tabla_Pagos[IMPORTE ABONADO]&gt;0),Tabla_Pagos[FECHA DE ABONO]))</f>
        <v>46044</v>
      </c>
    </row>
    <row r="829" spans="2:15" ht="21" customHeight="1" x14ac:dyDescent="0.25">
      <c r="B829" s="39">
        <v>1749</v>
      </c>
      <c r="C829" s="20">
        <v>46044</v>
      </c>
      <c r="D829" s="40" t="s">
        <v>485</v>
      </c>
      <c r="E829" s="37" t="str">
        <f>IFERROR(VLOOKUP(D829,CLIENTES!$B$12:$G$2602,2,FALSE),"")</f>
        <v>SAN RAFAEL INGENIERIA Y  SERVICIOS LIMITADA</v>
      </c>
      <c r="F829" s="31">
        <v>21420</v>
      </c>
      <c r="G829" s="41" t="s">
        <v>101</v>
      </c>
      <c r="H829" s="26">
        <v>30</v>
      </c>
      <c r="I829" s="21" t="str">
        <f t="shared" si="120"/>
        <v>Crédito</v>
      </c>
      <c r="J829" s="22">
        <f t="shared" si="121"/>
        <v>46074</v>
      </c>
      <c r="K829" s="27">
        <f t="shared" ca="1" si="122"/>
        <v>0</v>
      </c>
      <c r="L829" s="23" t="str">
        <f t="shared" si="123"/>
        <v>Pagado</v>
      </c>
      <c r="M829" s="36">
        <f>SUMIFS(Tabla_Pagos[IMPORTE ABONADO],Tabla_Pagos[FECHA DE ABONO],"&gt;0",Tabla_Pagos[NRO DOC],B829)</f>
        <v>21420</v>
      </c>
      <c r="N829" s="36">
        <f t="shared" si="124"/>
        <v>0</v>
      </c>
      <c r="O829" s="22" cm="1">
        <f t="array" ref="O829">MAX(IF((Tabla_Pagos[NRO DOC]=B829)*(Tabla_Pagos[IMPORTE ABONADO]&gt;0),Tabla_Pagos[FECHA DE ABONO]))</f>
        <v>46073</v>
      </c>
    </row>
    <row r="830" spans="2:15" ht="21" customHeight="1" x14ac:dyDescent="0.25">
      <c r="B830" s="39">
        <v>1750</v>
      </c>
      <c r="C830" s="20">
        <v>46044</v>
      </c>
      <c r="D830" s="40" t="s">
        <v>388</v>
      </c>
      <c r="E830" s="37" t="str">
        <f>IFERROR(VLOOKUP(D830,CLIENTES!$B$12:$G$2602,2,FALSE),"")</f>
        <v>JEAN MAURICIO OLIVARES TOLEDO</v>
      </c>
      <c r="F830" s="31">
        <v>19002</v>
      </c>
      <c r="G830" s="41" t="s">
        <v>101</v>
      </c>
      <c r="H830" s="26">
        <v>0</v>
      </c>
      <c r="I830" s="21" t="str">
        <f t="shared" si="120"/>
        <v>Contado</v>
      </c>
      <c r="J830" s="22">
        <f t="shared" si="121"/>
        <v>46044</v>
      </c>
      <c r="K830" s="27">
        <f t="shared" ca="1" si="122"/>
        <v>0</v>
      </c>
      <c r="L830" s="23" t="str">
        <f t="shared" si="123"/>
        <v>Pagado</v>
      </c>
      <c r="M830" s="36">
        <f>SUMIFS(Tabla_Pagos[IMPORTE ABONADO],Tabla_Pagos[FECHA DE ABONO],"&gt;0",Tabla_Pagos[NRO DOC],B830)</f>
        <v>19002</v>
      </c>
      <c r="N830" s="36">
        <f t="shared" si="124"/>
        <v>0</v>
      </c>
      <c r="O830" s="22" cm="1">
        <f t="array" ref="O830">MAX(IF((Tabla_Pagos[NRO DOC]=B830)*(Tabla_Pagos[IMPORTE ABONADO]&gt;0),Tabla_Pagos[FECHA DE ABONO]))</f>
        <v>46044</v>
      </c>
    </row>
    <row r="831" spans="2:15" ht="21" customHeight="1" x14ac:dyDescent="0.25">
      <c r="B831" s="39">
        <v>1751</v>
      </c>
      <c r="C831" s="20">
        <v>46045</v>
      </c>
      <c r="D831" s="40" t="s">
        <v>662</v>
      </c>
      <c r="E831" s="37" t="str">
        <f>IFERROR(VLOOKUP(D831,CLIENTES!$B$12:$G$2602,2,FALSE),"")</f>
        <v>IMPORTADORA NICOLAS LIMITADA</v>
      </c>
      <c r="F831" s="31">
        <v>29750</v>
      </c>
      <c r="G831" s="41" t="s">
        <v>101</v>
      </c>
      <c r="H831" s="26">
        <v>30</v>
      </c>
      <c r="I831" s="21" t="str">
        <f t="shared" si="120"/>
        <v>Crédito</v>
      </c>
      <c r="J831" s="22">
        <f t="shared" si="121"/>
        <v>46075</v>
      </c>
      <c r="K831" s="27">
        <f t="shared" ca="1" si="122"/>
        <v>0</v>
      </c>
      <c r="L831" s="23" t="str">
        <f t="shared" si="123"/>
        <v>Pagado</v>
      </c>
      <c r="M831" s="36">
        <f>SUMIFS(Tabla_Pagos[IMPORTE ABONADO],Tabla_Pagos[FECHA DE ABONO],"&gt;0",Tabla_Pagos[NRO DOC],B831)</f>
        <v>29750</v>
      </c>
      <c r="N831" s="36">
        <f t="shared" si="124"/>
        <v>0</v>
      </c>
      <c r="O831" s="22" cm="1">
        <f t="array" ref="O831">MAX(IF((Tabla_Pagos[NRO DOC]=B831)*(Tabla_Pagos[IMPORTE ABONADO]&gt;0),Tabla_Pagos[FECHA DE ABONO]))</f>
        <v>46106</v>
      </c>
    </row>
    <row r="832" spans="2:15" ht="21" customHeight="1" x14ac:dyDescent="0.25">
      <c r="B832" s="39">
        <v>1752</v>
      </c>
      <c r="C832" s="20">
        <v>46045</v>
      </c>
      <c r="D832" s="40" t="s">
        <v>49</v>
      </c>
      <c r="E832" s="37" t="str">
        <f>IFERROR(VLOOKUP(D832,CLIENTES!$B$12:$G$2602,2,FALSE),"")</f>
        <v>MOINCO INGENIERIA SPA</v>
      </c>
      <c r="F832" s="31">
        <v>100000</v>
      </c>
      <c r="G832" s="41" t="s">
        <v>101</v>
      </c>
      <c r="H832" s="26">
        <v>0</v>
      </c>
      <c r="I832" s="21" t="str">
        <f t="shared" si="120"/>
        <v>Contado</v>
      </c>
      <c r="J832" s="22">
        <f t="shared" si="121"/>
        <v>46045</v>
      </c>
      <c r="K832" s="27">
        <f t="shared" ca="1" si="122"/>
        <v>0</v>
      </c>
      <c r="L832" s="23" t="str">
        <f t="shared" si="123"/>
        <v>Pagado</v>
      </c>
      <c r="M832" s="36">
        <f>SUMIFS(Tabla_Pagos[IMPORTE ABONADO],Tabla_Pagos[FECHA DE ABONO],"&gt;0",Tabla_Pagos[NRO DOC],B832)</f>
        <v>100000</v>
      </c>
      <c r="N832" s="36">
        <f t="shared" si="124"/>
        <v>0</v>
      </c>
      <c r="O832" s="22" cm="1">
        <f t="array" ref="O832">MAX(IF((Tabla_Pagos[NRO DOC]=B832)*(Tabla_Pagos[IMPORTE ABONADO]&gt;0),Tabla_Pagos[FECHA DE ABONO]))</f>
        <v>46045</v>
      </c>
    </row>
    <row r="833" spans="2:15" ht="21" customHeight="1" x14ac:dyDescent="0.25">
      <c r="B833" s="39">
        <v>1753</v>
      </c>
      <c r="C833" s="20">
        <v>46045</v>
      </c>
      <c r="D833" s="40" t="s">
        <v>527</v>
      </c>
      <c r="E833" s="37" t="str">
        <f>IFERROR(VLOOKUP(D833,CLIENTES!$B$12:$G$2602,2,FALSE),"")</f>
        <v>CROSAN CAPACITACION SPA</v>
      </c>
      <c r="F833" s="31">
        <v>190400</v>
      </c>
      <c r="G833" s="41" t="s">
        <v>101</v>
      </c>
      <c r="H833" s="26">
        <v>30</v>
      </c>
      <c r="I833" s="21" t="str">
        <f t="shared" si="120"/>
        <v>Crédito</v>
      </c>
      <c r="J833" s="22">
        <f t="shared" si="121"/>
        <v>46075</v>
      </c>
      <c r="K833" s="27">
        <f t="shared" ca="1" si="122"/>
        <v>0</v>
      </c>
      <c r="L833" s="23" t="str">
        <f t="shared" si="123"/>
        <v>Pagado</v>
      </c>
      <c r="M833" s="36">
        <f>SUMIFS(Tabla_Pagos[IMPORTE ABONADO],Tabla_Pagos[FECHA DE ABONO],"&gt;0",Tabla_Pagos[NRO DOC],B833)</f>
        <v>190400</v>
      </c>
      <c r="N833" s="36">
        <f t="shared" si="124"/>
        <v>0</v>
      </c>
      <c r="O833" s="22" cm="1">
        <f t="array" ref="O833">MAX(IF((Tabla_Pagos[NRO DOC]=B833)*(Tabla_Pagos[IMPORTE ABONADO]&gt;0),Tabla_Pagos[FECHA DE ABONO]))</f>
        <v>46066</v>
      </c>
    </row>
    <row r="834" spans="2:15" ht="21" customHeight="1" x14ac:dyDescent="0.25">
      <c r="B834" s="39">
        <v>1754</v>
      </c>
      <c r="C834" s="20">
        <v>46045</v>
      </c>
      <c r="D834" s="40" t="s">
        <v>470</v>
      </c>
      <c r="E834" s="37" t="str">
        <f>IFERROR(VLOOKUP(D834,CLIENTES!$B$12:$G$2602,2,FALSE),"")</f>
        <v>INVERSIONES SAFUMAR LIMITADA</v>
      </c>
      <c r="F834" s="31">
        <v>167433</v>
      </c>
      <c r="G834" s="41" t="s">
        <v>101</v>
      </c>
      <c r="H834" s="26">
        <v>30</v>
      </c>
      <c r="I834" s="21" t="str">
        <f t="shared" si="120"/>
        <v>Crédito</v>
      </c>
      <c r="J834" s="22">
        <f t="shared" si="121"/>
        <v>46075</v>
      </c>
      <c r="K834" s="27">
        <f t="shared" ca="1" si="122"/>
        <v>0</v>
      </c>
      <c r="L834" s="23" t="str">
        <f t="shared" si="123"/>
        <v>Pagado</v>
      </c>
      <c r="M834" s="36">
        <f>SUMIFS(Tabla_Pagos[IMPORTE ABONADO],Tabla_Pagos[FECHA DE ABONO],"&gt;0",Tabla_Pagos[NRO DOC],B834)</f>
        <v>167433</v>
      </c>
      <c r="N834" s="36">
        <f t="shared" si="124"/>
        <v>0</v>
      </c>
      <c r="O834" s="22" cm="1">
        <f t="array" ref="O834">MAX(IF((Tabla_Pagos[NRO DOC]=B834)*(Tabla_Pagos[IMPORTE ABONADO]&gt;0),Tabla_Pagos[FECHA DE ABONO]))</f>
        <v>46078</v>
      </c>
    </row>
    <row r="835" spans="2:15" ht="21" customHeight="1" x14ac:dyDescent="0.25">
      <c r="B835" s="39">
        <v>1755</v>
      </c>
      <c r="C835" s="20">
        <v>46045</v>
      </c>
      <c r="D835" s="40" t="s">
        <v>459</v>
      </c>
      <c r="E835" s="37" t="str">
        <f>IFERROR(VLOOKUP(D835,CLIENTES!$B$12:$G$2602,2,FALSE),"")</f>
        <v>JAG SERVICIOS CHILE SPA</v>
      </c>
      <c r="F835" s="31">
        <v>853500</v>
      </c>
      <c r="G835" s="41" t="s">
        <v>101</v>
      </c>
      <c r="H835" s="26">
        <v>30</v>
      </c>
      <c r="I835" s="21" t="str">
        <f t="shared" si="120"/>
        <v>Crédito</v>
      </c>
      <c r="J835" s="22">
        <f t="shared" si="121"/>
        <v>46075</v>
      </c>
      <c r="K835" s="27">
        <f t="shared" ca="1" si="122"/>
        <v>0</v>
      </c>
      <c r="L835" s="23" t="str">
        <f t="shared" si="123"/>
        <v>Pagado</v>
      </c>
      <c r="M835" s="36">
        <f>SUMIFS(Tabla_Pagos[IMPORTE ABONADO],Tabla_Pagos[FECHA DE ABONO],"&gt;0",Tabla_Pagos[NRO DOC],B835)</f>
        <v>853500</v>
      </c>
      <c r="N835" s="36">
        <f t="shared" si="124"/>
        <v>0</v>
      </c>
      <c r="O835" s="22" cm="1">
        <f t="array" ref="O835">MAX(IF((Tabla_Pagos[NRO DOC]=B835)*(Tabla_Pagos[IMPORTE ABONADO]&gt;0),Tabla_Pagos[FECHA DE ABONO]))</f>
        <v>46044</v>
      </c>
    </row>
    <row r="836" spans="2:15" ht="21" customHeight="1" x14ac:dyDescent="0.25">
      <c r="B836" s="39">
        <v>1756</v>
      </c>
      <c r="C836" s="20">
        <v>46045</v>
      </c>
      <c r="D836" s="40" t="s">
        <v>470</v>
      </c>
      <c r="E836" s="37" t="str">
        <f>IFERROR(VLOOKUP(D836,CLIENTES!$B$12:$G$2602,2,FALSE),"")</f>
        <v>INVERSIONES SAFUMAR LIMITADA</v>
      </c>
      <c r="F836" s="31">
        <v>260610</v>
      </c>
      <c r="G836" s="41" t="s">
        <v>101</v>
      </c>
      <c r="H836" s="26">
        <v>30</v>
      </c>
      <c r="I836" s="21" t="str">
        <f t="shared" si="120"/>
        <v>Crédito</v>
      </c>
      <c r="J836" s="22">
        <f t="shared" si="121"/>
        <v>46075</v>
      </c>
      <c r="K836" s="27">
        <f t="shared" ca="1" si="122"/>
        <v>0</v>
      </c>
      <c r="L836" s="23" t="str">
        <f t="shared" si="123"/>
        <v>Pagado</v>
      </c>
      <c r="M836" s="36">
        <f>SUMIFS(Tabla_Pagos[IMPORTE ABONADO],Tabla_Pagos[FECHA DE ABONO],"&gt;0",Tabla_Pagos[NRO DOC],B836)</f>
        <v>260610</v>
      </c>
      <c r="N836" s="36">
        <f t="shared" si="124"/>
        <v>0</v>
      </c>
      <c r="O836" s="22" cm="1">
        <f t="array" ref="O836">MAX(IF((Tabla_Pagos[NRO DOC]=B836)*(Tabla_Pagos[IMPORTE ABONADO]&gt;0),Tabla_Pagos[FECHA DE ABONO]))</f>
        <v>46078</v>
      </c>
    </row>
    <row r="837" spans="2:15" ht="21" customHeight="1" x14ac:dyDescent="0.25">
      <c r="B837" s="39">
        <v>1757</v>
      </c>
      <c r="C837" s="20">
        <v>46045</v>
      </c>
      <c r="D837" s="40" t="s">
        <v>485</v>
      </c>
      <c r="E837" s="37" t="str">
        <f>IFERROR(VLOOKUP(D837,CLIENTES!$B$12:$G$2602,2,FALSE),"")</f>
        <v>SAN RAFAEL INGENIERIA Y  SERVICIOS LIMITADA</v>
      </c>
      <c r="F837" s="31">
        <v>21420</v>
      </c>
      <c r="G837" s="41" t="s">
        <v>101</v>
      </c>
      <c r="H837" s="26">
        <v>30</v>
      </c>
      <c r="I837" s="21" t="str">
        <f>IF(H837="","",IF(H837=0,"Contado","Crédito"))</f>
        <v>Crédito</v>
      </c>
      <c r="J837" s="22">
        <f>IF(I837="","",C837+H837)</f>
        <v>46075</v>
      </c>
      <c r="K837" s="27">
        <f ca="1">IFERROR(IF(B837="","",IF(N837=0,0,J837-TODAY())),"")</f>
        <v>0</v>
      </c>
      <c r="L837" s="23" t="str">
        <f>IF(I837="","",IF(N837=0,"Pagado",IF(K837&lt;0,"Vencido","No vencido")))</f>
        <v>Pagado</v>
      </c>
      <c r="M837" s="36">
        <f>SUMIFS(Tabla_Pagos[IMPORTE ABONADO],Tabla_Pagos[FECHA DE ABONO],"&gt;0",Tabla_Pagos[NRO DOC],B837)</f>
        <v>21420</v>
      </c>
      <c r="N837" s="36">
        <f>F837-M837</f>
        <v>0</v>
      </c>
      <c r="O837" s="22" cm="1">
        <f t="array" ref="O837">MAX(IF((Tabla_Pagos[NRO DOC]=B837)*(Tabla_Pagos[IMPORTE ABONADO]&gt;0),Tabla_Pagos[FECHA DE ABONO]))</f>
        <v>46077</v>
      </c>
    </row>
    <row r="838" spans="2:15" ht="21" customHeight="1" x14ac:dyDescent="0.25">
      <c r="B838" s="39">
        <v>1758</v>
      </c>
      <c r="C838" s="20">
        <v>46045</v>
      </c>
      <c r="D838" s="40" t="s">
        <v>102</v>
      </c>
      <c r="E838" s="37" t="str">
        <f>IFERROR(VLOOKUP(D838,CLIENTES!$B$12:$G$2602,2,FALSE),"")</f>
        <v>CONSTRUCTORA CARLOS ALBERTO ANDRES ALBISTUR REYES E.I.R.L.</v>
      </c>
      <c r="F838" s="31">
        <v>74375</v>
      </c>
      <c r="G838" s="41" t="s">
        <v>101</v>
      </c>
      <c r="H838" s="26">
        <v>30</v>
      </c>
      <c r="I838" s="21" t="str">
        <f>IF(H838="","",IF(H838=0,"Contado","Crédito"))</f>
        <v>Crédito</v>
      </c>
      <c r="J838" s="22">
        <f>IF(I838="","",C838+H838)</f>
        <v>46075</v>
      </c>
      <c r="K838" s="27">
        <f ca="1">IFERROR(IF(B838="","",IF(N838=0,0,J838-TODAY())),"")</f>
        <v>0</v>
      </c>
      <c r="L838" s="23" t="str">
        <f>IF(I838="","",IF(N838=0,"Pagado",IF(K838&lt;0,"Vencido","No vencido")))</f>
        <v>Pagado</v>
      </c>
      <c r="M838" s="36">
        <f>SUMIFS(Tabla_Pagos[IMPORTE ABONADO],Tabla_Pagos[FECHA DE ABONO],"&gt;0",Tabla_Pagos[NRO DOC],B838)</f>
        <v>74375</v>
      </c>
      <c r="N838" s="36">
        <f>F838-M838</f>
        <v>0</v>
      </c>
      <c r="O838" s="22" cm="1">
        <f t="array" ref="O838">MAX(IF((Tabla_Pagos[NRO DOC]=B838)*(Tabla_Pagos[IMPORTE ABONADO]&gt;0),Tabla_Pagos[FECHA DE ABONO]))</f>
        <v>46073</v>
      </c>
    </row>
    <row r="839" spans="2:15" ht="21" customHeight="1" x14ac:dyDescent="0.25">
      <c r="B839" s="39">
        <v>1759</v>
      </c>
      <c r="C839" s="20">
        <v>46045</v>
      </c>
      <c r="D839" s="40" t="s">
        <v>685</v>
      </c>
      <c r="E839" s="37" t="str">
        <f>IFERROR(VLOOKUP(D839,CLIENTES!$B$12:$G$2602,2,FALSE),"")</f>
        <v>JUNTA DE VIGILANCIA DEL RIO COPIAPO Y SUS AFLUENTES</v>
      </c>
      <c r="F839" s="31">
        <v>226100</v>
      </c>
      <c r="G839" s="41" t="s">
        <v>101</v>
      </c>
      <c r="H839" s="26">
        <v>0</v>
      </c>
      <c r="I839" s="21" t="str">
        <f>IF(H839="","",IF(H839=0,"Contado","Crédito"))</f>
        <v>Contado</v>
      </c>
      <c r="J839" s="22">
        <f>IF(I839="","",C839+H839)</f>
        <v>46045</v>
      </c>
      <c r="K839" s="27">
        <f ca="1">IFERROR(IF(B839="","",IF(N839=0,0,J839-TODAY())),"")</f>
        <v>0</v>
      </c>
      <c r="L839" s="23" t="str">
        <f>IF(I839="","",IF(N839=0,"Pagado",IF(K839&lt;0,"Vencido","No vencido")))</f>
        <v>Pagado</v>
      </c>
      <c r="M839" s="36">
        <f>SUMIFS(Tabla_Pagos[IMPORTE ABONADO],Tabla_Pagos[FECHA DE ABONO],"&gt;0",Tabla_Pagos[NRO DOC],B839)</f>
        <v>226100</v>
      </c>
      <c r="N839" s="36">
        <f>F839-M839</f>
        <v>0</v>
      </c>
      <c r="O839" s="22" cm="1">
        <f t="array" ref="O839">MAX(IF((Tabla_Pagos[NRO DOC]=B839)*(Tabla_Pagos[IMPORTE ABONADO]&gt;0),Tabla_Pagos[FECHA DE ABONO]))</f>
        <v>46045</v>
      </c>
    </row>
    <row r="840" spans="2:15" ht="21" customHeight="1" x14ac:dyDescent="0.25">
      <c r="B840" s="39">
        <v>1760</v>
      </c>
      <c r="C840" s="20">
        <v>46048</v>
      </c>
      <c r="D840" s="40" t="s">
        <v>485</v>
      </c>
      <c r="E840" s="37" t="str">
        <f>IFERROR(VLOOKUP(D840,CLIENTES!$B$12:$G$2602,2,FALSE),"")</f>
        <v>SAN RAFAEL INGENIERIA Y  SERVICIOS LIMITADA</v>
      </c>
      <c r="F840" s="31">
        <v>26180</v>
      </c>
      <c r="G840" s="41" t="s">
        <v>101</v>
      </c>
      <c r="H840" s="26">
        <v>30</v>
      </c>
      <c r="I840" s="21" t="str">
        <f t="shared" ref="I840:I850" si="125">IF(H840="","",IF(H840=0,"Contado","Crédito"))</f>
        <v>Crédito</v>
      </c>
      <c r="J840" s="22">
        <f t="shared" ref="J840:J850" si="126">IF(I840="","",C840+H840)</f>
        <v>46078</v>
      </c>
      <c r="K840" s="27">
        <f t="shared" ref="K840:K850" ca="1" si="127">IFERROR(IF(B840="","",IF(N840=0,0,J840-TODAY())),"")</f>
        <v>0</v>
      </c>
      <c r="L840" s="23" t="str">
        <f t="shared" ref="L840:L850" si="128">IF(I840="","",IF(N840=0,"Pagado",IF(K840&lt;0,"Vencido","No vencido")))</f>
        <v>Pagado</v>
      </c>
      <c r="M840" s="36">
        <f>SUMIFS(Tabla_Pagos[IMPORTE ABONADO],Tabla_Pagos[FECHA DE ABONO],"&gt;0",Tabla_Pagos[NRO DOC],B840)</f>
        <v>26180</v>
      </c>
      <c r="N840" s="36">
        <f t="shared" ref="N840:N850" si="129">F840-M840</f>
        <v>0</v>
      </c>
      <c r="O840" s="22" cm="1">
        <f t="array" ref="O840">MAX(IF((Tabla_Pagos[NRO DOC]=B840)*(Tabla_Pagos[IMPORTE ABONADO]&gt;0),Tabla_Pagos[FECHA DE ABONO]))</f>
        <v>46077</v>
      </c>
    </row>
    <row r="841" spans="2:15" ht="21" customHeight="1" x14ac:dyDescent="0.25">
      <c r="B841" s="39">
        <v>1762</v>
      </c>
      <c r="C841" s="20">
        <v>46049</v>
      </c>
      <c r="D841" s="40" t="s">
        <v>686</v>
      </c>
      <c r="E841" s="37" t="str">
        <f>IFERROR(VLOOKUP(D841,CLIENTES!$B$12:$G$2602,2,FALSE),"")</f>
        <v>SERVICIOS INTEGRALES GALLARDO SPA</v>
      </c>
      <c r="F841" s="31">
        <v>416500</v>
      </c>
      <c r="G841" s="41" t="s">
        <v>101</v>
      </c>
      <c r="H841" s="26">
        <v>0</v>
      </c>
      <c r="I841" s="21" t="str">
        <f t="shared" si="125"/>
        <v>Contado</v>
      </c>
      <c r="J841" s="22">
        <f t="shared" si="126"/>
        <v>46049</v>
      </c>
      <c r="K841" s="27">
        <f t="shared" ca="1" si="127"/>
        <v>0</v>
      </c>
      <c r="L841" s="23" t="str">
        <f t="shared" si="128"/>
        <v>Pagado</v>
      </c>
      <c r="M841" s="36">
        <f>SUMIFS(Tabla_Pagos[IMPORTE ABONADO],Tabla_Pagos[FECHA DE ABONO],"&gt;0",Tabla_Pagos[NRO DOC],B841)</f>
        <v>416500</v>
      </c>
      <c r="N841" s="36">
        <f t="shared" si="129"/>
        <v>0</v>
      </c>
      <c r="O841" s="22" cm="1">
        <f t="array" ref="O841">MAX(IF((Tabla_Pagos[NRO DOC]=B841)*(Tabla_Pagos[IMPORTE ABONADO]&gt;0),Tabla_Pagos[FECHA DE ABONO]))</f>
        <v>46049</v>
      </c>
    </row>
    <row r="842" spans="2:15" ht="21" customHeight="1" x14ac:dyDescent="0.25">
      <c r="B842" s="39">
        <v>1763</v>
      </c>
      <c r="C842" s="20">
        <v>46049</v>
      </c>
      <c r="D842" s="40" t="s">
        <v>589</v>
      </c>
      <c r="E842" s="37" t="str">
        <f>IFERROR(VLOOKUP(D842,CLIENTES!$B$12:$G$2602,2,FALSE),"")</f>
        <v>INGENIERIA Y SOLUCIONES ELECTRICAS INGINSEL LIMITADA</v>
      </c>
      <c r="F842" s="31">
        <v>208250</v>
      </c>
      <c r="G842" s="41" t="s">
        <v>101</v>
      </c>
      <c r="H842" s="26">
        <v>0</v>
      </c>
      <c r="I842" s="21" t="str">
        <f t="shared" si="125"/>
        <v>Contado</v>
      </c>
      <c r="J842" s="22">
        <f t="shared" si="126"/>
        <v>46049</v>
      </c>
      <c r="K842" s="27">
        <f t="shared" ca="1" si="127"/>
        <v>0</v>
      </c>
      <c r="L842" s="23" t="str">
        <f t="shared" si="128"/>
        <v>Pagado</v>
      </c>
      <c r="M842" s="36">
        <f>SUMIFS(Tabla_Pagos[IMPORTE ABONADO],Tabla_Pagos[FECHA DE ABONO],"&gt;0",Tabla_Pagos[NRO DOC],B842)</f>
        <v>208250</v>
      </c>
      <c r="N842" s="36">
        <f t="shared" si="129"/>
        <v>0</v>
      </c>
      <c r="O842" s="22" cm="1">
        <f t="array" ref="O842">MAX(IF((Tabla_Pagos[NRO DOC]=B842)*(Tabla_Pagos[IMPORTE ABONADO]&gt;0),Tabla_Pagos[FECHA DE ABONO]))</f>
        <v>46049</v>
      </c>
    </row>
    <row r="843" spans="2:15" ht="21" customHeight="1" x14ac:dyDescent="0.25">
      <c r="B843" s="39">
        <v>1764</v>
      </c>
      <c r="C843" s="20">
        <v>46049</v>
      </c>
      <c r="D843" s="40" t="s">
        <v>687</v>
      </c>
      <c r="E843" s="37" t="str">
        <f>IFERROR(VLOOKUP(D843,CLIENTES!$B$12:$G$2602,2,FALSE),"")</f>
        <v>SOCIEDAD COMERCIAL ROMSA SERVICIOS SPA</v>
      </c>
      <c r="F843" s="31">
        <v>484092</v>
      </c>
      <c r="G843" s="41" t="s">
        <v>101</v>
      </c>
      <c r="H843" s="26">
        <v>0</v>
      </c>
      <c r="I843" s="21" t="str">
        <f t="shared" si="125"/>
        <v>Contado</v>
      </c>
      <c r="J843" s="22">
        <f t="shared" si="126"/>
        <v>46049</v>
      </c>
      <c r="K843" s="27">
        <f t="shared" ca="1" si="127"/>
        <v>0</v>
      </c>
      <c r="L843" s="23" t="str">
        <f t="shared" si="128"/>
        <v>Pagado</v>
      </c>
      <c r="M843" s="36">
        <f>SUMIFS(Tabla_Pagos[IMPORTE ABONADO],Tabla_Pagos[FECHA DE ABONO],"&gt;0",Tabla_Pagos[NRO DOC],B843)</f>
        <v>484092</v>
      </c>
      <c r="N843" s="36">
        <f t="shared" si="129"/>
        <v>0</v>
      </c>
      <c r="O843" s="22" cm="1">
        <f t="array" ref="O843">MAX(IF((Tabla_Pagos[NRO DOC]=B843)*(Tabla_Pagos[IMPORTE ABONADO]&gt;0),Tabla_Pagos[FECHA DE ABONO]))</f>
        <v>46049</v>
      </c>
    </row>
    <row r="844" spans="2:15" ht="21" customHeight="1" x14ac:dyDescent="0.25">
      <c r="B844" s="39">
        <v>1765</v>
      </c>
      <c r="C844" s="20">
        <v>46050</v>
      </c>
      <c r="D844" s="40" t="s">
        <v>606</v>
      </c>
      <c r="E844" s="37" t="str">
        <f>IFERROR(VLOOKUP(D844,CLIENTES!$B$12:$G$2602,2,FALSE),"")</f>
        <v>PIETRO GIULIANO DIAZ VITALI</v>
      </c>
      <c r="F844" s="31">
        <v>349000</v>
      </c>
      <c r="G844" s="41" t="s">
        <v>101</v>
      </c>
      <c r="H844" s="26">
        <v>0</v>
      </c>
      <c r="I844" s="21" t="str">
        <f t="shared" si="125"/>
        <v>Contado</v>
      </c>
      <c r="J844" s="22">
        <f t="shared" si="126"/>
        <v>46050</v>
      </c>
      <c r="K844" s="27">
        <f t="shared" ca="1" si="127"/>
        <v>0</v>
      </c>
      <c r="L844" s="23" t="str">
        <f t="shared" si="128"/>
        <v>Pagado</v>
      </c>
      <c r="M844" s="36">
        <f>SUMIFS(Tabla_Pagos[IMPORTE ABONADO],Tabla_Pagos[FECHA DE ABONO],"&gt;0",Tabla_Pagos[NRO DOC],B844)</f>
        <v>349000</v>
      </c>
      <c r="N844" s="36">
        <f t="shared" si="129"/>
        <v>0</v>
      </c>
      <c r="O844" s="22" cm="1">
        <f t="array" ref="O844">MAX(IF((Tabla_Pagos[NRO DOC]=B844)*(Tabla_Pagos[IMPORTE ABONADO]&gt;0),Tabla_Pagos[FECHA DE ABONO]))</f>
        <v>46050</v>
      </c>
    </row>
    <row r="845" spans="2:15" ht="21" customHeight="1" x14ac:dyDescent="0.25">
      <c r="B845" s="39">
        <v>1766</v>
      </c>
      <c r="C845" s="20">
        <v>46051</v>
      </c>
      <c r="D845" s="40" t="s">
        <v>37</v>
      </c>
      <c r="E845" s="37" t="str">
        <f>IFERROR(VLOOKUP(D845,CLIENTES!$B$12:$G$2602,2,FALSE),"")</f>
        <v>AILUV SPA</v>
      </c>
      <c r="F845" s="31">
        <v>23800</v>
      </c>
      <c r="G845" s="41" t="s">
        <v>101</v>
      </c>
      <c r="H845" s="26">
        <v>0</v>
      </c>
      <c r="I845" s="21" t="str">
        <f t="shared" si="125"/>
        <v>Contado</v>
      </c>
      <c r="J845" s="22">
        <f t="shared" si="126"/>
        <v>46051</v>
      </c>
      <c r="K845" s="27">
        <f t="shared" ca="1" si="127"/>
        <v>0</v>
      </c>
      <c r="L845" s="23" t="str">
        <f t="shared" si="128"/>
        <v>Pagado</v>
      </c>
      <c r="M845" s="36">
        <f>SUMIFS(Tabla_Pagos[IMPORTE ABONADO],Tabla_Pagos[FECHA DE ABONO],"&gt;0",Tabla_Pagos[NRO DOC],B845)</f>
        <v>23800</v>
      </c>
      <c r="N845" s="36">
        <f t="shared" si="129"/>
        <v>0</v>
      </c>
      <c r="O845" s="22" cm="1">
        <f t="array" ref="O845">MAX(IF((Tabla_Pagos[NRO DOC]=B845)*(Tabla_Pagos[IMPORTE ABONADO]&gt;0),Tabla_Pagos[FECHA DE ABONO]))</f>
        <v>46051</v>
      </c>
    </row>
    <row r="846" spans="2:15" ht="21" customHeight="1" x14ac:dyDescent="0.25">
      <c r="B846" s="39">
        <v>1767</v>
      </c>
      <c r="C846" s="20">
        <v>46051</v>
      </c>
      <c r="D846" s="40" t="s">
        <v>379</v>
      </c>
      <c r="E846" s="37" t="str">
        <f>IFERROR(VLOOKUP(D846,CLIENTES!$B$12:$G$2602,2,FALSE),"")</f>
        <v>GRANDLEASING SPA</v>
      </c>
      <c r="F846" s="31">
        <v>29631</v>
      </c>
      <c r="G846" s="41" t="s">
        <v>101</v>
      </c>
      <c r="H846" s="26">
        <v>30</v>
      </c>
      <c r="I846" s="21" t="str">
        <f t="shared" si="125"/>
        <v>Crédito</v>
      </c>
      <c r="J846" s="22">
        <f t="shared" si="126"/>
        <v>46081</v>
      </c>
      <c r="K846" s="27">
        <f t="shared" ca="1" si="127"/>
        <v>0</v>
      </c>
      <c r="L846" s="23" t="str">
        <f t="shared" si="128"/>
        <v>Pagado</v>
      </c>
      <c r="M846" s="36">
        <f>SUMIFS(Tabla_Pagos[IMPORTE ABONADO],Tabla_Pagos[FECHA DE ABONO],"&gt;0",Tabla_Pagos[NRO DOC],B846)</f>
        <v>29631</v>
      </c>
      <c r="N846" s="36">
        <f t="shared" si="129"/>
        <v>0</v>
      </c>
      <c r="O846" s="22" cm="1">
        <f t="array" ref="O846">MAX(IF((Tabla_Pagos[NRO DOC]=B846)*(Tabla_Pagos[IMPORTE ABONADO]&gt;0),Tabla_Pagos[FECHA DE ABONO]))</f>
        <v>46076</v>
      </c>
    </row>
    <row r="847" spans="2:15" ht="21" customHeight="1" x14ac:dyDescent="0.25">
      <c r="B847" s="39">
        <v>1768</v>
      </c>
      <c r="C847" s="20">
        <v>46051</v>
      </c>
      <c r="D847" s="40" t="s">
        <v>687</v>
      </c>
      <c r="E847" s="37" t="str">
        <f>IFERROR(VLOOKUP(D847,CLIENTES!$B$12:$G$2602,2,FALSE),"")</f>
        <v>SOCIEDAD COMERCIAL ROMSA SERVICIOS SPA</v>
      </c>
      <c r="F847" s="31">
        <v>102459</v>
      </c>
      <c r="G847" s="41" t="s">
        <v>101</v>
      </c>
      <c r="H847" s="26">
        <v>0</v>
      </c>
      <c r="I847" s="21" t="str">
        <f t="shared" si="125"/>
        <v>Contado</v>
      </c>
      <c r="J847" s="22">
        <f t="shared" si="126"/>
        <v>46051</v>
      </c>
      <c r="K847" s="27">
        <f t="shared" ca="1" si="127"/>
        <v>0</v>
      </c>
      <c r="L847" s="23" t="str">
        <f t="shared" si="128"/>
        <v>Pagado</v>
      </c>
      <c r="M847" s="36">
        <f>SUMIFS(Tabla_Pagos[IMPORTE ABONADO],Tabla_Pagos[FECHA DE ABONO],"&gt;0",Tabla_Pagos[NRO DOC],B847)</f>
        <v>102459</v>
      </c>
      <c r="N847" s="36">
        <f t="shared" si="129"/>
        <v>0</v>
      </c>
      <c r="O847" s="22" cm="1">
        <f t="array" ref="O847">MAX(IF((Tabla_Pagos[NRO DOC]=B847)*(Tabla_Pagos[IMPORTE ABONADO]&gt;0),Tabla_Pagos[FECHA DE ABONO]))</f>
        <v>46051</v>
      </c>
    </row>
    <row r="848" spans="2:15" ht="21" customHeight="1" x14ac:dyDescent="0.25">
      <c r="B848" s="39">
        <v>1769</v>
      </c>
      <c r="C848" s="20">
        <v>46051</v>
      </c>
      <c r="D848" s="40" t="s">
        <v>485</v>
      </c>
      <c r="E848" s="37" t="str">
        <f>IFERROR(VLOOKUP(D848,CLIENTES!$B$12:$G$2602,2,FALSE),"")</f>
        <v>SAN RAFAEL INGENIERIA Y  SERVICIOS LIMITADA</v>
      </c>
      <c r="F848" s="31">
        <v>399840</v>
      </c>
      <c r="G848" s="41" t="s">
        <v>101</v>
      </c>
      <c r="H848" s="26">
        <v>30</v>
      </c>
      <c r="I848" s="21" t="str">
        <f t="shared" si="125"/>
        <v>Crédito</v>
      </c>
      <c r="J848" s="22">
        <f t="shared" si="126"/>
        <v>46081</v>
      </c>
      <c r="K848" s="27">
        <f t="shared" ca="1" si="127"/>
        <v>0</v>
      </c>
      <c r="L848" s="23" t="str">
        <f t="shared" si="128"/>
        <v>Pagado</v>
      </c>
      <c r="M848" s="36">
        <f>SUMIFS(Tabla_Pagos[IMPORTE ABONADO],Tabla_Pagos[FECHA DE ABONO],"&gt;0",Tabla_Pagos[NRO DOC],B848)</f>
        <v>399840</v>
      </c>
      <c r="N848" s="36">
        <f t="shared" si="129"/>
        <v>0</v>
      </c>
      <c r="O848" s="22" cm="1">
        <f t="array" ref="O848">MAX(IF((Tabla_Pagos[NRO DOC]=B848)*(Tabla_Pagos[IMPORTE ABONADO]&gt;0),Tabla_Pagos[FECHA DE ABONO]))</f>
        <v>46086</v>
      </c>
    </row>
    <row r="849" spans="2:15" ht="21" customHeight="1" x14ac:dyDescent="0.25">
      <c r="B849" s="39">
        <v>1770</v>
      </c>
      <c r="C849" s="20">
        <v>46051</v>
      </c>
      <c r="D849" s="40" t="s">
        <v>485</v>
      </c>
      <c r="E849" s="37" t="str">
        <f>IFERROR(VLOOKUP(D849,CLIENTES!$B$12:$G$2602,2,FALSE),"")</f>
        <v>SAN RAFAEL INGENIERIA Y  SERVICIOS LIMITADA</v>
      </c>
      <c r="F849" s="31">
        <v>349622</v>
      </c>
      <c r="G849" s="41" t="s">
        <v>101</v>
      </c>
      <c r="H849" s="26">
        <v>30</v>
      </c>
      <c r="I849" s="21" t="str">
        <f t="shared" si="125"/>
        <v>Crédito</v>
      </c>
      <c r="J849" s="22">
        <f t="shared" si="126"/>
        <v>46081</v>
      </c>
      <c r="K849" s="27">
        <f t="shared" ca="1" si="127"/>
        <v>0</v>
      </c>
      <c r="L849" s="23" t="str">
        <f t="shared" si="128"/>
        <v>Pagado</v>
      </c>
      <c r="M849" s="36">
        <f>SUMIFS(Tabla_Pagos[IMPORTE ABONADO],Tabla_Pagos[FECHA DE ABONO],"&gt;0",Tabla_Pagos[NRO DOC],B849)</f>
        <v>349622</v>
      </c>
      <c r="N849" s="36">
        <f t="shared" si="129"/>
        <v>0</v>
      </c>
      <c r="O849" s="22" cm="1">
        <f t="array" ref="O849">MAX(IF((Tabla_Pagos[NRO DOC]=B849)*(Tabla_Pagos[IMPORTE ABONADO]&gt;0),Tabla_Pagos[FECHA DE ABONO]))</f>
        <v>46086</v>
      </c>
    </row>
    <row r="850" spans="2:15" ht="21" customHeight="1" x14ac:dyDescent="0.25">
      <c r="B850" s="39">
        <v>1771</v>
      </c>
      <c r="C850" s="20">
        <v>46051</v>
      </c>
      <c r="D850" s="40" t="s">
        <v>688</v>
      </c>
      <c r="E850" s="37" t="str">
        <f>IFERROR(VLOOKUP(D850,CLIENTES!$B$12:$G$2602,2,FALSE),"")</f>
        <v>COMPANIA DE SERVICIOS INDUSTRIALES LIMITADA</v>
      </c>
      <c r="F850" s="31">
        <v>77350</v>
      </c>
      <c r="G850" s="41" t="s">
        <v>101</v>
      </c>
      <c r="H850" s="26">
        <v>30</v>
      </c>
      <c r="I850" s="21" t="str">
        <f t="shared" si="125"/>
        <v>Crédito</v>
      </c>
      <c r="J850" s="22">
        <f t="shared" si="126"/>
        <v>46081</v>
      </c>
      <c r="K850" s="27">
        <f t="shared" ca="1" si="127"/>
        <v>0</v>
      </c>
      <c r="L850" s="23" t="str">
        <f t="shared" si="128"/>
        <v>Pagado</v>
      </c>
      <c r="M850" s="36">
        <f>SUMIFS(Tabla_Pagos[IMPORTE ABONADO],Tabla_Pagos[FECHA DE ABONO],"&gt;0",Tabla_Pagos[NRO DOC],B850)</f>
        <v>77350</v>
      </c>
      <c r="N850" s="36">
        <f t="shared" si="129"/>
        <v>0</v>
      </c>
      <c r="O850" s="22" cm="1">
        <f t="array" ref="O850">MAX(IF((Tabla_Pagos[NRO DOC]=B850)*(Tabla_Pagos[IMPORTE ABONADO]&gt;0),Tabla_Pagos[FECHA DE ABONO]))</f>
        <v>46080</v>
      </c>
    </row>
    <row r="851" spans="2:15" ht="21" customHeight="1" x14ac:dyDescent="0.25">
      <c r="B851" s="39">
        <v>1772</v>
      </c>
      <c r="C851" s="20">
        <v>46052</v>
      </c>
      <c r="D851" s="40" t="s">
        <v>485</v>
      </c>
      <c r="E851" s="37" t="str">
        <f>IFERROR(VLOOKUP(D851,CLIENTES!$B$12:$G$2602,2,FALSE),"")</f>
        <v>SAN RAFAEL INGENIERIA Y  SERVICIOS LIMITADA</v>
      </c>
      <c r="F851" s="31">
        <v>237000</v>
      </c>
      <c r="G851" s="41" t="s">
        <v>101</v>
      </c>
      <c r="H851" s="26">
        <v>30</v>
      </c>
      <c r="I851" s="21" t="str">
        <f>IF(H851="","",IF(H851=0,"Contado","Crédito"))</f>
        <v>Crédito</v>
      </c>
      <c r="J851" s="22">
        <f>IF(I851="","",C851+H851)</f>
        <v>46082</v>
      </c>
      <c r="K851" s="27">
        <f ca="1">IFERROR(IF(B851="","",IF(N851=0,0,J851-TODAY())),"")</f>
        <v>0</v>
      </c>
      <c r="L851" s="23" t="str">
        <f>IF(I851="","",IF(N851=0,"Pagado",IF(K851&lt;0,"Vencido","No vencido")))</f>
        <v>Pagado</v>
      </c>
      <c r="M851" s="36">
        <f>SUMIFS(Tabla_Pagos[IMPORTE ABONADO],Tabla_Pagos[FECHA DE ABONO],"&gt;0",Tabla_Pagos[NRO DOC],B851)</f>
        <v>237000</v>
      </c>
      <c r="N851" s="36">
        <f>F851-M851</f>
        <v>0</v>
      </c>
      <c r="O851" s="22" cm="1">
        <f t="array" ref="O851">MAX(IF((Tabla_Pagos[NRO DOC]=B851)*(Tabla_Pagos[IMPORTE ABONADO]&gt;0),Tabla_Pagos[FECHA DE ABONO]))</f>
        <v>46086</v>
      </c>
    </row>
    <row r="852" spans="2:15" ht="21" customHeight="1" x14ac:dyDescent="0.25">
      <c r="B852" s="39">
        <v>1773</v>
      </c>
      <c r="C852" s="20">
        <v>46055</v>
      </c>
      <c r="D852" s="40" t="s">
        <v>171</v>
      </c>
      <c r="E852" s="37" t="str">
        <f>IFERROR(VLOOKUP(D852,CLIENTES!$B$12:$G$2602,2,FALSE),"")</f>
        <v>EDWIN HOLVOET Y COMPANIA LIMITADA</v>
      </c>
      <c r="F852" s="31">
        <v>128520</v>
      </c>
      <c r="G852" s="41" t="s">
        <v>101</v>
      </c>
      <c r="H852" s="26">
        <v>0</v>
      </c>
      <c r="I852" s="21" t="str">
        <f>IF(H852="","",IF(H852=0,"Contado","Crédito"))</f>
        <v>Contado</v>
      </c>
      <c r="J852" s="22">
        <f>IF(I852="","",C852+H852)</f>
        <v>46055</v>
      </c>
      <c r="K852" s="27">
        <f ca="1">IFERROR(IF(B852="","",IF(N852=0,0,J852-TODAY())),"")</f>
        <v>0</v>
      </c>
      <c r="L852" s="23" t="str">
        <f>IF(I852="","",IF(N852=0,"Pagado",IF(K852&lt;0,"Vencido","No vencido")))</f>
        <v>Pagado</v>
      </c>
      <c r="M852" s="36">
        <f>SUMIFS(Tabla_Pagos[IMPORTE ABONADO],Tabla_Pagos[FECHA DE ABONO],"&gt;0",Tabla_Pagos[NRO DOC],B852)</f>
        <v>128520</v>
      </c>
      <c r="N852" s="36">
        <f>F852-M852</f>
        <v>0</v>
      </c>
      <c r="O852" s="22" cm="1">
        <f t="array" ref="O852">MAX(IF((Tabla_Pagos[NRO DOC]=B852)*(Tabla_Pagos[IMPORTE ABONADO]&gt;0),Tabla_Pagos[FECHA DE ABONO]))</f>
        <v>46055</v>
      </c>
    </row>
    <row r="853" spans="2:15" ht="21" customHeight="1" x14ac:dyDescent="0.25">
      <c r="B853" s="39">
        <v>1774</v>
      </c>
      <c r="C853" s="20">
        <v>46056</v>
      </c>
      <c r="D853" s="40" t="s">
        <v>693</v>
      </c>
      <c r="E853" s="37" t="str">
        <f>IFERROR(VLOOKUP(D853,CLIENTES!$B$12:$G$2602,2,FALSE),"")</f>
        <v>ARAYA CORTÃ‰S SOLUCIONES EMPRESARIALES SINÃ‰RGICAS SPA</v>
      </c>
      <c r="F853" s="31">
        <v>160000</v>
      </c>
      <c r="G853" s="41" t="s">
        <v>101</v>
      </c>
      <c r="H853" s="26">
        <v>0</v>
      </c>
      <c r="I853" s="21" t="str">
        <f t="shared" ref="I853:I892" si="130">IF(H853="","",IF(H853=0,"Contado","Crédito"))</f>
        <v>Contado</v>
      </c>
      <c r="J853" s="22">
        <f t="shared" ref="J853:J892" si="131">IF(I853="","",C853+H853)</f>
        <v>46056</v>
      </c>
      <c r="K853" s="27">
        <f t="shared" ref="K853:K892" ca="1" si="132">IFERROR(IF(B853="","",IF(N853=0,0,J853-TODAY())),"")</f>
        <v>0</v>
      </c>
      <c r="L853" s="23" t="str">
        <f t="shared" ref="L853:L892" si="133">IF(I853="","",IF(N853=0,"Pagado",IF(K853&lt;0,"Vencido","No vencido")))</f>
        <v>Pagado</v>
      </c>
      <c r="M853" s="36">
        <f>SUMIFS(Tabla_Pagos[IMPORTE ABONADO],Tabla_Pagos[FECHA DE ABONO],"&gt;0",Tabla_Pagos[NRO DOC],B853)</f>
        <v>160000</v>
      </c>
      <c r="N853" s="36">
        <f t="shared" ref="N853:N892" si="134">F853-M853</f>
        <v>0</v>
      </c>
      <c r="O853" s="22" cm="1">
        <f t="array" ref="O853">MAX(IF((Tabla_Pagos[NRO DOC]=B853)*(Tabla_Pagos[IMPORTE ABONADO]&gt;0),Tabla_Pagos[FECHA DE ABONO]))</f>
        <v>46056</v>
      </c>
    </row>
    <row r="854" spans="2:15" ht="21" customHeight="1" x14ac:dyDescent="0.25">
      <c r="B854" s="39">
        <v>1775</v>
      </c>
      <c r="C854" s="20">
        <v>46056</v>
      </c>
      <c r="D854" s="40" t="s">
        <v>417</v>
      </c>
      <c r="E854" s="37" t="str">
        <f>IFERROR(VLOOKUP(D854,CLIENTES!$B$12:$G$2602,2,FALSE),"")</f>
        <v>INGENIERIA HIDRAULICA LIMITADA</v>
      </c>
      <c r="F854" s="31">
        <v>226100</v>
      </c>
      <c r="G854" s="41" t="s">
        <v>101</v>
      </c>
      <c r="H854" s="26">
        <v>0</v>
      </c>
      <c r="I854" s="21" t="str">
        <f t="shared" si="130"/>
        <v>Contado</v>
      </c>
      <c r="J854" s="22">
        <f t="shared" si="131"/>
        <v>46056</v>
      </c>
      <c r="K854" s="27">
        <f t="shared" ca="1" si="132"/>
        <v>0</v>
      </c>
      <c r="L854" s="23" t="str">
        <f t="shared" si="133"/>
        <v>Pagado</v>
      </c>
      <c r="M854" s="36">
        <f>SUMIFS(Tabla_Pagos[IMPORTE ABONADO],Tabla_Pagos[FECHA DE ABONO],"&gt;0",Tabla_Pagos[NRO DOC],B854)</f>
        <v>226100</v>
      </c>
      <c r="N854" s="36">
        <f t="shared" si="134"/>
        <v>0</v>
      </c>
      <c r="O854" s="22" cm="1">
        <f t="array" ref="O854">MAX(IF((Tabla_Pagos[NRO DOC]=B854)*(Tabla_Pagos[IMPORTE ABONADO]&gt;0),Tabla_Pagos[FECHA DE ABONO]))</f>
        <v>46056</v>
      </c>
    </row>
    <row r="855" spans="2:15" ht="21" customHeight="1" x14ac:dyDescent="0.25">
      <c r="B855" s="39">
        <v>1776</v>
      </c>
      <c r="C855" s="20">
        <v>46057</v>
      </c>
      <c r="D855" s="40" t="s">
        <v>694</v>
      </c>
      <c r="E855" s="37" t="str">
        <f>IFERROR(VLOOKUP(D855,CLIENTES!$B$12:$G$2602,2,FALSE),"")</f>
        <v>SOCIEDAD COMERCIAL GALLEGUILLOS Y GALLEGUILLOS REPUESTOS LIMITADA</v>
      </c>
      <c r="F855" s="31">
        <v>63999</v>
      </c>
      <c r="G855" s="41" t="s">
        <v>101</v>
      </c>
      <c r="H855" s="26">
        <v>0</v>
      </c>
      <c r="I855" s="21" t="str">
        <f t="shared" si="130"/>
        <v>Contado</v>
      </c>
      <c r="J855" s="22">
        <f t="shared" si="131"/>
        <v>46057</v>
      </c>
      <c r="K855" s="27">
        <f t="shared" ca="1" si="132"/>
        <v>0</v>
      </c>
      <c r="L855" s="23" t="str">
        <f t="shared" si="133"/>
        <v>Pagado</v>
      </c>
      <c r="M855" s="36">
        <f>SUMIFS(Tabla_Pagos[IMPORTE ABONADO],Tabla_Pagos[FECHA DE ABONO],"&gt;0",Tabla_Pagos[NRO DOC],B855)</f>
        <v>63999</v>
      </c>
      <c r="N855" s="36">
        <f t="shared" si="134"/>
        <v>0</v>
      </c>
      <c r="O855" s="22" cm="1">
        <f t="array" ref="O855">MAX(IF((Tabla_Pagos[NRO DOC]=B855)*(Tabla_Pagos[IMPORTE ABONADO]&gt;0),Tabla_Pagos[FECHA DE ABONO]))</f>
        <v>46057</v>
      </c>
    </row>
    <row r="856" spans="2:15" ht="21" customHeight="1" x14ac:dyDescent="0.25">
      <c r="B856" s="39">
        <v>1777</v>
      </c>
      <c r="C856" s="20">
        <v>46058</v>
      </c>
      <c r="D856" s="40" t="s">
        <v>687</v>
      </c>
      <c r="E856" s="37" t="str">
        <f>IFERROR(VLOOKUP(D856,CLIENTES!$B$12:$G$2602,2,FALSE),"")</f>
        <v>SOCIEDAD COMERCIAL ROMSA SERVICIOS SPA</v>
      </c>
      <c r="F856" s="31">
        <v>222530</v>
      </c>
      <c r="G856" s="41" t="s">
        <v>101</v>
      </c>
      <c r="H856" s="26">
        <v>0</v>
      </c>
      <c r="I856" s="21" t="str">
        <f t="shared" si="130"/>
        <v>Contado</v>
      </c>
      <c r="J856" s="22">
        <f t="shared" si="131"/>
        <v>46058</v>
      </c>
      <c r="K856" s="27">
        <f t="shared" ca="1" si="132"/>
        <v>0</v>
      </c>
      <c r="L856" s="23" t="str">
        <f t="shared" si="133"/>
        <v>Pagado</v>
      </c>
      <c r="M856" s="36">
        <f>SUMIFS(Tabla_Pagos[IMPORTE ABONADO],Tabla_Pagos[FECHA DE ABONO],"&gt;0",Tabla_Pagos[NRO DOC],B856)</f>
        <v>222530</v>
      </c>
      <c r="N856" s="36">
        <f t="shared" si="134"/>
        <v>0</v>
      </c>
      <c r="O856" s="22" cm="1">
        <f t="array" ref="O856">MAX(IF((Tabla_Pagos[NRO DOC]=B856)*(Tabla_Pagos[IMPORTE ABONADO]&gt;0),Tabla_Pagos[FECHA DE ABONO]))</f>
        <v>46058</v>
      </c>
    </row>
    <row r="857" spans="2:15" ht="21" customHeight="1" x14ac:dyDescent="0.25">
      <c r="B857" s="39">
        <v>1778</v>
      </c>
      <c r="C857" s="20">
        <v>46058</v>
      </c>
      <c r="D857" s="40" t="s">
        <v>170</v>
      </c>
      <c r="E857" s="37" t="str">
        <f>IFERROR(VLOOKUP(D857,CLIENTES!$B$12:$G$2602,2,FALSE),"")</f>
        <v>RAMON ANGEL RIQUELME OLIVARES</v>
      </c>
      <c r="F857" s="31">
        <v>179690</v>
      </c>
      <c r="G857" s="41" t="s">
        <v>101</v>
      </c>
      <c r="H857" s="26">
        <v>0</v>
      </c>
      <c r="I857" s="21" t="str">
        <f t="shared" si="130"/>
        <v>Contado</v>
      </c>
      <c r="J857" s="22">
        <f t="shared" si="131"/>
        <v>46058</v>
      </c>
      <c r="K857" s="27">
        <f t="shared" ca="1" si="132"/>
        <v>0</v>
      </c>
      <c r="L857" s="23" t="str">
        <f t="shared" si="133"/>
        <v>Pagado</v>
      </c>
      <c r="M857" s="36">
        <f>SUMIFS(Tabla_Pagos[IMPORTE ABONADO],Tabla_Pagos[FECHA DE ABONO],"&gt;0",Tabla_Pagos[NRO DOC],B857)</f>
        <v>179690</v>
      </c>
      <c r="N857" s="36">
        <f t="shared" si="134"/>
        <v>0</v>
      </c>
      <c r="O857" s="22" cm="1">
        <f t="array" ref="O857">MAX(IF((Tabla_Pagos[NRO DOC]=B857)*(Tabla_Pagos[IMPORTE ABONADO]&gt;0),Tabla_Pagos[FECHA DE ABONO]))</f>
        <v>46058</v>
      </c>
    </row>
    <row r="858" spans="2:15" ht="21" customHeight="1" x14ac:dyDescent="0.25">
      <c r="B858" s="39">
        <v>1779</v>
      </c>
      <c r="C858" s="20">
        <v>46058</v>
      </c>
      <c r="D858" s="40" t="s">
        <v>688</v>
      </c>
      <c r="E858" s="37" t="str">
        <f>IFERROR(VLOOKUP(D858,CLIENTES!$B$12:$G$2602,2,FALSE),"")</f>
        <v>COMPANIA DE SERVICIOS INDUSTRIALES LIMITADA</v>
      </c>
      <c r="F858" s="31">
        <v>696150</v>
      </c>
      <c r="G858" s="41" t="s">
        <v>101</v>
      </c>
      <c r="H858" s="26">
        <v>30</v>
      </c>
      <c r="I858" s="21" t="str">
        <f t="shared" si="130"/>
        <v>Crédito</v>
      </c>
      <c r="J858" s="22">
        <f t="shared" si="131"/>
        <v>46088</v>
      </c>
      <c r="K858" s="27">
        <f t="shared" ca="1" si="132"/>
        <v>0</v>
      </c>
      <c r="L858" s="23" t="str">
        <f t="shared" si="133"/>
        <v>Pagado</v>
      </c>
      <c r="M858" s="36">
        <f>SUMIFS(Tabla_Pagos[IMPORTE ABONADO],Tabla_Pagos[FECHA DE ABONO],"&gt;0",Tabla_Pagos[NRO DOC],B858)</f>
        <v>696150</v>
      </c>
      <c r="N858" s="36">
        <f t="shared" si="134"/>
        <v>0</v>
      </c>
      <c r="O858" s="22" cm="1">
        <f t="array" ref="O858">MAX(IF((Tabla_Pagos[NRO DOC]=B858)*(Tabla_Pagos[IMPORTE ABONADO]&gt;0),Tabla_Pagos[FECHA DE ABONO]))</f>
        <v>46087</v>
      </c>
    </row>
    <row r="859" spans="2:15" ht="21" customHeight="1" x14ac:dyDescent="0.25">
      <c r="B859" s="39">
        <v>1780</v>
      </c>
      <c r="C859" s="20">
        <v>46058</v>
      </c>
      <c r="D859" s="40" t="s">
        <v>688</v>
      </c>
      <c r="E859" s="37" t="str">
        <f>IFERROR(VLOOKUP(D859,CLIENTES!$B$12:$G$2602,2,FALSE),"")</f>
        <v>COMPANIA DE SERVICIOS INDUSTRIALES LIMITADA</v>
      </c>
      <c r="F859" s="31">
        <v>3145170</v>
      </c>
      <c r="G859" s="41" t="s">
        <v>101</v>
      </c>
      <c r="H859" s="26">
        <v>30</v>
      </c>
      <c r="I859" s="21" t="str">
        <f t="shared" si="130"/>
        <v>Crédito</v>
      </c>
      <c r="J859" s="22">
        <f t="shared" si="131"/>
        <v>46088</v>
      </c>
      <c r="K859" s="27">
        <f t="shared" ca="1" si="132"/>
        <v>0</v>
      </c>
      <c r="L859" s="23" t="str">
        <f t="shared" si="133"/>
        <v>Pagado</v>
      </c>
      <c r="M859" s="36">
        <f>SUMIFS(Tabla_Pagos[IMPORTE ABONADO],Tabla_Pagos[FECHA DE ABONO],"&gt;0",Tabla_Pagos[NRO DOC],B859)</f>
        <v>3145170</v>
      </c>
      <c r="N859" s="36">
        <f t="shared" si="134"/>
        <v>0</v>
      </c>
      <c r="O859" s="22" cm="1">
        <f t="array" ref="O859">MAX(IF((Tabla_Pagos[NRO DOC]=B859)*(Tabla_Pagos[IMPORTE ABONADO]&gt;0),Tabla_Pagos[FECHA DE ABONO]))</f>
        <v>46087</v>
      </c>
    </row>
    <row r="860" spans="2:15" ht="21" customHeight="1" x14ac:dyDescent="0.25">
      <c r="B860" s="39">
        <v>1781</v>
      </c>
      <c r="C860" s="20">
        <v>46058</v>
      </c>
      <c r="D860" s="40" t="s">
        <v>240</v>
      </c>
      <c r="E860" s="37" t="str">
        <f>IFERROR(VLOOKUP(D860,CLIENTES!$B$12:$G$2602,2,FALSE),"")</f>
        <v>SOCIEDAD DE INVERSIONES SAN ALONSO SPA</v>
      </c>
      <c r="F860" s="31">
        <v>416500</v>
      </c>
      <c r="G860" s="41" t="s">
        <v>101</v>
      </c>
      <c r="H860" s="26">
        <v>0</v>
      </c>
      <c r="I860" s="21" t="str">
        <f t="shared" si="130"/>
        <v>Contado</v>
      </c>
      <c r="J860" s="22">
        <f t="shared" si="131"/>
        <v>46058</v>
      </c>
      <c r="K860" s="27">
        <f t="shared" ca="1" si="132"/>
        <v>0</v>
      </c>
      <c r="L860" s="23" t="str">
        <f t="shared" si="133"/>
        <v>Pagado</v>
      </c>
      <c r="M860" s="36">
        <f>SUMIFS(Tabla_Pagos[IMPORTE ABONADO],Tabla_Pagos[FECHA DE ABONO],"&gt;0",Tabla_Pagos[NRO DOC],B860)</f>
        <v>416500</v>
      </c>
      <c r="N860" s="36">
        <f t="shared" si="134"/>
        <v>0</v>
      </c>
      <c r="O860" s="22" cm="1">
        <f t="array" ref="O860">MAX(IF((Tabla_Pagos[NRO DOC]=B860)*(Tabla_Pagos[IMPORTE ABONADO]&gt;0),Tabla_Pagos[FECHA DE ABONO]))</f>
        <v>46058</v>
      </c>
    </row>
    <row r="861" spans="2:15" ht="21" customHeight="1" x14ac:dyDescent="0.25">
      <c r="B861" s="39">
        <v>1782</v>
      </c>
      <c r="C861" s="20">
        <v>46059</v>
      </c>
      <c r="D861" s="40" t="s">
        <v>538</v>
      </c>
      <c r="E861" s="37" t="str">
        <f>IFERROR(VLOOKUP(D861,CLIENTES!$B$12:$G$2602,2,FALSE),"")</f>
        <v>ATACAMA TECH SPA</v>
      </c>
      <c r="F861" s="31">
        <v>41650</v>
      </c>
      <c r="G861" s="41" t="s">
        <v>101</v>
      </c>
      <c r="H861" s="26">
        <v>0</v>
      </c>
      <c r="I861" s="21" t="str">
        <f t="shared" si="130"/>
        <v>Contado</v>
      </c>
      <c r="J861" s="22">
        <f t="shared" si="131"/>
        <v>46059</v>
      </c>
      <c r="K861" s="27">
        <f t="shared" ca="1" si="132"/>
        <v>0</v>
      </c>
      <c r="L861" s="23" t="str">
        <f t="shared" si="133"/>
        <v>Pagado</v>
      </c>
      <c r="M861" s="36">
        <f>SUMIFS(Tabla_Pagos[IMPORTE ABONADO],Tabla_Pagos[FECHA DE ABONO],"&gt;0",Tabla_Pagos[NRO DOC],B861)</f>
        <v>41650</v>
      </c>
      <c r="N861" s="36">
        <f t="shared" si="134"/>
        <v>0</v>
      </c>
      <c r="O861" s="22" cm="1">
        <f t="array" ref="O861">MAX(IF((Tabla_Pagos[NRO DOC]=B861)*(Tabla_Pagos[IMPORTE ABONADO]&gt;0),Tabla_Pagos[FECHA DE ABONO]))</f>
        <v>46059</v>
      </c>
    </row>
    <row r="862" spans="2:15" ht="21" customHeight="1" x14ac:dyDescent="0.25">
      <c r="B862" s="39">
        <v>1783</v>
      </c>
      <c r="C862" s="20">
        <v>46059</v>
      </c>
      <c r="D862" s="40" t="s">
        <v>621</v>
      </c>
      <c r="E862" s="37" t="str">
        <f>IFERROR(VLOOKUP(D862,CLIENTES!$B$12:$G$2602,2,FALSE),"")</f>
        <v>SERVICIOS DE INGENIERÃA Y CONSTRUCCIÃ“N PIÃ‘ONES  LIMITADA</v>
      </c>
      <c r="F862" s="31">
        <v>345100</v>
      </c>
      <c r="G862" s="41" t="s">
        <v>101</v>
      </c>
      <c r="H862" s="26">
        <v>0</v>
      </c>
      <c r="I862" s="21" t="str">
        <f t="shared" si="130"/>
        <v>Contado</v>
      </c>
      <c r="J862" s="22">
        <f t="shared" si="131"/>
        <v>46059</v>
      </c>
      <c r="K862" s="27">
        <f t="shared" ca="1" si="132"/>
        <v>0</v>
      </c>
      <c r="L862" s="23" t="str">
        <f t="shared" si="133"/>
        <v>Pagado</v>
      </c>
      <c r="M862" s="36">
        <f>SUMIFS(Tabla_Pagos[IMPORTE ABONADO],Tabla_Pagos[FECHA DE ABONO],"&gt;0",Tabla_Pagos[NRO DOC],B862)</f>
        <v>345100</v>
      </c>
      <c r="N862" s="36">
        <f t="shared" si="134"/>
        <v>0</v>
      </c>
      <c r="O862" s="22" cm="1">
        <f t="array" ref="O862">MAX(IF((Tabla_Pagos[NRO DOC]=B862)*(Tabla_Pagos[IMPORTE ABONADO]&gt;0),Tabla_Pagos[FECHA DE ABONO]))</f>
        <v>46059</v>
      </c>
    </row>
    <row r="863" spans="2:15" ht="21" customHeight="1" x14ac:dyDescent="0.25">
      <c r="B863" s="39">
        <v>1784</v>
      </c>
      <c r="C863" s="20">
        <v>46062</v>
      </c>
      <c r="D863" s="40" t="s">
        <v>142</v>
      </c>
      <c r="E863" s="37" t="str">
        <f>IFERROR(VLOOKUP(D863,CLIENTES!$B$12:$G$2602,2,FALSE),"")</f>
        <v>INGENIERIA PD GROUP LIMITADA</v>
      </c>
      <c r="F863" s="31">
        <v>17850</v>
      </c>
      <c r="G863" s="41" t="s">
        <v>101</v>
      </c>
      <c r="H863" s="26">
        <v>0</v>
      </c>
      <c r="I863" s="21" t="str">
        <f t="shared" si="130"/>
        <v>Contado</v>
      </c>
      <c r="J863" s="22">
        <f t="shared" si="131"/>
        <v>46062</v>
      </c>
      <c r="K863" s="27">
        <f t="shared" ca="1" si="132"/>
        <v>0</v>
      </c>
      <c r="L863" s="23" t="str">
        <f t="shared" si="133"/>
        <v>Pagado</v>
      </c>
      <c r="M863" s="36">
        <f>SUMIFS(Tabla_Pagos[IMPORTE ABONADO],Tabla_Pagos[FECHA DE ABONO],"&gt;0",Tabla_Pagos[NRO DOC],B863)</f>
        <v>17850</v>
      </c>
      <c r="N863" s="36">
        <f t="shared" si="134"/>
        <v>0</v>
      </c>
      <c r="O863" s="22" cm="1">
        <f t="array" ref="O863">MAX(IF((Tabla_Pagos[NRO DOC]=B863)*(Tabla_Pagos[IMPORTE ABONADO]&gt;0),Tabla_Pagos[FECHA DE ABONO]))</f>
        <v>46062</v>
      </c>
    </row>
    <row r="864" spans="2:15" ht="21" customHeight="1" x14ac:dyDescent="0.25">
      <c r="B864" s="39">
        <v>1785</v>
      </c>
      <c r="C864" s="20">
        <v>46062</v>
      </c>
      <c r="D864" s="40" t="s">
        <v>695</v>
      </c>
      <c r="E864" s="37" t="str">
        <f>IFERROR(VLOOKUP(D864,CLIENTES!$B$12:$G$2602,2,FALSE),"")</f>
        <v>BESALCO CONSTRUCCIONES S.A.</v>
      </c>
      <c r="F864" s="31">
        <v>523600</v>
      </c>
      <c r="G864" s="41" t="s">
        <v>101</v>
      </c>
      <c r="H864" s="26">
        <v>0</v>
      </c>
      <c r="I864" s="21" t="str">
        <f t="shared" si="130"/>
        <v>Contado</v>
      </c>
      <c r="J864" s="22">
        <f t="shared" si="131"/>
        <v>46062</v>
      </c>
      <c r="K864" s="27">
        <f t="shared" ca="1" si="132"/>
        <v>0</v>
      </c>
      <c r="L864" s="23" t="str">
        <f t="shared" si="133"/>
        <v>Pagado</v>
      </c>
      <c r="M864" s="36">
        <f>SUMIFS(Tabla_Pagos[IMPORTE ABONADO],Tabla_Pagos[FECHA DE ABONO],"&gt;0",Tabla_Pagos[NRO DOC],B864)</f>
        <v>523600</v>
      </c>
      <c r="N864" s="36">
        <f t="shared" si="134"/>
        <v>0</v>
      </c>
      <c r="O864" s="22" cm="1">
        <f t="array" ref="O864">MAX(IF((Tabla_Pagos[NRO DOC]=B864)*(Tabla_Pagos[IMPORTE ABONADO]&gt;0),Tabla_Pagos[FECHA DE ABONO]))</f>
        <v>46062</v>
      </c>
    </row>
    <row r="865" spans="2:15" ht="21" customHeight="1" x14ac:dyDescent="0.25">
      <c r="B865" s="39">
        <v>1786</v>
      </c>
      <c r="C865" s="20">
        <v>46062</v>
      </c>
      <c r="D865" s="40" t="s">
        <v>695</v>
      </c>
      <c r="E865" s="37" t="str">
        <f>IFERROR(VLOOKUP(D865,CLIENTES!$B$12:$G$2602,2,FALSE),"")</f>
        <v>BESALCO CONSTRUCCIONES S.A.</v>
      </c>
      <c r="F865" s="31">
        <v>523600</v>
      </c>
      <c r="G865" s="41" t="s">
        <v>101</v>
      </c>
      <c r="H865" s="26">
        <v>0</v>
      </c>
      <c r="I865" s="21" t="str">
        <f t="shared" si="130"/>
        <v>Contado</v>
      </c>
      <c r="J865" s="22">
        <f t="shared" si="131"/>
        <v>46062</v>
      </c>
      <c r="K865" s="27">
        <f t="shared" ca="1" si="132"/>
        <v>0</v>
      </c>
      <c r="L865" s="23" t="str">
        <f t="shared" si="133"/>
        <v>Pagado</v>
      </c>
      <c r="M865" s="36">
        <f>SUMIFS(Tabla_Pagos[IMPORTE ABONADO],Tabla_Pagos[FECHA DE ABONO],"&gt;0",Tabla_Pagos[NRO DOC],B865)</f>
        <v>523600</v>
      </c>
      <c r="N865" s="36">
        <f t="shared" si="134"/>
        <v>0</v>
      </c>
      <c r="O865" s="22" cm="1">
        <f t="array" ref="O865">MAX(IF((Tabla_Pagos[NRO DOC]=B865)*(Tabla_Pagos[IMPORTE ABONADO]&gt;0),Tabla_Pagos[FECHA DE ABONO]))</f>
        <v>46062</v>
      </c>
    </row>
    <row r="866" spans="2:15" ht="21" customHeight="1" x14ac:dyDescent="0.25">
      <c r="B866" s="39">
        <v>1787</v>
      </c>
      <c r="C866" s="20">
        <v>46062</v>
      </c>
      <c r="D866" s="40" t="s">
        <v>695</v>
      </c>
      <c r="E866" s="37" t="str">
        <f>IFERROR(VLOOKUP(D866,CLIENTES!$B$12:$G$2602,2,FALSE),"")</f>
        <v>BESALCO CONSTRUCCIONES S.A.</v>
      </c>
      <c r="F866" s="31">
        <v>130900</v>
      </c>
      <c r="G866" s="41" t="s">
        <v>101</v>
      </c>
      <c r="H866" s="26">
        <v>0</v>
      </c>
      <c r="I866" s="21" t="str">
        <f t="shared" si="130"/>
        <v>Contado</v>
      </c>
      <c r="J866" s="22">
        <f t="shared" si="131"/>
        <v>46062</v>
      </c>
      <c r="K866" s="27">
        <f t="shared" ca="1" si="132"/>
        <v>0</v>
      </c>
      <c r="L866" s="23" t="str">
        <f t="shared" si="133"/>
        <v>Pagado</v>
      </c>
      <c r="M866" s="36">
        <f>SUMIFS(Tabla_Pagos[IMPORTE ABONADO],Tabla_Pagos[FECHA DE ABONO],"&gt;0",Tabla_Pagos[NRO DOC],B866)</f>
        <v>130900</v>
      </c>
      <c r="N866" s="36">
        <f t="shared" si="134"/>
        <v>0</v>
      </c>
      <c r="O866" s="22" cm="1">
        <f t="array" ref="O866">MAX(IF((Tabla_Pagos[NRO DOC]=B866)*(Tabla_Pagos[IMPORTE ABONADO]&gt;0),Tabla_Pagos[FECHA DE ABONO]))</f>
        <v>46062</v>
      </c>
    </row>
    <row r="867" spans="2:15" ht="21" customHeight="1" x14ac:dyDescent="0.25">
      <c r="B867" s="39">
        <v>1788</v>
      </c>
      <c r="C867" s="20">
        <v>46062</v>
      </c>
      <c r="D867" s="40" t="s">
        <v>58</v>
      </c>
      <c r="E867" s="37" t="str">
        <f>IFERROR(VLOOKUP(D867,CLIENTES!$B$12:$G$2602,2,FALSE),"")</f>
        <v>ZACH PROYECTOS SA</v>
      </c>
      <c r="F867" s="31">
        <v>523600</v>
      </c>
      <c r="G867" s="41" t="s">
        <v>101</v>
      </c>
      <c r="H867" s="26">
        <v>30</v>
      </c>
      <c r="I867" s="21" t="str">
        <f t="shared" si="130"/>
        <v>Crédito</v>
      </c>
      <c r="J867" s="22">
        <f t="shared" si="131"/>
        <v>46092</v>
      </c>
      <c r="K867" s="27">
        <f t="shared" ca="1" si="132"/>
        <v>0</v>
      </c>
      <c r="L867" s="23" t="str">
        <f t="shared" si="133"/>
        <v>Pagado</v>
      </c>
      <c r="M867" s="36">
        <f>SUMIFS(Tabla_Pagos[IMPORTE ABONADO],Tabla_Pagos[FECHA DE ABONO],"&gt;0",Tabla_Pagos[NRO DOC],B867)</f>
        <v>523600</v>
      </c>
      <c r="N867" s="36">
        <f t="shared" si="134"/>
        <v>0</v>
      </c>
      <c r="O867" s="22" cm="1">
        <f t="array" ref="O867">MAX(IF((Tabla_Pagos[NRO DOC]=B867)*(Tabla_Pagos[IMPORTE ABONADO]&gt;0),Tabla_Pagos[FECHA DE ABONO]))</f>
        <v>46062</v>
      </c>
    </row>
    <row r="868" spans="2:15" ht="21" customHeight="1" x14ac:dyDescent="0.25">
      <c r="B868" s="39">
        <v>1789</v>
      </c>
      <c r="C868" s="20">
        <v>46062</v>
      </c>
      <c r="D868" s="40" t="s">
        <v>586</v>
      </c>
      <c r="E868" s="37" t="str">
        <f>IFERROR(VLOOKUP(D868,CLIENTES!$B$12:$G$2602,2,FALSE),"")</f>
        <v>SOLYSERV SPA</v>
      </c>
      <c r="F868" s="31">
        <v>17850</v>
      </c>
      <c r="G868" s="41" t="s">
        <v>101</v>
      </c>
      <c r="H868" s="26">
        <v>0</v>
      </c>
      <c r="I868" s="21" t="str">
        <f t="shared" si="130"/>
        <v>Contado</v>
      </c>
      <c r="J868" s="22">
        <f t="shared" si="131"/>
        <v>46062</v>
      </c>
      <c r="K868" s="27">
        <f t="shared" ca="1" si="132"/>
        <v>0</v>
      </c>
      <c r="L868" s="23" t="str">
        <f t="shared" si="133"/>
        <v>Pagado</v>
      </c>
      <c r="M868" s="36">
        <f>SUMIFS(Tabla_Pagos[IMPORTE ABONADO],Tabla_Pagos[FECHA DE ABONO],"&gt;0",Tabla_Pagos[NRO DOC],B868)</f>
        <v>17850</v>
      </c>
      <c r="N868" s="36">
        <f t="shared" si="134"/>
        <v>0</v>
      </c>
      <c r="O868" s="22" cm="1">
        <f t="array" ref="O868">MAX(IF((Tabla_Pagos[NRO DOC]=B868)*(Tabla_Pagos[IMPORTE ABONADO]&gt;0),Tabla_Pagos[FECHA DE ABONO]))</f>
        <v>46062</v>
      </c>
    </row>
    <row r="869" spans="2:15" ht="21" customHeight="1" x14ac:dyDescent="0.25">
      <c r="B869" s="39">
        <v>1790</v>
      </c>
      <c r="C869" s="20">
        <v>46063</v>
      </c>
      <c r="D869" s="40" t="s">
        <v>603</v>
      </c>
      <c r="E869" s="37" t="str">
        <f>IFERROR(VLOOKUP(D869,CLIENTES!$B$12:$G$2602,2,FALSE),"")</f>
        <v>BLAST TRUCK INGENIERÃA Y MANTENIMIENTO SPA</v>
      </c>
      <c r="F869" s="31">
        <v>71400</v>
      </c>
      <c r="G869" s="41" t="s">
        <v>101</v>
      </c>
      <c r="H869" s="26">
        <v>0</v>
      </c>
      <c r="I869" s="21" t="str">
        <f t="shared" si="130"/>
        <v>Contado</v>
      </c>
      <c r="J869" s="22">
        <f t="shared" si="131"/>
        <v>46063</v>
      </c>
      <c r="K869" s="27">
        <f t="shared" ca="1" si="132"/>
        <v>0</v>
      </c>
      <c r="L869" s="23" t="str">
        <f t="shared" si="133"/>
        <v>Pagado</v>
      </c>
      <c r="M869" s="36">
        <f>SUMIFS(Tabla_Pagos[IMPORTE ABONADO],Tabla_Pagos[FECHA DE ABONO],"&gt;0",Tabla_Pagos[NRO DOC],B869)</f>
        <v>71400</v>
      </c>
      <c r="N869" s="36">
        <f t="shared" si="134"/>
        <v>0</v>
      </c>
      <c r="O869" s="22" cm="1">
        <f t="array" ref="O869">MAX(IF((Tabla_Pagos[NRO DOC]=B869)*(Tabla_Pagos[IMPORTE ABONADO]&gt;0),Tabla_Pagos[FECHA DE ABONO]))</f>
        <v>46063</v>
      </c>
    </row>
    <row r="870" spans="2:15" ht="21" customHeight="1" x14ac:dyDescent="0.25">
      <c r="B870" s="39">
        <v>1791</v>
      </c>
      <c r="C870" s="20">
        <v>46063</v>
      </c>
      <c r="D870" s="40" t="s">
        <v>313</v>
      </c>
      <c r="E870" s="37" t="str">
        <f>IFERROR(VLOOKUP(D870,CLIENTES!$B$12:$G$2602,2,FALSE),"")</f>
        <v>MANUEL ANTONIO ROJAS ORDENES</v>
      </c>
      <c r="F870" s="31">
        <v>65450</v>
      </c>
      <c r="G870" s="41" t="s">
        <v>101</v>
      </c>
      <c r="H870" s="26">
        <v>0</v>
      </c>
      <c r="I870" s="21" t="str">
        <f t="shared" si="130"/>
        <v>Contado</v>
      </c>
      <c r="J870" s="22">
        <f t="shared" si="131"/>
        <v>46063</v>
      </c>
      <c r="K870" s="27">
        <f t="shared" ca="1" si="132"/>
        <v>0</v>
      </c>
      <c r="L870" s="23" t="str">
        <f t="shared" si="133"/>
        <v>Pagado</v>
      </c>
      <c r="M870" s="36">
        <f>SUMIFS(Tabla_Pagos[IMPORTE ABONADO],Tabla_Pagos[FECHA DE ABONO],"&gt;0",Tabla_Pagos[NRO DOC],B870)</f>
        <v>65450</v>
      </c>
      <c r="N870" s="36">
        <f t="shared" si="134"/>
        <v>0</v>
      </c>
      <c r="O870" s="22" cm="1">
        <f t="array" ref="O870">MAX(IF((Tabla_Pagos[NRO DOC]=B870)*(Tabla_Pagos[IMPORTE ABONADO]&gt;0),Tabla_Pagos[FECHA DE ABONO]))</f>
        <v>46063</v>
      </c>
    </row>
    <row r="871" spans="2:15" ht="21" customHeight="1" x14ac:dyDescent="0.25">
      <c r="B871" s="39">
        <v>1792</v>
      </c>
      <c r="C871" s="20">
        <v>46063</v>
      </c>
      <c r="D871" s="40" t="s">
        <v>485</v>
      </c>
      <c r="E871" s="37" t="str">
        <f>IFERROR(VLOOKUP(D871,CLIENTES!$B$12:$G$2602,2,FALSE),"")</f>
        <v>SAN RAFAEL INGENIERIA Y  SERVICIOS LIMITADA</v>
      </c>
      <c r="F871" s="31">
        <v>618324</v>
      </c>
      <c r="G871" s="41" t="s">
        <v>101</v>
      </c>
      <c r="H871" s="26">
        <v>30</v>
      </c>
      <c r="I871" s="21" t="str">
        <f t="shared" si="130"/>
        <v>Crédito</v>
      </c>
      <c r="J871" s="22">
        <f t="shared" si="131"/>
        <v>46093</v>
      </c>
      <c r="K871" s="27">
        <f t="shared" ca="1" si="132"/>
        <v>0</v>
      </c>
      <c r="L871" s="23" t="str">
        <f t="shared" si="133"/>
        <v>Pagado</v>
      </c>
      <c r="M871" s="36">
        <f>SUMIFS(Tabla_Pagos[IMPORTE ABONADO],Tabla_Pagos[FECHA DE ABONO],"&gt;0",Tabla_Pagos[NRO DOC],B871)</f>
        <v>618324</v>
      </c>
      <c r="N871" s="36">
        <f t="shared" si="134"/>
        <v>0</v>
      </c>
      <c r="O871" s="22" cm="1">
        <f t="array" ref="O871">MAX(IF((Tabla_Pagos[NRO DOC]=B871)*(Tabla_Pagos[IMPORTE ABONADO]&gt;0),Tabla_Pagos[FECHA DE ABONO]))</f>
        <v>46093</v>
      </c>
    </row>
    <row r="872" spans="2:15" ht="21" customHeight="1" x14ac:dyDescent="0.25">
      <c r="B872" s="39">
        <v>1793</v>
      </c>
      <c r="C872" s="20">
        <v>46063</v>
      </c>
      <c r="D872" s="40" t="s">
        <v>662</v>
      </c>
      <c r="E872" s="37" t="str">
        <f>IFERROR(VLOOKUP(D872,CLIENTES!$B$12:$G$2602,2,FALSE),"")</f>
        <v>IMPORTADORA NICOLAS LIMITADA</v>
      </c>
      <c r="F872" s="31">
        <v>190400</v>
      </c>
      <c r="G872" s="41" t="s">
        <v>101</v>
      </c>
      <c r="H872" s="26">
        <v>30</v>
      </c>
      <c r="I872" s="21" t="str">
        <f t="shared" si="130"/>
        <v>Crédito</v>
      </c>
      <c r="J872" s="22">
        <f t="shared" si="131"/>
        <v>46093</v>
      </c>
      <c r="K872" s="27">
        <f t="shared" ca="1" si="132"/>
        <v>0</v>
      </c>
      <c r="L872" s="23" t="str">
        <f t="shared" si="133"/>
        <v>Pagado</v>
      </c>
      <c r="M872" s="36">
        <f>SUMIFS(Tabla_Pagos[IMPORTE ABONADO],Tabla_Pagos[FECHA DE ABONO],"&gt;0",Tabla_Pagos[NRO DOC],B872)</f>
        <v>190400</v>
      </c>
      <c r="N872" s="36">
        <f t="shared" si="134"/>
        <v>0</v>
      </c>
      <c r="O872" s="22" cm="1">
        <f t="array" ref="O872">MAX(IF((Tabla_Pagos[NRO DOC]=B872)*(Tabla_Pagos[IMPORTE ABONADO]&gt;0),Tabla_Pagos[FECHA DE ABONO]))</f>
        <v>46106</v>
      </c>
    </row>
    <row r="873" spans="2:15" ht="21" customHeight="1" x14ac:dyDescent="0.25">
      <c r="B873" s="39">
        <v>1794</v>
      </c>
      <c r="C873" s="20">
        <v>46064</v>
      </c>
      <c r="D873" s="40" t="s">
        <v>58</v>
      </c>
      <c r="E873" s="37" t="str">
        <f>IFERROR(VLOOKUP(D873,CLIENTES!$B$12:$G$2602,2,FALSE),"")</f>
        <v>ZACH PROYECTOS SA</v>
      </c>
      <c r="F873" s="31">
        <v>261800</v>
      </c>
      <c r="G873" s="41" t="s">
        <v>101</v>
      </c>
      <c r="H873" s="26">
        <v>30</v>
      </c>
      <c r="I873" s="21" t="str">
        <f t="shared" si="130"/>
        <v>Crédito</v>
      </c>
      <c r="J873" s="22">
        <f t="shared" si="131"/>
        <v>46094</v>
      </c>
      <c r="K873" s="27">
        <f t="shared" ca="1" si="132"/>
        <v>0</v>
      </c>
      <c r="L873" s="23" t="str">
        <f t="shared" si="133"/>
        <v>Pagado</v>
      </c>
      <c r="M873" s="36">
        <f>SUMIFS(Tabla_Pagos[IMPORTE ABONADO],Tabla_Pagos[FECHA DE ABONO],"&gt;0",Tabla_Pagos[NRO DOC],B873)</f>
        <v>261800</v>
      </c>
      <c r="N873" s="36">
        <f t="shared" si="134"/>
        <v>0</v>
      </c>
      <c r="O873" s="22" cm="1">
        <f t="array" ref="O873">MAX(IF((Tabla_Pagos[NRO DOC]=B873)*(Tabla_Pagos[IMPORTE ABONADO]&gt;0),Tabla_Pagos[FECHA DE ABONO]))</f>
        <v>46097</v>
      </c>
    </row>
    <row r="874" spans="2:15" ht="21" customHeight="1" x14ac:dyDescent="0.25">
      <c r="B874" s="39">
        <v>1795</v>
      </c>
      <c r="C874" s="20">
        <v>46065</v>
      </c>
      <c r="D874" s="40" t="s">
        <v>574</v>
      </c>
      <c r="E874" s="37" t="str">
        <f>IFERROR(VLOOKUP(D874,CLIENTES!$B$12:$G$2602,2,FALSE),"")</f>
        <v>TILSECO SERVICIOS ELECTRICOS CHILE SPA</v>
      </c>
      <c r="F874" s="31">
        <v>836570</v>
      </c>
      <c r="G874" s="41" t="s">
        <v>101</v>
      </c>
      <c r="H874" s="26">
        <v>0</v>
      </c>
      <c r="I874" s="21" t="str">
        <f t="shared" si="130"/>
        <v>Contado</v>
      </c>
      <c r="J874" s="22">
        <f t="shared" si="131"/>
        <v>46065</v>
      </c>
      <c r="K874" s="27">
        <f t="shared" ca="1" si="132"/>
        <v>0</v>
      </c>
      <c r="L874" s="23" t="str">
        <f t="shared" si="133"/>
        <v>Pagado</v>
      </c>
      <c r="M874" s="36">
        <f>SUMIFS(Tabla_Pagos[IMPORTE ABONADO],Tabla_Pagos[FECHA DE ABONO],"&gt;0",Tabla_Pagos[NRO DOC],B874)</f>
        <v>836570</v>
      </c>
      <c r="N874" s="36">
        <f t="shared" si="134"/>
        <v>0</v>
      </c>
      <c r="O874" s="22" cm="1">
        <f t="array" ref="O874">MAX(IF((Tabla_Pagos[NRO DOC]=B874)*(Tabla_Pagos[IMPORTE ABONADO]&gt;0),Tabla_Pagos[FECHA DE ABONO]))</f>
        <v>46065</v>
      </c>
    </row>
    <row r="875" spans="2:15" ht="21" customHeight="1" x14ac:dyDescent="0.25">
      <c r="B875" s="39">
        <v>1796</v>
      </c>
      <c r="C875" s="20">
        <v>46065</v>
      </c>
      <c r="D875" s="40" t="s">
        <v>44</v>
      </c>
      <c r="E875" s="37" t="str">
        <f>IFERROR(VLOOKUP(D875,CLIENTES!$B$12:$G$2602,2,FALSE),"")</f>
        <v>SKC RED SPA</v>
      </c>
      <c r="F875" s="31">
        <v>107100</v>
      </c>
      <c r="G875" s="41" t="s">
        <v>101</v>
      </c>
      <c r="H875" s="26">
        <v>30</v>
      </c>
      <c r="I875" s="21" t="str">
        <f t="shared" si="130"/>
        <v>Crédito</v>
      </c>
      <c r="J875" s="22">
        <f t="shared" si="131"/>
        <v>46095</v>
      </c>
      <c r="K875" s="27">
        <f t="shared" ca="1" si="132"/>
        <v>0</v>
      </c>
      <c r="L875" s="23" t="str">
        <f t="shared" si="133"/>
        <v>Pagado</v>
      </c>
      <c r="M875" s="36">
        <f>SUMIFS(Tabla_Pagos[IMPORTE ABONADO],Tabla_Pagos[FECHA DE ABONO],"&gt;0",Tabla_Pagos[NRO DOC],B875)</f>
        <v>107100</v>
      </c>
      <c r="N875" s="36">
        <f t="shared" si="134"/>
        <v>0</v>
      </c>
      <c r="O875" s="22" cm="1">
        <f t="array" ref="O875">MAX(IF((Tabla_Pagos[NRO DOC]=B875)*(Tabla_Pagos[IMPORTE ABONADO]&gt;0),Tabla_Pagos[FECHA DE ABONO]))</f>
        <v>46094</v>
      </c>
    </row>
    <row r="876" spans="2:15" ht="21" customHeight="1" x14ac:dyDescent="0.25">
      <c r="B876" s="39">
        <v>1797</v>
      </c>
      <c r="C876" s="20">
        <v>46066</v>
      </c>
      <c r="D876" s="40" t="s">
        <v>254</v>
      </c>
      <c r="E876" s="37" t="str">
        <f>IFERROR(VLOOKUP(D876,CLIENTES!$B$12:$G$2602,2,FALSE),"")</f>
        <v>KRADE SPA</v>
      </c>
      <c r="F876" s="31">
        <v>42840</v>
      </c>
      <c r="G876" s="41" t="s">
        <v>101</v>
      </c>
      <c r="H876" s="26">
        <v>0</v>
      </c>
      <c r="I876" s="21" t="str">
        <f t="shared" si="130"/>
        <v>Contado</v>
      </c>
      <c r="J876" s="22">
        <f t="shared" si="131"/>
        <v>46066</v>
      </c>
      <c r="K876" s="27">
        <f t="shared" ca="1" si="132"/>
        <v>0</v>
      </c>
      <c r="L876" s="23" t="str">
        <f t="shared" si="133"/>
        <v>Pagado</v>
      </c>
      <c r="M876" s="36">
        <f>SUMIFS(Tabla_Pagos[IMPORTE ABONADO],Tabla_Pagos[FECHA DE ABONO],"&gt;0",Tabla_Pagos[NRO DOC],B876)</f>
        <v>42840</v>
      </c>
      <c r="N876" s="36">
        <f t="shared" si="134"/>
        <v>0</v>
      </c>
      <c r="O876" s="22" cm="1">
        <f t="array" ref="O876">MAX(IF((Tabla_Pagos[NRO DOC]=B876)*(Tabla_Pagos[IMPORTE ABONADO]&gt;0),Tabla_Pagos[FECHA DE ABONO]))</f>
        <v>46066</v>
      </c>
    </row>
    <row r="877" spans="2:15" ht="21" customHeight="1" x14ac:dyDescent="0.25">
      <c r="B877" s="39">
        <v>1798</v>
      </c>
      <c r="C877" s="20">
        <v>46066</v>
      </c>
      <c r="D877" s="40" t="s">
        <v>687</v>
      </c>
      <c r="E877" s="37" t="str">
        <f>IFERROR(VLOOKUP(D877,CLIENTES!$B$12:$G$2602,2,FALSE),"")</f>
        <v>SOCIEDAD COMERCIAL ROMSA SERVICIOS SPA</v>
      </c>
      <c r="F877" s="31">
        <v>160650</v>
      </c>
      <c r="G877" s="41" t="s">
        <v>101</v>
      </c>
      <c r="H877" s="26">
        <v>0</v>
      </c>
      <c r="I877" s="21" t="str">
        <f t="shared" si="130"/>
        <v>Contado</v>
      </c>
      <c r="J877" s="22">
        <f t="shared" si="131"/>
        <v>46066</v>
      </c>
      <c r="K877" s="27">
        <f t="shared" ca="1" si="132"/>
        <v>0</v>
      </c>
      <c r="L877" s="23" t="str">
        <f t="shared" si="133"/>
        <v>Pagado</v>
      </c>
      <c r="M877" s="36">
        <f>SUMIFS(Tabla_Pagos[IMPORTE ABONADO],Tabla_Pagos[FECHA DE ABONO],"&gt;0",Tabla_Pagos[NRO DOC],B877)</f>
        <v>160650</v>
      </c>
      <c r="N877" s="36">
        <f t="shared" si="134"/>
        <v>0</v>
      </c>
      <c r="O877" s="22" cm="1">
        <f t="array" ref="O877">MAX(IF((Tabla_Pagos[NRO DOC]=B877)*(Tabla_Pagos[IMPORTE ABONADO]&gt;0),Tabla_Pagos[FECHA DE ABONO]))</f>
        <v>46066</v>
      </c>
    </row>
    <row r="878" spans="2:15" ht="21" customHeight="1" x14ac:dyDescent="0.25">
      <c r="B878" s="39">
        <v>1799</v>
      </c>
      <c r="C878" s="20">
        <v>46066</v>
      </c>
      <c r="D878" s="40" t="s">
        <v>485</v>
      </c>
      <c r="E878" s="37" t="str">
        <f>IFERROR(VLOOKUP(D878,CLIENTES!$B$12:$G$2602,2,FALSE),"")</f>
        <v>SAN RAFAEL INGENIERIA Y  SERVICIOS LIMITADA</v>
      </c>
      <c r="F878" s="31">
        <v>119000</v>
      </c>
      <c r="G878" s="41" t="s">
        <v>101</v>
      </c>
      <c r="H878" s="26">
        <v>30</v>
      </c>
      <c r="I878" s="21" t="str">
        <f t="shared" si="130"/>
        <v>Crédito</v>
      </c>
      <c r="J878" s="22">
        <f t="shared" si="131"/>
        <v>46096</v>
      </c>
      <c r="K878" s="27">
        <f t="shared" ca="1" si="132"/>
        <v>0</v>
      </c>
      <c r="L878" s="23" t="str">
        <f t="shared" si="133"/>
        <v>Pagado</v>
      </c>
      <c r="M878" s="36">
        <f>SUMIFS(Tabla_Pagos[IMPORTE ABONADO],Tabla_Pagos[FECHA DE ABONO],"&gt;0",Tabla_Pagos[NRO DOC],B878)</f>
        <v>119000</v>
      </c>
      <c r="N878" s="36">
        <f t="shared" si="134"/>
        <v>0</v>
      </c>
      <c r="O878" s="22" cm="1">
        <f t="array" ref="O878">MAX(IF((Tabla_Pagos[NRO DOC]=B878)*(Tabla_Pagos[IMPORTE ABONADO]&gt;0),Tabla_Pagos[FECHA DE ABONO]))</f>
        <v>46093</v>
      </c>
    </row>
    <row r="879" spans="2:15" ht="21" customHeight="1" x14ac:dyDescent="0.25">
      <c r="B879" s="39">
        <v>1800</v>
      </c>
      <c r="C879" s="20">
        <v>46066</v>
      </c>
      <c r="D879" s="40" t="s">
        <v>696</v>
      </c>
      <c r="E879" s="37" t="str">
        <f>IFERROR(VLOOKUP(D879,CLIENTES!$B$12:$G$2602,2,FALSE),"")</f>
        <v>ARANDA PAREDES E HIJOS LIMITADA</v>
      </c>
      <c r="F879" s="31">
        <v>150000</v>
      </c>
      <c r="G879" s="41" t="s">
        <v>101</v>
      </c>
      <c r="H879" s="26">
        <v>0</v>
      </c>
      <c r="I879" s="21" t="str">
        <f t="shared" si="130"/>
        <v>Contado</v>
      </c>
      <c r="J879" s="22">
        <f t="shared" si="131"/>
        <v>46066</v>
      </c>
      <c r="K879" s="27">
        <f t="shared" ca="1" si="132"/>
        <v>0</v>
      </c>
      <c r="L879" s="23" t="str">
        <f t="shared" si="133"/>
        <v>Pagado</v>
      </c>
      <c r="M879" s="36">
        <f>SUMIFS(Tabla_Pagos[IMPORTE ABONADO],Tabla_Pagos[FECHA DE ABONO],"&gt;0",Tabla_Pagos[NRO DOC],B879)</f>
        <v>150000</v>
      </c>
      <c r="N879" s="36">
        <f t="shared" si="134"/>
        <v>0</v>
      </c>
      <c r="O879" s="22" cm="1">
        <f t="array" ref="O879">MAX(IF((Tabla_Pagos[NRO DOC]=B879)*(Tabla_Pagos[IMPORTE ABONADO]&gt;0),Tabla_Pagos[FECHA DE ABONO]))</f>
        <v>46066</v>
      </c>
    </row>
    <row r="880" spans="2:15" ht="21" customHeight="1" x14ac:dyDescent="0.25">
      <c r="B880" s="39">
        <v>1809</v>
      </c>
      <c r="C880" s="20">
        <v>46067</v>
      </c>
      <c r="D880" s="40" t="s">
        <v>697</v>
      </c>
      <c r="E880" s="37" t="str">
        <f>IFERROR(VLOOKUP(D880,CLIENTES!$B$12:$G$2602,2,FALSE),"")</f>
        <v>TRANSPORTES OSSA LIMITADA</v>
      </c>
      <c r="F880" s="31">
        <v>59500</v>
      </c>
      <c r="G880" s="41" t="s">
        <v>101</v>
      </c>
      <c r="H880" s="26">
        <v>0</v>
      </c>
      <c r="I880" s="21" t="str">
        <f t="shared" si="130"/>
        <v>Contado</v>
      </c>
      <c r="J880" s="22">
        <f t="shared" si="131"/>
        <v>46067</v>
      </c>
      <c r="K880" s="27">
        <f t="shared" ca="1" si="132"/>
        <v>0</v>
      </c>
      <c r="L880" s="23" t="str">
        <f t="shared" si="133"/>
        <v>Pagado</v>
      </c>
      <c r="M880" s="36">
        <f>SUMIFS(Tabla_Pagos[IMPORTE ABONADO],Tabla_Pagos[FECHA DE ABONO],"&gt;0",Tabla_Pagos[NRO DOC],B880)</f>
        <v>59500</v>
      </c>
      <c r="N880" s="36">
        <f t="shared" si="134"/>
        <v>0</v>
      </c>
      <c r="O880" s="22" cm="1">
        <f t="array" ref="O880">MAX(IF((Tabla_Pagos[NRO DOC]=B880)*(Tabla_Pagos[IMPORTE ABONADO]&gt;0),Tabla_Pagos[FECHA DE ABONO]))</f>
        <v>46067</v>
      </c>
    </row>
    <row r="881" spans="2:15" ht="21" customHeight="1" x14ac:dyDescent="0.25">
      <c r="B881" s="39">
        <v>1810</v>
      </c>
      <c r="C881" s="20">
        <v>46067</v>
      </c>
      <c r="D881" s="40" t="s">
        <v>698</v>
      </c>
      <c r="E881" s="37" t="str">
        <f>IFERROR(VLOOKUP(D881,CLIENTES!$B$12:$G$2602,2,FALSE),"")</f>
        <v>TRANSPORTES Y SERVICIOS ATACAMA SPA</v>
      </c>
      <c r="F881" s="31">
        <v>23800</v>
      </c>
      <c r="G881" s="41" t="s">
        <v>101</v>
      </c>
      <c r="H881" s="26">
        <v>0</v>
      </c>
      <c r="I881" s="21" t="str">
        <f t="shared" si="130"/>
        <v>Contado</v>
      </c>
      <c r="J881" s="22">
        <f t="shared" si="131"/>
        <v>46067</v>
      </c>
      <c r="K881" s="27">
        <f t="shared" ca="1" si="132"/>
        <v>0</v>
      </c>
      <c r="L881" s="23" t="str">
        <f t="shared" si="133"/>
        <v>Pagado</v>
      </c>
      <c r="M881" s="36">
        <f>SUMIFS(Tabla_Pagos[IMPORTE ABONADO],Tabla_Pagos[FECHA DE ABONO],"&gt;0",Tabla_Pagos[NRO DOC],B881)</f>
        <v>23800</v>
      </c>
      <c r="N881" s="36">
        <f t="shared" si="134"/>
        <v>0</v>
      </c>
      <c r="O881" s="22" cm="1">
        <f t="array" ref="O881">MAX(IF((Tabla_Pagos[NRO DOC]=B881)*(Tabla_Pagos[IMPORTE ABONADO]&gt;0),Tabla_Pagos[FECHA DE ABONO]))</f>
        <v>46067</v>
      </c>
    </row>
    <row r="882" spans="2:15" ht="21" customHeight="1" x14ac:dyDescent="0.25">
      <c r="B882" s="39">
        <v>1811</v>
      </c>
      <c r="C882" s="20">
        <v>46069</v>
      </c>
      <c r="D882" s="40" t="s">
        <v>699</v>
      </c>
      <c r="E882" s="37" t="str">
        <f>IFERROR(VLOOKUP(D882,CLIENTES!$B$12:$G$2602,2,FALSE),"")</f>
        <v>PIRQA SPA</v>
      </c>
      <c r="F882" s="31">
        <v>71400</v>
      </c>
      <c r="G882" s="41" t="s">
        <v>101</v>
      </c>
      <c r="H882" s="26">
        <v>0</v>
      </c>
      <c r="I882" s="21" t="str">
        <f t="shared" si="130"/>
        <v>Contado</v>
      </c>
      <c r="J882" s="22">
        <f t="shared" si="131"/>
        <v>46069</v>
      </c>
      <c r="K882" s="27">
        <f t="shared" ca="1" si="132"/>
        <v>0</v>
      </c>
      <c r="L882" s="23" t="str">
        <f t="shared" si="133"/>
        <v>Pagado</v>
      </c>
      <c r="M882" s="36">
        <f>SUMIFS(Tabla_Pagos[IMPORTE ABONADO],Tabla_Pagos[FECHA DE ABONO],"&gt;0",Tabla_Pagos[NRO DOC],B882)</f>
        <v>71400</v>
      </c>
      <c r="N882" s="36">
        <f t="shared" si="134"/>
        <v>0</v>
      </c>
      <c r="O882" s="22" cm="1">
        <f t="array" ref="O882">MAX(IF((Tabla_Pagos[NRO DOC]=B882)*(Tabla_Pagos[IMPORTE ABONADO]&gt;0),Tabla_Pagos[FECHA DE ABONO]))</f>
        <v>46069</v>
      </c>
    </row>
    <row r="883" spans="2:15" ht="21" customHeight="1" x14ac:dyDescent="0.25">
      <c r="B883" s="39">
        <v>1812</v>
      </c>
      <c r="C883" s="20">
        <v>46069</v>
      </c>
      <c r="D883" s="40" t="s">
        <v>374</v>
      </c>
      <c r="E883" s="37" t="str">
        <f>IFERROR(VLOOKUP(D883,CLIENTES!$B$12:$G$2602,2,FALSE),"")</f>
        <v>ESLABÃ“N CAPACITACIÃ“N MAURICIO CASTRO LÃ“PEZ E.I.R.L.</v>
      </c>
      <c r="F883" s="31">
        <v>355810</v>
      </c>
      <c r="G883" s="41" t="s">
        <v>101</v>
      </c>
      <c r="H883" s="26">
        <v>0</v>
      </c>
      <c r="I883" s="21" t="str">
        <f t="shared" si="130"/>
        <v>Contado</v>
      </c>
      <c r="J883" s="22">
        <f t="shared" si="131"/>
        <v>46069</v>
      </c>
      <c r="K883" s="27">
        <f t="shared" ca="1" si="132"/>
        <v>0</v>
      </c>
      <c r="L883" s="23" t="str">
        <f t="shared" si="133"/>
        <v>Pagado</v>
      </c>
      <c r="M883" s="36">
        <f>SUMIFS(Tabla_Pagos[IMPORTE ABONADO],Tabla_Pagos[FECHA DE ABONO],"&gt;0",Tabla_Pagos[NRO DOC],B883)</f>
        <v>355810</v>
      </c>
      <c r="N883" s="36">
        <f t="shared" si="134"/>
        <v>0</v>
      </c>
      <c r="O883" s="22" cm="1">
        <f t="array" ref="O883">MAX(IF((Tabla_Pagos[NRO DOC]=B883)*(Tabla_Pagos[IMPORTE ABONADO]&gt;0),Tabla_Pagos[FECHA DE ABONO]))</f>
        <v>46069</v>
      </c>
    </row>
    <row r="884" spans="2:15" ht="21" customHeight="1" x14ac:dyDescent="0.25">
      <c r="B884" s="39">
        <v>1813</v>
      </c>
      <c r="C884" s="20">
        <v>46070</v>
      </c>
      <c r="D884" s="40" t="s">
        <v>37</v>
      </c>
      <c r="E884" s="37" t="str">
        <f>IFERROR(VLOOKUP(D884,CLIENTES!$B$12:$G$2602,2,FALSE),"")</f>
        <v>AILUV SPA</v>
      </c>
      <c r="F884" s="31">
        <v>28560</v>
      </c>
      <c r="G884" s="41" t="s">
        <v>101</v>
      </c>
      <c r="H884" s="26">
        <v>0</v>
      </c>
      <c r="I884" s="21" t="str">
        <f t="shared" si="130"/>
        <v>Contado</v>
      </c>
      <c r="J884" s="22">
        <f t="shared" si="131"/>
        <v>46070</v>
      </c>
      <c r="K884" s="27">
        <f t="shared" ca="1" si="132"/>
        <v>0</v>
      </c>
      <c r="L884" s="23" t="str">
        <f t="shared" si="133"/>
        <v>Pagado</v>
      </c>
      <c r="M884" s="36">
        <f>SUMIFS(Tabla_Pagos[IMPORTE ABONADO],Tabla_Pagos[FECHA DE ABONO],"&gt;0",Tabla_Pagos[NRO DOC],B884)</f>
        <v>28560</v>
      </c>
      <c r="N884" s="36">
        <f t="shared" si="134"/>
        <v>0</v>
      </c>
      <c r="O884" s="22" cm="1">
        <f t="array" ref="O884">MAX(IF((Tabla_Pagos[NRO DOC]=B884)*(Tabla_Pagos[IMPORTE ABONADO]&gt;0),Tabla_Pagos[FECHA DE ABONO]))</f>
        <v>46070</v>
      </c>
    </row>
    <row r="885" spans="2:15" ht="21" customHeight="1" x14ac:dyDescent="0.25">
      <c r="B885" s="39">
        <v>1814</v>
      </c>
      <c r="C885" s="20">
        <v>46070</v>
      </c>
      <c r="D885" s="40" t="s">
        <v>245</v>
      </c>
      <c r="E885" s="37" t="str">
        <f>IFERROR(VLOOKUP(D885,CLIENTES!$B$12:$G$2602,2,FALSE),"")</f>
        <v>SERVICIOS MONTENEGRO SPA</v>
      </c>
      <c r="F885" s="31">
        <v>1428000</v>
      </c>
      <c r="G885" s="41" t="s">
        <v>101</v>
      </c>
      <c r="H885" s="26">
        <v>0</v>
      </c>
      <c r="I885" s="21" t="str">
        <f t="shared" si="130"/>
        <v>Contado</v>
      </c>
      <c r="J885" s="22">
        <f t="shared" si="131"/>
        <v>46070</v>
      </c>
      <c r="K885" s="27">
        <f t="shared" ca="1" si="132"/>
        <v>0</v>
      </c>
      <c r="L885" s="23" t="str">
        <f t="shared" si="133"/>
        <v>Pagado</v>
      </c>
      <c r="M885" s="36">
        <f>SUMIFS(Tabla_Pagos[IMPORTE ABONADO],Tabla_Pagos[FECHA DE ABONO],"&gt;0",Tabla_Pagos[NRO DOC],B885)</f>
        <v>1428000</v>
      </c>
      <c r="N885" s="36">
        <f t="shared" si="134"/>
        <v>0</v>
      </c>
      <c r="O885" s="22" cm="1">
        <f t="array" ref="O885">MAX(IF((Tabla_Pagos[NRO DOC]=B885)*(Tabla_Pagos[IMPORTE ABONADO]&gt;0),Tabla_Pagos[FECHA DE ABONO]))</f>
        <v>46070</v>
      </c>
    </row>
    <row r="886" spans="2:15" ht="21" customHeight="1" x14ac:dyDescent="0.25">
      <c r="B886" s="39">
        <v>1815</v>
      </c>
      <c r="C886" s="20">
        <v>46070</v>
      </c>
      <c r="D886" s="40" t="s">
        <v>107</v>
      </c>
      <c r="E886" s="37" t="str">
        <f>IFERROR(VLOOKUP(D886,CLIENTES!$B$12:$G$2602,2,FALSE),"")</f>
        <v>CAROLINA ANDREA BARRERA QUINELEN</v>
      </c>
      <c r="F886" s="31">
        <v>190400</v>
      </c>
      <c r="G886" s="41" t="s">
        <v>101</v>
      </c>
      <c r="H886" s="26">
        <v>0</v>
      </c>
      <c r="I886" s="21" t="str">
        <f t="shared" si="130"/>
        <v>Contado</v>
      </c>
      <c r="J886" s="22">
        <f t="shared" si="131"/>
        <v>46070</v>
      </c>
      <c r="K886" s="27">
        <f t="shared" ca="1" si="132"/>
        <v>0</v>
      </c>
      <c r="L886" s="23" t="str">
        <f t="shared" si="133"/>
        <v>Pagado</v>
      </c>
      <c r="M886" s="36">
        <f>SUMIFS(Tabla_Pagos[IMPORTE ABONADO],Tabla_Pagos[FECHA DE ABONO],"&gt;0",Tabla_Pagos[NRO DOC],B886)</f>
        <v>190400</v>
      </c>
      <c r="N886" s="36">
        <f t="shared" si="134"/>
        <v>0</v>
      </c>
      <c r="O886" s="22" cm="1">
        <f t="array" ref="O886">MAX(IF((Tabla_Pagos[NRO DOC]=B886)*(Tabla_Pagos[IMPORTE ABONADO]&gt;0),Tabla_Pagos[FECHA DE ABONO]))</f>
        <v>46070</v>
      </c>
    </row>
    <row r="887" spans="2:15" ht="21" customHeight="1" x14ac:dyDescent="0.25">
      <c r="B887" s="39">
        <v>1816</v>
      </c>
      <c r="C887" s="20">
        <v>46070</v>
      </c>
      <c r="D887" s="40" t="s">
        <v>211</v>
      </c>
      <c r="E887" s="37" t="str">
        <f>IFERROR(VLOOKUP(D887,CLIENTES!$B$12:$G$2602,2,FALSE),"")</f>
        <v>CONSTRUCTORA, REPARACIONES, APLICACIONES E INSTALACIONES GRUPO ATADURA</v>
      </c>
      <c r="F887" s="31">
        <v>297500</v>
      </c>
      <c r="G887" s="41" t="s">
        <v>101</v>
      </c>
      <c r="H887" s="26">
        <v>0</v>
      </c>
      <c r="I887" s="21" t="str">
        <f t="shared" si="130"/>
        <v>Contado</v>
      </c>
      <c r="J887" s="22">
        <f t="shared" si="131"/>
        <v>46070</v>
      </c>
      <c r="K887" s="27">
        <f t="shared" ca="1" si="132"/>
        <v>0</v>
      </c>
      <c r="L887" s="23" t="str">
        <f t="shared" si="133"/>
        <v>Pagado</v>
      </c>
      <c r="M887" s="36">
        <f>SUMIFS(Tabla_Pagos[IMPORTE ABONADO],Tabla_Pagos[FECHA DE ABONO],"&gt;0",Tabla_Pagos[NRO DOC],B887)</f>
        <v>297500</v>
      </c>
      <c r="N887" s="36">
        <f t="shared" si="134"/>
        <v>0</v>
      </c>
      <c r="O887" s="22" cm="1">
        <f t="array" ref="O887">MAX(IF((Tabla_Pagos[NRO DOC]=B887)*(Tabla_Pagos[IMPORTE ABONADO]&gt;0),Tabla_Pagos[FECHA DE ABONO]))</f>
        <v>46070</v>
      </c>
    </row>
    <row r="888" spans="2:15" ht="21" customHeight="1" x14ac:dyDescent="0.25">
      <c r="B888" s="39">
        <v>1818</v>
      </c>
      <c r="C888" s="20">
        <v>46071</v>
      </c>
      <c r="D888" s="40" t="s">
        <v>700</v>
      </c>
      <c r="E888" s="37" t="str">
        <f>IFERROR(VLOOKUP(D888,CLIENTES!$B$12:$G$2602,2,FALSE),"")</f>
        <v>INGENIERIA Y CONSTRUCCION GONZALO PATRICIO BENAVENTE ARIAS E.I.R.L.</v>
      </c>
      <c r="F888" s="31">
        <v>178500</v>
      </c>
      <c r="G888" s="41" t="s">
        <v>101</v>
      </c>
      <c r="H888" s="26">
        <v>0</v>
      </c>
      <c r="I888" s="21" t="str">
        <f t="shared" si="130"/>
        <v>Contado</v>
      </c>
      <c r="J888" s="22">
        <f t="shared" si="131"/>
        <v>46071</v>
      </c>
      <c r="K888" s="27">
        <f t="shared" ca="1" si="132"/>
        <v>0</v>
      </c>
      <c r="L888" s="23" t="str">
        <f t="shared" si="133"/>
        <v>Pagado</v>
      </c>
      <c r="M888" s="36">
        <f>SUMIFS(Tabla_Pagos[IMPORTE ABONADO],Tabla_Pagos[FECHA DE ABONO],"&gt;0",Tabla_Pagos[NRO DOC],B888)</f>
        <v>178500</v>
      </c>
      <c r="N888" s="36">
        <f t="shared" si="134"/>
        <v>0</v>
      </c>
      <c r="O888" s="22" cm="1">
        <f t="array" ref="O888">MAX(IF((Tabla_Pagos[NRO DOC]=B888)*(Tabla_Pagos[IMPORTE ABONADO]&gt;0),Tabla_Pagos[FECHA DE ABONO]))</f>
        <v>46071</v>
      </c>
    </row>
    <row r="889" spans="2:15" ht="21" customHeight="1" x14ac:dyDescent="0.25">
      <c r="B889" s="39">
        <v>1819</v>
      </c>
      <c r="C889" s="20">
        <v>46072</v>
      </c>
      <c r="D889" s="40" t="s">
        <v>700</v>
      </c>
      <c r="E889" s="37" t="str">
        <f>IFERROR(VLOOKUP(D889,CLIENTES!$B$12:$G$2602,2,FALSE),"")</f>
        <v>INGENIERIA Y CONSTRUCCION GONZALO PATRICIO BENAVENTE ARIAS E.I.R.L.</v>
      </c>
      <c r="F889" s="31">
        <v>337960</v>
      </c>
      <c r="G889" s="41" t="s">
        <v>101</v>
      </c>
      <c r="H889" s="26">
        <v>0</v>
      </c>
      <c r="I889" s="21" t="str">
        <f t="shared" si="130"/>
        <v>Contado</v>
      </c>
      <c r="J889" s="22">
        <f t="shared" si="131"/>
        <v>46072</v>
      </c>
      <c r="K889" s="27">
        <f t="shared" ca="1" si="132"/>
        <v>0</v>
      </c>
      <c r="L889" s="23" t="str">
        <f t="shared" si="133"/>
        <v>Pagado</v>
      </c>
      <c r="M889" s="36">
        <f>SUMIFS(Tabla_Pagos[IMPORTE ABONADO],Tabla_Pagos[FECHA DE ABONO],"&gt;0",Tabla_Pagos[NRO DOC],B889)</f>
        <v>337960</v>
      </c>
      <c r="N889" s="36">
        <f t="shared" si="134"/>
        <v>0</v>
      </c>
      <c r="O889" s="22" cm="1">
        <f t="array" ref="O889">MAX(IF((Tabla_Pagos[NRO DOC]=B889)*(Tabla_Pagos[IMPORTE ABONADO]&gt;0),Tabla_Pagos[FECHA DE ABONO]))</f>
        <v>46072</v>
      </c>
    </row>
    <row r="890" spans="2:15" ht="21" customHeight="1" x14ac:dyDescent="0.25">
      <c r="B890" s="39">
        <v>1820</v>
      </c>
      <c r="C890" s="20">
        <v>46073</v>
      </c>
      <c r="D890" s="40" t="s">
        <v>701</v>
      </c>
      <c r="E890" s="37" t="str">
        <f>IFERROR(VLOOKUP(D890,CLIENTES!$B$12:$G$2602,2,FALSE),"")</f>
        <v>SOCIEDAD GALLEGOS Y RIOS LIMITADA</v>
      </c>
      <c r="F890" s="31">
        <v>678300</v>
      </c>
      <c r="G890" s="41" t="s">
        <v>101</v>
      </c>
      <c r="H890" s="26">
        <v>0</v>
      </c>
      <c r="I890" s="21" t="str">
        <f t="shared" si="130"/>
        <v>Contado</v>
      </c>
      <c r="J890" s="22">
        <f t="shared" si="131"/>
        <v>46073</v>
      </c>
      <c r="K890" s="27">
        <f t="shared" ca="1" si="132"/>
        <v>0</v>
      </c>
      <c r="L890" s="23" t="str">
        <f t="shared" si="133"/>
        <v>Pagado</v>
      </c>
      <c r="M890" s="36">
        <f>SUMIFS(Tabla_Pagos[IMPORTE ABONADO],Tabla_Pagos[FECHA DE ABONO],"&gt;0",Tabla_Pagos[NRO DOC],B890)</f>
        <v>678300</v>
      </c>
      <c r="N890" s="36">
        <f t="shared" si="134"/>
        <v>0</v>
      </c>
      <c r="O890" s="22" cm="1">
        <f t="array" ref="O890">MAX(IF((Tabla_Pagos[NRO DOC]=B890)*(Tabla_Pagos[IMPORTE ABONADO]&gt;0),Tabla_Pagos[FECHA DE ABONO]))</f>
        <v>46073</v>
      </c>
    </row>
    <row r="891" spans="2:15" ht="21" customHeight="1" x14ac:dyDescent="0.25">
      <c r="B891" s="39">
        <v>1821</v>
      </c>
      <c r="C891" s="20">
        <v>46073</v>
      </c>
      <c r="D891" s="40" t="s">
        <v>702</v>
      </c>
      <c r="E891" s="37" t="str">
        <f>IFERROR(VLOOKUP(D891,CLIENTES!$B$12:$G$2602,2,FALSE),"")</f>
        <v>ZEPOL INDUSTRIAL LIMITADA</v>
      </c>
      <c r="F891" s="31">
        <v>41650</v>
      </c>
      <c r="G891" s="41" t="s">
        <v>101</v>
      </c>
      <c r="H891" s="26">
        <v>0</v>
      </c>
      <c r="I891" s="21" t="str">
        <f t="shared" si="130"/>
        <v>Contado</v>
      </c>
      <c r="J891" s="22">
        <f t="shared" si="131"/>
        <v>46073</v>
      </c>
      <c r="K891" s="27">
        <f t="shared" ca="1" si="132"/>
        <v>0</v>
      </c>
      <c r="L891" s="23" t="str">
        <f t="shared" si="133"/>
        <v>Pagado</v>
      </c>
      <c r="M891" s="36">
        <f>SUMIFS(Tabla_Pagos[IMPORTE ABONADO],Tabla_Pagos[FECHA DE ABONO],"&gt;0",Tabla_Pagos[NRO DOC],B891)</f>
        <v>41650</v>
      </c>
      <c r="N891" s="36">
        <f t="shared" si="134"/>
        <v>0</v>
      </c>
      <c r="O891" s="22" cm="1">
        <f t="array" ref="O891">MAX(IF((Tabla_Pagos[NRO DOC]=B891)*(Tabla_Pagos[IMPORTE ABONADO]&gt;0),Tabla_Pagos[FECHA DE ABONO]))</f>
        <v>46073</v>
      </c>
    </row>
    <row r="892" spans="2:15" ht="21" customHeight="1" x14ac:dyDescent="0.25">
      <c r="B892" s="39">
        <v>1822</v>
      </c>
      <c r="C892" s="20">
        <v>46072</v>
      </c>
      <c r="D892" s="40" t="s">
        <v>485</v>
      </c>
      <c r="E892" s="37" t="str">
        <f>IFERROR(VLOOKUP(D892,CLIENTES!$B$12:$G$2602,2,FALSE),"")</f>
        <v>SAN RAFAEL INGENIERIA Y  SERVICIOS LIMITADA</v>
      </c>
      <c r="F892" s="31">
        <v>142800</v>
      </c>
      <c r="G892" s="41" t="s">
        <v>101</v>
      </c>
      <c r="H892" s="26">
        <v>30</v>
      </c>
      <c r="I892" s="21" t="str">
        <f t="shared" si="130"/>
        <v>Crédito</v>
      </c>
      <c r="J892" s="22">
        <f t="shared" si="131"/>
        <v>46102</v>
      </c>
      <c r="K892" s="27">
        <f t="shared" ca="1" si="132"/>
        <v>0</v>
      </c>
      <c r="L892" s="23" t="str">
        <f t="shared" si="133"/>
        <v>Pagado</v>
      </c>
      <c r="M892" s="36">
        <f>SUMIFS(Tabla_Pagos[IMPORTE ABONADO],Tabla_Pagos[FECHA DE ABONO],"&gt;0",Tabla_Pagos[NRO DOC],B892)</f>
        <v>142800</v>
      </c>
      <c r="N892" s="36">
        <f t="shared" si="134"/>
        <v>0</v>
      </c>
      <c r="O892" s="22" cm="1">
        <f t="array" ref="O892">MAX(IF((Tabla_Pagos[NRO DOC]=B892)*(Tabla_Pagos[IMPORTE ABONADO]&gt;0),Tabla_Pagos[FECHA DE ABONO]))</f>
        <v>46100</v>
      </c>
    </row>
    <row r="893" spans="2:15" ht="21" customHeight="1" x14ac:dyDescent="0.25">
      <c r="B893" s="39">
        <v>1823</v>
      </c>
      <c r="C893" s="20">
        <v>46073</v>
      </c>
      <c r="D893" s="40" t="s">
        <v>432</v>
      </c>
      <c r="E893" s="37" t="str">
        <f>IFERROR(VLOOKUP(D893,CLIENTES!$B$12:$G$2602,2,FALSE),"")</f>
        <v>ETYCA PROFESIONALES CAPACITACION LIMITADA</v>
      </c>
      <c r="F893" s="31">
        <v>321300</v>
      </c>
      <c r="G893" s="41" t="s">
        <v>101</v>
      </c>
      <c r="H893" s="26">
        <v>0</v>
      </c>
      <c r="I893" s="21" t="str">
        <f>IF(H893="","",IF(H893=0,"Contado","Crédito"))</f>
        <v>Contado</v>
      </c>
      <c r="J893" s="22">
        <f>IF(I893="","",C893+H893)</f>
        <v>46073</v>
      </c>
      <c r="K893" s="27">
        <f ca="1">IFERROR(IF(B893="","",IF(N893=0,0,J893-TODAY())),"")</f>
        <v>0</v>
      </c>
      <c r="L893" s="23" t="str">
        <f>IF(I893="","",IF(N893=0,"Pagado",IF(K893&lt;0,"Vencido","No vencido")))</f>
        <v>Pagado</v>
      </c>
      <c r="M893" s="36">
        <f>SUMIFS(Tabla_Pagos[IMPORTE ABONADO],Tabla_Pagos[FECHA DE ABONO],"&gt;0",Tabla_Pagos[NRO DOC],B893)</f>
        <v>321300</v>
      </c>
      <c r="N893" s="36">
        <f>F893-M893</f>
        <v>0</v>
      </c>
      <c r="O893" s="22" cm="1">
        <f t="array" ref="O893">MAX(IF((Tabla_Pagos[NRO DOC]=B893)*(Tabla_Pagos[IMPORTE ABONADO]&gt;0),Tabla_Pagos[FECHA DE ABONO]))</f>
        <v>46073</v>
      </c>
    </row>
    <row r="894" spans="2:15" ht="21" customHeight="1" x14ac:dyDescent="0.25">
      <c r="B894" s="39">
        <v>1824</v>
      </c>
      <c r="C894" s="20">
        <v>46073</v>
      </c>
      <c r="D894" s="40" t="s">
        <v>713</v>
      </c>
      <c r="E894" s="37" t="str">
        <f>IFERROR(VLOOKUP(D894,CLIENTES!$B$12:$G$2602,2,FALSE),"")</f>
        <v>EQUIPMENT  SOLUTIONS CHILE SPA</v>
      </c>
      <c r="F894" s="31">
        <v>226100</v>
      </c>
      <c r="G894" s="41" t="s">
        <v>101</v>
      </c>
      <c r="H894" s="26">
        <v>0</v>
      </c>
      <c r="I894" s="21" t="str">
        <f t="shared" ref="I894:I907" si="135">IF(H894="","",IF(H894=0,"Contado","Crédito"))</f>
        <v>Contado</v>
      </c>
      <c r="J894" s="22">
        <f t="shared" ref="J894:J907" si="136">IF(I894="","",C894+H894)</f>
        <v>46073</v>
      </c>
      <c r="K894" s="27">
        <f t="shared" ref="K894:K907" ca="1" si="137">IFERROR(IF(B894="","",IF(N894=0,0,J894-TODAY())),"")</f>
        <v>0</v>
      </c>
      <c r="L894" s="23" t="str">
        <f t="shared" ref="L894:L907" si="138">IF(I894="","",IF(N894=0,"Pagado",IF(K894&lt;0,"Vencido","No vencido")))</f>
        <v>Pagado</v>
      </c>
      <c r="M894" s="36">
        <f>SUMIFS(Tabla_Pagos[IMPORTE ABONADO],Tabla_Pagos[FECHA DE ABONO],"&gt;0",Tabla_Pagos[NRO DOC],B894)</f>
        <v>226100</v>
      </c>
      <c r="N894" s="36">
        <f t="shared" ref="N894:N907" si="139">F894-M894</f>
        <v>0</v>
      </c>
      <c r="O894" s="22" cm="1">
        <f t="array" ref="O894">MAX(IF((Tabla_Pagos[NRO DOC]=B894)*(Tabla_Pagos[IMPORTE ABONADO]&gt;0),Tabla_Pagos[FECHA DE ABONO]))</f>
        <v>46073</v>
      </c>
    </row>
    <row r="895" spans="2:15" ht="21" customHeight="1" x14ac:dyDescent="0.25">
      <c r="B895" s="39">
        <v>1825</v>
      </c>
      <c r="C895" s="20">
        <v>46076</v>
      </c>
      <c r="D895" s="40" t="s">
        <v>254</v>
      </c>
      <c r="E895" s="37" t="str">
        <f>IFERROR(VLOOKUP(D895,CLIENTES!$B$12:$G$2602,2,FALSE),"")</f>
        <v>KRADE SPA</v>
      </c>
      <c r="F895" s="31">
        <v>22610</v>
      </c>
      <c r="G895" s="41" t="s">
        <v>101</v>
      </c>
      <c r="H895" s="26">
        <v>0</v>
      </c>
      <c r="I895" s="21" t="str">
        <f t="shared" si="135"/>
        <v>Contado</v>
      </c>
      <c r="J895" s="22">
        <f t="shared" si="136"/>
        <v>46076</v>
      </c>
      <c r="K895" s="27">
        <f t="shared" ca="1" si="137"/>
        <v>0</v>
      </c>
      <c r="L895" s="23" t="str">
        <f t="shared" si="138"/>
        <v>Pagado</v>
      </c>
      <c r="M895" s="36">
        <f>SUMIFS(Tabla_Pagos[IMPORTE ABONADO],Tabla_Pagos[FECHA DE ABONO],"&gt;0",Tabla_Pagos[NRO DOC],B895)</f>
        <v>22610</v>
      </c>
      <c r="N895" s="36">
        <f t="shared" si="139"/>
        <v>0</v>
      </c>
      <c r="O895" s="22" cm="1">
        <f t="array" ref="O895">MAX(IF((Tabla_Pagos[NRO DOC]=B895)*(Tabla_Pagos[IMPORTE ABONADO]&gt;0),Tabla_Pagos[FECHA DE ABONO]))</f>
        <v>46076</v>
      </c>
    </row>
    <row r="896" spans="2:15" ht="21" customHeight="1" x14ac:dyDescent="0.25">
      <c r="B896" s="39">
        <v>1827</v>
      </c>
      <c r="C896" s="20">
        <v>46073</v>
      </c>
      <c r="D896" s="40" t="s">
        <v>485</v>
      </c>
      <c r="E896" s="37" t="str">
        <f>IFERROR(VLOOKUP(D896,CLIENTES!$B$12:$G$2602,2,FALSE),"")</f>
        <v>SAN RAFAEL INGENIERIA Y  SERVICIOS LIMITADA</v>
      </c>
      <c r="F896" s="31">
        <v>64260</v>
      </c>
      <c r="G896" s="41" t="s">
        <v>101</v>
      </c>
      <c r="H896" s="26">
        <v>30</v>
      </c>
      <c r="I896" s="21" t="str">
        <f t="shared" si="135"/>
        <v>Crédito</v>
      </c>
      <c r="J896" s="22">
        <f t="shared" si="136"/>
        <v>46103</v>
      </c>
      <c r="K896" s="27">
        <f t="shared" ca="1" si="137"/>
        <v>0</v>
      </c>
      <c r="L896" s="23" t="str">
        <f t="shared" si="138"/>
        <v>Pagado</v>
      </c>
      <c r="M896" s="36">
        <f>SUMIFS(Tabla_Pagos[IMPORTE ABONADO],Tabla_Pagos[FECHA DE ABONO],"&gt;0",Tabla_Pagos[NRO DOC],B896)</f>
        <v>64260</v>
      </c>
      <c r="N896" s="36">
        <f t="shared" si="139"/>
        <v>0</v>
      </c>
      <c r="O896" s="22" cm="1">
        <f t="array" ref="O896">MAX(IF((Tabla_Pagos[NRO DOC]=B896)*(Tabla_Pagos[IMPORTE ABONADO]&gt;0),Tabla_Pagos[FECHA DE ABONO]))</f>
        <v>46100</v>
      </c>
    </row>
    <row r="897" spans="2:15" ht="21" customHeight="1" x14ac:dyDescent="0.25">
      <c r="B897" s="39">
        <v>1828</v>
      </c>
      <c r="C897" s="20">
        <v>46077</v>
      </c>
      <c r="D897" s="40" t="s">
        <v>35</v>
      </c>
      <c r="E897" s="37" t="str">
        <f>IFERROR(VLOOKUP(D897,CLIENTES!$B$12:$G$2602,2,FALSE),"")</f>
        <v>SERVICIOS INTEGRALES LA RIVERA SPA</v>
      </c>
      <c r="F897" s="31">
        <v>106029</v>
      </c>
      <c r="G897" s="41" t="s">
        <v>101</v>
      </c>
      <c r="H897" s="26">
        <v>0</v>
      </c>
      <c r="I897" s="21" t="str">
        <f t="shared" si="135"/>
        <v>Contado</v>
      </c>
      <c r="J897" s="22">
        <f t="shared" si="136"/>
        <v>46077</v>
      </c>
      <c r="K897" s="27">
        <f t="shared" ca="1" si="137"/>
        <v>0</v>
      </c>
      <c r="L897" s="23" t="str">
        <f t="shared" si="138"/>
        <v>Pagado</v>
      </c>
      <c r="M897" s="36">
        <f>SUMIFS(Tabla_Pagos[IMPORTE ABONADO],Tabla_Pagos[FECHA DE ABONO],"&gt;0",Tabla_Pagos[NRO DOC],B897)</f>
        <v>106029</v>
      </c>
      <c r="N897" s="36">
        <f t="shared" si="139"/>
        <v>0</v>
      </c>
      <c r="O897" s="22" cm="1">
        <f t="array" ref="O897">MAX(IF((Tabla_Pagos[NRO DOC]=B897)*(Tabla_Pagos[IMPORTE ABONADO]&gt;0),Tabla_Pagos[FECHA DE ABONO]))</f>
        <v>46077</v>
      </c>
    </row>
    <row r="898" spans="2:15" ht="21" customHeight="1" x14ac:dyDescent="0.25">
      <c r="B898" s="39">
        <v>1829</v>
      </c>
      <c r="C898" s="20">
        <v>46062</v>
      </c>
      <c r="D898" s="40" t="s">
        <v>695</v>
      </c>
      <c r="E898" s="37" t="str">
        <f>IFERROR(VLOOKUP(D898,CLIENTES!$B$12:$G$2602,2,FALSE),"")</f>
        <v>BESALCO CONSTRUCCIONES S.A.</v>
      </c>
      <c r="F898" s="31">
        <v>130900</v>
      </c>
      <c r="G898" s="41" t="s">
        <v>101</v>
      </c>
      <c r="H898" s="26">
        <v>0</v>
      </c>
      <c r="I898" s="21" t="str">
        <f t="shared" si="135"/>
        <v>Contado</v>
      </c>
      <c r="J898" s="22">
        <f t="shared" si="136"/>
        <v>46062</v>
      </c>
      <c r="K898" s="27">
        <f t="shared" ca="1" si="137"/>
        <v>0</v>
      </c>
      <c r="L898" s="23" t="str">
        <f t="shared" si="138"/>
        <v>Pagado</v>
      </c>
      <c r="M898" s="36">
        <f>SUMIFS(Tabla_Pagos[IMPORTE ABONADO],Tabla_Pagos[FECHA DE ABONO],"&gt;0",Tabla_Pagos[NRO DOC],B898)</f>
        <v>130900</v>
      </c>
      <c r="N898" s="36">
        <f t="shared" si="139"/>
        <v>0</v>
      </c>
      <c r="O898" s="22" cm="1">
        <f t="array" ref="O898">MAX(IF((Tabla_Pagos[NRO DOC]=B898)*(Tabla_Pagos[IMPORTE ABONADO]&gt;0),Tabla_Pagos[FECHA DE ABONO]))</f>
        <v>46062</v>
      </c>
    </row>
    <row r="899" spans="2:15" ht="21" customHeight="1" x14ac:dyDescent="0.25">
      <c r="B899" s="39">
        <v>1830</v>
      </c>
      <c r="C899" s="20">
        <v>46077</v>
      </c>
      <c r="D899" s="40" t="s">
        <v>714</v>
      </c>
      <c r="E899" s="37" t="str">
        <f>IFERROR(VLOOKUP(D899,CLIENTES!$B$12:$G$2602,2,FALSE),"")</f>
        <v>CAMILA ANDREA ALVAREZ GONZALEZ</v>
      </c>
      <c r="F899" s="31">
        <v>20000</v>
      </c>
      <c r="G899" s="41" t="s">
        <v>101</v>
      </c>
      <c r="H899" s="26">
        <v>0</v>
      </c>
      <c r="I899" s="21" t="str">
        <f t="shared" si="135"/>
        <v>Contado</v>
      </c>
      <c r="J899" s="22">
        <f t="shared" si="136"/>
        <v>46077</v>
      </c>
      <c r="K899" s="27">
        <f t="shared" ca="1" si="137"/>
        <v>0</v>
      </c>
      <c r="L899" s="23" t="str">
        <f t="shared" si="138"/>
        <v>Pagado</v>
      </c>
      <c r="M899" s="36">
        <f>SUMIFS(Tabla_Pagos[IMPORTE ABONADO],Tabla_Pagos[FECHA DE ABONO],"&gt;0",Tabla_Pagos[NRO DOC],B899)</f>
        <v>20000</v>
      </c>
      <c r="N899" s="36">
        <f t="shared" si="139"/>
        <v>0</v>
      </c>
      <c r="O899" s="22" cm="1">
        <f t="array" ref="O899">MAX(IF((Tabla_Pagos[NRO DOC]=B899)*(Tabla_Pagos[IMPORTE ABONADO]&gt;0),Tabla_Pagos[FECHA DE ABONO]))</f>
        <v>46077</v>
      </c>
    </row>
    <row r="900" spans="2:15" ht="21" customHeight="1" x14ac:dyDescent="0.25">
      <c r="B900" s="39">
        <v>1831</v>
      </c>
      <c r="C900" s="20">
        <v>46078</v>
      </c>
      <c r="D900" s="40" t="s">
        <v>589</v>
      </c>
      <c r="E900" s="37" t="str">
        <f>IFERROR(VLOOKUP(D900,CLIENTES!$B$12:$G$2602,2,FALSE),"")</f>
        <v>INGENIERIA Y SOLUCIONES ELECTRICAS INGINSEL LIMITADA</v>
      </c>
      <c r="F900" s="31">
        <v>291550</v>
      </c>
      <c r="G900" s="41" t="s">
        <v>101</v>
      </c>
      <c r="H900" s="26">
        <v>0</v>
      </c>
      <c r="I900" s="21" t="str">
        <f t="shared" si="135"/>
        <v>Contado</v>
      </c>
      <c r="J900" s="22">
        <f t="shared" si="136"/>
        <v>46078</v>
      </c>
      <c r="K900" s="27">
        <f t="shared" ca="1" si="137"/>
        <v>0</v>
      </c>
      <c r="L900" s="23" t="str">
        <f t="shared" si="138"/>
        <v>Pagado</v>
      </c>
      <c r="M900" s="36">
        <f>SUMIFS(Tabla_Pagos[IMPORTE ABONADO],Tabla_Pagos[FECHA DE ABONO],"&gt;0",Tabla_Pagos[NRO DOC],B900)</f>
        <v>291550</v>
      </c>
      <c r="N900" s="36">
        <f t="shared" si="139"/>
        <v>0</v>
      </c>
      <c r="O900" s="22" cm="1">
        <f t="array" ref="O900">MAX(IF((Tabla_Pagos[NRO DOC]=B900)*(Tabla_Pagos[IMPORTE ABONADO]&gt;0),Tabla_Pagos[FECHA DE ABONO]))</f>
        <v>46078</v>
      </c>
    </row>
    <row r="901" spans="2:15" ht="21" customHeight="1" x14ac:dyDescent="0.25">
      <c r="B901" s="39">
        <v>1832</v>
      </c>
      <c r="C901" s="20">
        <v>46078</v>
      </c>
      <c r="D901" s="40" t="s">
        <v>715</v>
      </c>
      <c r="E901" s="37" t="str">
        <f>IFERROR(VLOOKUP(D901,CLIENTES!$B$12:$G$2602,2,FALSE),"")</f>
        <v>MPF INGENIERÃA CIVIL SPA</v>
      </c>
      <c r="F901" s="31">
        <v>47600</v>
      </c>
      <c r="G901" s="41" t="s">
        <v>101</v>
      </c>
      <c r="H901" s="26">
        <v>0</v>
      </c>
      <c r="I901" s="21" t="str">
        <f t="shared" si="135"/>
        <v>Contado</v>
      </c>
      <c r="J901" s="22">
        <f t="shared" si="136"/>
        <v>46078</v>
      </c>
      <c r="K901" s="27">
        <f t="shared" ca="1" si="137"/>
        <v>0</v>
      </c>
      <c r="L901" s="23" t="str">
        <f t="shared" si="138"/>
        <v>Pagado</v>
      </c>
      <c r="M901" s="36">
        <f>SUMIFS(Tabla_Pagos[IMPORTE ABONADO],Tabla_Pagos[FECHA DE ABONO],"&gt;0",Tabla_Pagos[NRO DOC],B901)</f>
        <v>47600</v>
      </c>
      <c r="N901" s="36">
        <f t="shared" si="139"/>
        <v>0</v>
      </c>
      <c r="O901" s="22" cm="1">
        <f t="array" ref="O901">MAX(IF((Tabla_Pagos[NRO DOC]=B901)*(Tabla_Pagos[IMPORTE ABONADO]&gt;0),Tabla_Pagos[FECHA DE ABONO]))</f>
        <v>46078</v>
      </c>
    </row>
    <row r="902" spans="2:15" ht="21" customHeight="1" x14ac:dyDescent="0.25">
      <c r="B902" s="39">
        <v>1833</v>
      </c>
      <c r="C902" s="20">
        <v>46078</v>
      </c>
      <c r="D902" s="40" t="s">
        <v>652</v>
      </c>
      <c r="E902" s="37" t="str">
        <f>IFERROR(VLOOKUP(D902,CLIENTES!$B$12:$G$2602,2,FALSE),"")</f>
        <v>ARRIENDO DE MAQUINARIAS Y SERVICIOS SERMAK SPA</v>
      </c>
      <c r="F902" s="31">
        <v>11900</v>
      </c>
      <c r="G902" s="41" t="s">
        <v>101</v>
      </c>
      <c r="H902" s="26">
        <v>0</v>
      </c>
      <c r="I902" s="21" t="str">
        <f t="shared" si="135"/>
        <v>Contado</v>
      </c>
      <c r="J902" s="22">
        <f t="shared" si="136"/>
        <v>46078</v>
      </c>
      <c r="K902" s="27">
        <f t="shared" ca="1" si="137"/>
        <v>0</v>
      </c>
      <c r="L902" s="23" t="str">
        <f t="shared" si="138"/>
        <v>Pagado</v>
      </c>
      <c r="M902" s="36">
        <f>SUMIFS(Tabla_Pagos[IMPORTE ABONADO],Tabla_Pagos[FECHA DE ABONO],"&gt;0",Tabla_Pagos[NRO DOC],B902)</f>
        <v>11900</v>
      </c>
      <c r="N902" s="36">
        <f t="shared" si="139"/>
        <v>0</v>
      </c>
      <c r="O902" s="22" cm="1">
        <f t="array" ref="O902">MAX(IF((Tabla_Pagos[NRO DOC]=B902)*(Tabla_Pagos[IMPORTE ABONADO]&gt;0),Tabla_Pagos[FECHA DE ABONO]))</f>
        <v>46078</v>
      </c>
    </row>
    <row r="903" spans="2:15" ht="21" customHeight="1" x14ac:dyDescent="0.25">
      <c r="B903" s="39">
        <v>1834</v>
      </c>
      <c r="C903" s="20">
        <v>46078</v>
      </c>
      <c r="D903" s="40" t="s">
        <v>716</v>
      </c>
      <c r="E903" s="37" t="str">
        <f>IFERROR(VLOOKUP(D903,CLIENTES!$B$12:$G$2602,2,FALSE),"")</f>
        <v>CONSTRUCCIONES METALICAS JOSE EDUARDO SOTO NAVEA E.I.R.L</v>
      </c>
      <c r="F903" s="31">
        <v>416500</v>
      </c>
      <c r="G903" s="41" t="s">
        <v>101</v>
      </c>
      <c r="H903" s="26">
        <v>0</v>
      </c>
      <c r="I903" s="21" t="str">
        <f t="shared" si="135"/>
        <v>Contado</v>
      </c>
      <c r="J903" s="22">
        <f t="shared" si="136"/>
        <v>46078</v>
      </c>
      <c r="K903" s="27">
        <f t="shared" ca="1" si="137"/>
        <v>0</v>
      </c>
      <c r="L903" s="23" t="str">
        <f t="shared" si="138"/>
        <v>Pagado</v>
      </c>
      <c r="M903" s="36">
        <f>SUMIFS(Tabla_Pagos[IMPORTE ABONADO],Tabla_Pagos[FECHA DE ABONO],"&gt;0",Tabla_Pagos[NRO DOC],B903)</f>
        <v>416500</v>
      </c>
      <c r="N903" s="36">
        <f t="shared" si="139"/>
        <v>0</v>
      </c>
      <c r="O903" s="22" cm="1">
        <f t="array" ref="O903">MAX(IF((Tabla_Pagos[NRO DOC]=B903)*(Tabla_Pagos[IMPORTE ABONADO]&gt;0),Tabla_Pagos[FECHA DE ABONO]))</f>
        <v>46078</v>
      </c>
    </row>
    <row r="904" spans="2:15" ht="21" customHeight="1" x14ac:dyDescent="0.25">
      <c r="B904" s="39">
        <v>1835</v>
      </c>
      <c r="C904" s="20">
        <v>46078</v>
      </c>
      <c r="D904" s="40" t="s">
        <v>108</v>
      </c>
      <c r="E904" s="37" t="str">
        <f>IFERROR(VLOOKUP(D904,CLIENTES!$B$12:$G$2602,2,FALSE),"")</f>
        <v>IMPORTADORA Y COMERCIAL JOMIAL LIMITADA</v>
      </c>
      <c r="F904" s="31">
        <v>299642</v>
      </c>
      <c r="G904" s="41" t="s">
        <v>101</v>
      </c>
      <c r="H904" s="26">
        <v>30</v>
      </c>
      <c r="I904" s="21" t="str">
        <f t="shared" si="135"/>
        <v>Crédito</v>
      </c>
      <c r="J904" s="22">
        <f t="shared" si="136"/>
        <v>46108</v>
      </c>
      <c r="K904" s="27">
        <f t="shared" ca="1" si="137"/>
        <v>0</v>
      </c>
      <c r="L904" s="23" t="str">
        <f t="shared" si="138"/>
        <v>Pagado</v>
      </c>
      <c r="M904" s="36">
        <f>SUMIFS(Tabla_Pagos[IMPORTE ABONADO],Tabla_Pagos[FECHA DE ABONO],"&gt;0",Tabla_Pagos[NRO DOC],B904)</f>
        <v>299642</v>
      </c>
      <c r="N904" s="36">
        <f t="shared" si="139"/>
        <v>0</v>
      </c>
      <c r="O904" s="22" cm="1">
        <f t="array" ref="O904">MAX(IF((Tabla_Pagos[NRO DOC]=B904)*(Tabla_Pagos[IMPORTE ABONADO]&gt;0),Tabla_Pagos[FECHA DE ABONO]))</f>
        <v>46080</v>
      </c>
    </row>
    <row r="905" spans="2:15" ht="21" customHeight="1" x14ac:dyDescent="0.25">
      <c r="B905" s="39">
        <v>1836</v>
      </c>
      <c r="C905" s="20">
        <v>46079</v>
      </c>
      <c r="D905" s="40" t="s">
        <v>395</v>
      </c>
      <c r="E905" s="37" t="str">
        <f>IFERROR(VLOOKUP(D905,CLIENTES!$B$12:$G$2602,2,FALSE),"")</f>
        <v>SOLUCIONES GLOBALES CARLOS HERBERTO MOSCOSO</v>
      </c>
      <c r="F905" s="31">
        <v>844900</v>
      </c>
      <c r="G905" s="41" t="s">
        <v>101</v>
      </c>
      <c r="H905" s="26">
        <v>30</v>
      </c>
      <c r="I905" s="21" t="str">
        <f t="shared" si="135"/>
        <v>Crédito</v>
      </c>
      <c r="J905" s="22">
        <f t="shared" si="136"/>
        <v>46109</v>
      </c>
      <c r="K905" s="27">
        <f t="shared" ca="1" si="137"/>
        <v>0</v>
      </c>
      <c r="L905" s="23" t="str">
        <f t="shared" si="138"/>
        <v>Pagado</v>
      </c>
      <c r="M905" s="36">
        <f>SUMIFS(Tabla_Pagos[IMPORTE ABONADO],Tabla_Pagos[FECHA DE ABONO],"&gt;0",Tabla_Pagos[NRO DOC],B905)</f>
        <v>844900</v>
      </c>
      <c r="N905" s="36">
        <f t="shared" si="139"/>
        <v>0</v>
      </c>
      <c r="O905" s="22" cm="1">
        <f t="array" ref="O905">MAX(IF((Tabla_Pagos[NRO DOC]=B905)*(Tabla_Pagos[IMPORTE ABONADO]&gt;0),Tabla_Pagos[FECHA DE ABONO]))</f>
        <v>46080</v>
      </c>
    </row>
    <row r="906" spans="2:15" ht="21" customHeight="1" x14ac:dyDescent="0.25">
      <c r="B906" s="39">
        <v>1837</v>
      </c>
      <c r="C906" s="20">
        <v>46079</v>
      </c>
      <c r="D906" s="40" t="s">
        <v>717</v>
      </c>
      <c r="E906" s="37" t="str">
        <f>IFERROR(VLOOKUP(D906,CLIENTES!$B$12:$G$2602,2,FALSE),"")</f>
        <v>OBRAS CIVILES ARRIENDO Y REPARACION DE MAQUINARIAS Y EQUIPOS LTDA</v>
      </c>
      <c r="F906" s="31">
        <v>107100</v>
      </c>
      <c r="G906" s="41" t="s">
        <v>101</v>
      </c>
      <c r="H906" s="26">
        <v>0</v>
      </c>
      <c r="I906" s="21" t="str">
        <f t="shared" si="135"/>
        <v>Contado</v>
      </c>
      <c r="J906" s="22">
        <f t="shared" si="136"/>
        <v>46079</v>
      </c>
      <c r="K906" s="27">
        <f t="shared" ca="1" si="137"/>
        <v>0</v>
      </c>
      <c r="L906" s="23" t="str">
        <f t="shared" si="138"/>
        <v>Pagado</v>
      </c>
      <c r="M906" s="36">
        <f>SUMIFS(Tabla_Pagos[IMPORTE ABONADO],Tabla_Pagos[FECHA DE ABONO],"&gt;0",Tabla_Pagos[NRO DOC],B906)</f>
        <v>107100</v>
      </c>
      <c r="N906" s="36">
        <f t="shared" si="139"/>
        <v>0</v>
      </c>
      <c r="O906" s="22" cm="1">
        <f t="array" ref="O906">MAX(IF((Tabla_Pagos[NRO DOC]=B906)*(Tabla_Pagos[IMPORTE ABONADO]&gt;0),Tabla_Pagos[FECHA DE ABONO]))</f>
        <v>46079</v>
      </c>
    </row>
    <row r="907" spans="2:15" ht="21" customHeight="1" x14ac:dyDescent="0.25">
      <c r="B907" s="39">
        <v>1838</v>
      </c>
      <c r="C907" s="20">
        <v>46081</v>
      </c>
      <c r="D907" s="40" t="s">
        <v>718</v>
      </c>
      <c r="E907" s="37" t="str">
        <f>IFERROR(VLOOKUP(D907,CLIENTES!$B$12:$G$2602,2,FALSE),"")</f>
        <v>TRANSPORTES PUELLES SPA</v>
      </c>
      <c r="F907" s="31">
        <v>20000</v>
      </c>
      <c r="G907" s="41" t="s">
        <v>101</v>
      </c>
      <c r="H907" s="26">
        <v>0</v>
      </c>
      <c r="I907" s="21" t="str">
        <f t="shared" si="135"/>
        <v>Contado</v>
      </c>
      <c r="J907" s="22">
        <f t="shared" si="136"/>
        <v>46081</v>
      </c>
      <c r="K907" s="27">
        <f t="shared" ca="1" si="137"/>
        <v>0</v>
      </c>
      <c r="L907" s="23" t="str">
        <f t="shared" si="138"/>
        <v>Pagado</v>
      </c>
      <c r="M907" s="36">
        <f>SUMIFS(Tabla_Pagos[IMPORTE ABONADO],Tabla_Pagos[FECHA DE ABONO],"&gt;0",Tabla_Pagos[NRO DOC],B907)</f>
        <v>20000</v>
      </c>
      <c r="N907" s="36">
        <f t="shared" si="139"/>
        <v>0</v>
      </c>
      <c r="O907" s="22" cm="1">
        <f t="array" ref="O907">MAX(IF((Tabla_Pagos[NRO DOC]=B907)*(Tabla_Pagos[IMPORTE ABONADO]&gt;0),Tabla_Pagos[FECHA DE ABONO]))</f>
        <v>46081</v>
      </c>
    </row>
    <row r="908" spans="2:15" ht="21" customHeight="1" x14ac:dyDescent="0.25">
      <c r="B908" s="39">
        <v>1839</v>
      </c>
      <c r="C908" s="20">
        <v>46083</v>
      </c>
      <c r="D908" s="40" t="s">
        <v>514</v>
      </c>
      <c r="E908" s="37" t="str">
        <f>IFERROR(VLOOKUP(D908,CLIENTES!$B$12:$G$2602,2,FALSE),"")</f>
        <v>RIVERA COMPANY SPA</v>
      </c>
      <c r="F908" s="31">
        <v>148691</v>
      </c>
      <c r="G908" s="41" t="s">
        <v>101</v>
      </c>
      <c r="H908" s="26">
        <v>0</v>
      </c>
      <c r="I908" s="21" t="str">
        <f>IF(H908="","",IF(H908=0,"Contado","Crédito"))</f>
        <v>Contado</v>
      </c>
      <c r="J908" s="22">
        <f>IF(I908="","",C908+H908)</f>
        <v>46083</v>
      </c>
      <c r="K908" s="27">
        <f ca="1">IFERROR(IF(B908="","",IF(N908=0,0,J908-TODAY())),"")</f>
        <v>0</v>
      </c>
      <c r="L908" s="23" t="str">
        <f>IF(I908="","",IF(N908=0,"Pagado",IF(K908&lt;0,"Vencido","No vencido")))</f>
        <v>Pagado</v>
      </c>
      <c r="M908" s="36">
        <f>SUMIFS(Tabla_Pagos[IMPORTE ABONADO],Tabla_Pagos[FECHA DE ABONO],"&gt;0",Tabla_Pagos[NRO DOC],B908)</f>
        <v>148691</v>
      </c>
      <c r="N908" s="36">
        <f>F908-M908</f>
        <v>0</v>
      </c>
      <c r="O908" s="22" cm="1">
        <f t="array" ref="O908">MAX(IF((Tabla_Pagos[NRO DOC]=B908)*(Tabla_Pagos[IMPORTE ABONADO]&gt;0),Tabla_Pagos[FECHA DE ABONO]))</f>
        <v>46083</v>
      </c>
    </row>
    <row r="909" spans="2:15" ht="21" customHeight="1" x14ac:dyDescent="0.25">
      <c r="B909" s="39">
        <v>1840</v>
      </c>
      <c r="C909" s="20">
        <v>46083</v>
      </c>
      <c r="D909" s="40" t="s">
        <v>388</v>
      </c>
      <c r="E909" s="37" t="str">
        <f>IFERROR(VLOOKUP(D909,CLIENTES!$B$12:$G$2602,2,FALSE),"")</f>
        <v>JEAN MAURICIO OLIVARES TOLEDO</v>
      </c>
      <c r="F909" s="31">
        <v>5950</v>
      </c>
      <c r="G909" s="41" t="s">
        <v>101</v>
      </c>
      <c r="H909" s="26">
        <v>0</v>
      </c>
      <c r="I909" s="21" t="str">
        <f t="shared" ref="I909:I955" si="140">IF(H909="","",IF(H909=0,"Contado","Crédito"))</f>
        <v>Contado</v>
      </c>
      <c r="J909" s="22">
        <f t="shared" ref="J909:J955" si="141">IF(I909="","",C909+H909)</f>
        <v>46083</v>
      </c>
      <c r="K909" s="27">
        <f t="shared" ref="K909:K955" ca="1" si="142">IFERROR(IF(B909="","",IF(N909=0,0,J909-TODAY())),"")</f>
        <v>0</v>
      </c>
      <c r="L909" s="23" t="str">
        <f t="shared" ref="L909:L955" si="143">IF(I909="","",IF(N909=0,"Pagado",IF(K909&lt;0,"Vencido","No vencido")))</f>
        <v>Pagado</v>
      </c>
      <c r="M909" s="36">
        <f>SUMIFS(Tabla_Pagos[IMPORTE ABONADO],Tabla_Pagos[FECHA DE ABONO],"&gt;0",Tabla_Pagos[NRO DOC],B909)</f>
        <v>5950</v>
      </c>
      <c r="N909" s="36">
        <f t="shared" ref="N909:N955" si="144">F909-M909</f>
        <v>0</v>
      </c>
      <c r="O909" s="22" cm="1">
        <f t="array" ref="O909">MAX(IF((Tabla_Pagos[NRO DOC]=B909)*(Tabla_Pagos[IMPORTE ABONADO]&gt;0),Tabla_Pagos[FECHA DE ABONO]))</f>
        <v>46083</v>
      </c>
    </row>
    <row r="910" spans="2:15" ht="21" customHeight="1" x14ac:dyDescent="0.25">
      <c r="B910" s="39">
        <v>1841</v>
      </c>
      <c r="C910" s="20">
        <v>46083</v>
      </c>
      <c r="D910" s="40" t="s">
        <v>725</v>
      </c>
      <c r="E910" s="37" t="str">
        <f>IFERROR(VLOOKUP(D910,CLIENTES!$B$12:$G$2602,2,FALSE),"")</f>
        <v>BELLEZA Y CREACIONES J.A. SPA</v>
      </c>
      <c r="F910" s="31">
        <v>606900</v>
      </c>
      <c r="G910" s="41" t="s">
        <v>101</v>
      </c>
      <c r="H910" s="26">
        <v>30</v>
      </c>
      <c r="I910" s="21" t="str">
        <f t="shared" si="140"/>
        <v>Crédito</v>
      </c>
      <c r="J910" s="22">
        <f t="shared" si="141"/>
        <v>46113</v>
      </c>
      <c r="K910" s="27">
        <f t="shared" ca="1" si="142"/>
        <v>0</v>
      </c>
      <c r="L910" s="23" t="str">
        <f t="shared" si="143"/>
        <v>Pagado</v>
      </c>
      <c r="M910" s="36">
        <f>SUMIFS(Tabla_Pagos[IMPORTE ABONADO],Tabla_Pagos[FECHA DE ABONO],"&gt;0",Tabla_Pagos[NRO DOC],B910)</f>
        <v>606900</v>
      </c>
      <c r="N910" s="36">
        <f t="shared" si="144"/>
        <v>0</v>
      </c>
      <c r="O910" s="22" cm="1">
        <f t="array" ref="O910">MAX(IF((Tabla_Pagos[NRO DOC]=B910)*(Tabla_Pagos[IMPORTE ABONADO]&gt;0),Tabla_Pagos[FECHA DE ABONO]))</f>
        <v>46083</v>
      </c>
    </row>
    <row r="911" spans="2:15" ht="21" customHeight="1" x14ac:dyDescent="0.25">
      <c r="B911" s="39">
        <v>1842</v>
      </c>
      <c r="C911" s="20">
        <v>46083</v>
      </c>
      <c r="D911" s="40" t="s">
        <v>47</v>
      </c>
      <c r="E911" s="37" t="str">
        <f>IFERROR(VLOOKUP(D911,CLIENTES!$B$12:$G$2602,2,FALSE),"")</f>
        <v>PATAGONIA SERVICIOS SPA</v>
      </c>
      <c r="F911" s="31">
        <v>14477540</v>
      </c>
      <c r="G911" s="41" t="s">
        <v>101</v>
      </c>
      <c r="H911" s="26">
        <v>30</v>
      </c>
      <c r="I911" s="21" t="str">
        <f t="shared" si="140"/>
        <v>Crédito</v>
      </c>
      <c r="J911" s="22">
        <f t="shared" si="141"/>
        <v>46113</v>
      </c>
      <c r="K911" s="27">
        <f t="shared" ca="1" si="142"/>
        <v>0</v>
      </c>
      <c r="L911" s="23" t="str">
        <f t="shared" si="143"/>
        <v>Pagado</v>
      </c>
      <c r="M911" s="36">
        <f>SUMIFS(Tabla_Pagos[IMPORTE ABONADO],Tabla_Pagos[FECHA DE ABONO],"&gt;0",Tabla_Pagos[NRO DOC],B911)</f>
        <v>14477540</v>
      </c>
      <c r="N911" s="36">
        <f t="shared" si="144"/>
        <v>0</v>
      </c>
      <c r="O911" s="22" cm="1">
        <f t="array" ref="O911">MAX(IF((Tabla_Pagos[NRO DOC]=B911)*(Tabla_Pagos[IMPORTE ABONADO]&gt;0),Tabla_Pagos[FECHA DE ABONO]))</f>
        <v>46094</v>
      </c>
    </row>
    <row r="912" spans="2:15" ht="21" customHeight="1" x14ac:dyDescent="0.25">
      <c r="B912" s="39">
        <v>1843</v>
      </c>
      <c r="C912" s="20">
        <v>46083</v>
      </c>
      <c r="D912" s="40" t="s">
        <v>47</v>
      </c>
      <c r="E912" s="37" t="str">
        <f>IFERROR(VLOOKUP(D912,CLIENTES!$B$12:$G$2602,2,FALSE),"")</f>
        <v>PATAGONIA SERVICIOS SPA</v>
      </c>
      <c r="F912" s="31">
        <v>11031300</v>
      </c>
      <c r="G912" s="41" t="s">
        <v>101</v>
      </c>
      <c r="H912" s="26">
        <v>30</v>
      </c>
      <c r="I912" s="21" t="str">
        <f t="shared" si="140"/>
        <v>Crédito</v>
      </c>
      <c r="J912" s="22">
        <f t="shared" si="141"/>
        <v>46113</v>
      </c>
      <c r="K912" s="27">
        <f t="shared" ca="1" si="142"/>
        <v>0</v>
      </c>
      <c r="L912" s="23" t="str">
        <f t="shared" si="143"/>
        <v>Pagado</v>
      </c>
      <c r="M912" s="36">
        <f>SUMIFS(Tabla_Pagos[IMPORTE ABONADO],Tabla_Pagos[FECHA DE ABONO],"&gt;0",Tabla_Pagos[NRO DOC],B912)</f>
        <v>11031300</v>
      </c>
      <c r="N912" s="36">
        <f t="shared" si="144"/>
        <v>0</v>
      </c>
      <c r="O912" s="22" cm="1">
        <f t="array" ref="O912">MAX(IF((Tabla_Pagos[NRO DOC]=B912)*(Tabla_Pagos[IMPORTE ABONADO]&gt;0),Tabla_Pagos[FECHA DE ABONO]))</f>
        <v>46105</v>
      </c>
    </row>
    <row r="913" spans="2:15" ht="21" customHeight="1" x14ac:dyDescent="0.25">
      <c r="B913" s="39">
        <v>1844</v>
      </c>
      <c r="C913" s="20">
        <v>46083</v>
      </c>
      <c r="D913" s="40" t="s">
        <v>725</v>
      </c>
      <c r="E913" s="37" t="str">
        <f>IFERROR(VLOOKUP(D913,CLIENTES!$B$12:$G$2602,2,FALSE),"")</f>
        <v>BELLEZA Y CREACIONES J.A. SPA</v>
      </c>
      <c r="F913" s="31">
        <v>1154300</v>
      </c>
      <c r="G913" s="41" t="s">
        <v>101</v>
      </c>
      <c r="H913" s="26">
        <v>30</v>
      </c>
      <c r="I913" s="21" t="str">
        <f t="shared" si="140"/>
        <v>Crédito</v>
      </c>
      <c r="J913" s="22">
        <f t="shared" si="141"/>
        <v>46113</v>
      </c>
      <c r="K913" s="27">
        <f t="shared" ca="1" si="142"/>
        <v>0</v>
      </c>
      <c r="L913" s="23" t="str">
        <f t="shared" si="143"/>
        <v>Pagado</v>
      </c>
      <c r="M913" s="36">
        <f>SUMIFS(Tabla_Pagos[IMPORTE ABONADO],Tabla_Pagos[FECHA DE ABONO],"&gt;0",Tabla_Pagos[NRO DOC],B913)</f>
        <v>1154300</v>
      </c>
      <c r="N913" s="36">
        <f t="shared" si="144"/>
        <v>0</v>
      </c>
      <c r="O913" s="22" cm="1">
        <f t="array" ref="O913">MAX(IF((Tabla_Pagos[NRO DOC]=B913)*(Tabla_Pagos[IMPORTE ABONADO]&gt;0),Tabla_Pagos[FECHA DE ABONO]))</f>
        <v>46101</v>
      </c>
    </row>
    <row r="914" spans="2:15" ht="21" customHeight="1" x14ac:dyDescent="0.25">
      <c r="B914" s="39">
        <v>1845</v>
      </c>
      <c r="C914" s="20">
        <v>46083</v>
      </c>
      <c r="D914" s="40" t="s">
        <v>169</v>
      </c>
      <c r="E914" s="37" t="str">
        <f>IFERROR(VLOOKUP(D914,CLIENTES!$B$12:$G$2602,2,FALSE),"")</f>
        <v>SOCIEDAD COMERCIAL HERMANOS GODOY  ARAYA  SPA</v>
      </c>
      <c r="F914" s="31">
        <v>690200</v>
      </c>
      <c r="G914" s="41" t="s">
        <v>101</v>
      </c>
      <c r="H914" s="26">
        <v>30</v>
      </c>
      <c r="I914" s="21" t="str">
        <f t="shared" si="140"/>
        <v>Crédito</v>
      </c>
      <c r="J914" s="22">
        <f t="shared" si="141"/>
        <v>46113</v>
      </c>
      <c r="K914" s="27">
        <f t="shared" ca="1" si="142"/>
        <v>0</v>
      </c>
      <c r="L914" s="23" t="str">
        <f t="shared" si="143"/>
        <v>Pagado</v>
      </c>
      <c r="M914" s="36">
        <f>SUMIFS(Tabla_Pagos[IMPORTE ABONADO],Tabla_Pagos[FECHA DE ABONO],"&gt;0",Tabla_Pagos[NRO DOC],B914)</f>
        <v>690200</v>
      </c>
      <c r="N914" s="36">
        <f t="shared" si="144"/>
        <v>0</v>
      </c>
      <c r="O914" s="22" cm="1">
        <f t="array" ref="O914">MAX(IF((Tabla_Pagos[NRO DOC]=B914)*(Tabla_Pagos[IMPORTE ABONADO]&gt;0),Tabla_Pagos[FECHA DE ABONO]))</f>
        <v>46101</v>
      </c>
    </row>
    <row r="915" spans="2:15" ht="21" customHeight="1" x14ac:dyDescent="0.25">
      <c r="B915" s="39">
        <v>1846</v>
      </c>
      <c r="C915" s="20">
        <v>46083</v>
      </c>
      <c r="D915" s="40" t="s">
        <v>623</v>
      </c>
      <c r="E915" s="37" t="str">
        <f>IFERROR(VLOOKUP(D915,CLIENTES!$B$12:$G$2602,2,FALSE),"")</f>
        <v>MARIA CRISTINA MOLINA CASTILLO</v>
      </c>
      <c r="F915" s="31">
        <v>948073</v>
      </c>
      <c r="G915" s="41" t="s">
        <v>101</v>
      </c>
      <c r="H915" s="26">
        <v>30</v>
      </c>
      <c r="I915" s="21" t="str">
        <f t="shared" si="140"/>
        <v>Crédito</v>
      </c>
      <c r="J915" s="22">
        <f t="shared" si="141"/>
        <v>46113</v>
      </c>
      <c r="K915" s="27">
        <f t="shared" ca="1" si="142"/>
        <v>0</v>
      </c>
      <c r="L915" s="23" t="str">
        <f t="shared" si="143"/>
        <v>Pagado</v>
      </c>
      <c r="M915" s="36">
        <f>SUMIFS(Tabla_Pagos[IMPORTE ABONADO],Tabla_Pagos[FECHA DE ABONO],"&gt;0",Tabla_Pagos[NRO DOC],B915)</f>
        <v>948073</v>
      </c>
      <c r="N915" s="36">
        <f t="shared" si="144"/>
        <v>0</v>
      </c>
      <c r="O915" s="22" cm="1">
        <f t="array" ref="O915">MAX(IF((Tabla_Pagos[NRO DOC]=B915)*(Tabla_Pagos[IMPORTE ABONADO]&gt;0),Tabla_Pagos[FECHA DE ABONO]))</f>
        <v>46084</v>
      </c>
    </row>
    <row r="916" spans="2:15" ht="21" customHeight="1" x14ac:dyDescent="0.25">
      <c r="B916" s="39">
        <v>1847</v>
      </c>
      <c r="C916" s="20">
        <v>46083</v>
      </c>
      <c r="D916" s="40" t="s">
        <v>727</v>
      </c>
      <c r="E916" s="37" t="str">
        <f>IFERROR(VLOOKUP(D916,CLIENTES!$B$12:$G$2602,2,FALSE),"")</f>
        <v>SM TERMOFUSIONES SPA</v>
      </c>
      <c r="F916" s="31">
        <v>297500</v>
      </c>
      <c r="G916" s="41" t="s">
        <v>101</v>
      </c>
      <c r="H916" s="26">
        <v>0</v>
      </c>
      <c r="I916" s="21" t="str">
        <f t="shared" si="140"/>
        <v>Contado</v>
      </c>
      <c r="J916" s="22">
        <f t="shared" si="141"/>
        <v>46083</v>
      </c>
      <c r="K916" s="27">
        <f t="shared" ca="1" si="142"/>
        <v>0</v>
      </c>
      <c r="L916" s="23" t="str">
        <f t="shared" si="143"/>
        <v>Pagado</v>
      </c>
      <c r="M916" s="36">
        <f>SUMIFS(Tabla_Pagos[IMPORTE ABONADO],Tabla_Pagos[FECHA DE ABONO],"&gt;0",Tabla_Pagos[NRO DOC],B916)</f>
        <v>297500</v>
      </c>
      <c r="N916" s="36">
        <f t="shared" si="144"/>
        <v>0</v>
      </c>
      <c r="O916" s="22" cm="1">
        <f t="array" ref="O916">MAX(IF((Tabla_Pagos[NRO DOC]=B916)*(Tabla_Pagos[IMPORTE ABONADO]&gt;0),Tabla_Pagos[FECHA DE ABONO]))</f>
        <v>46083</v>
      </c>
    </row>
    <row r="917" spans="2:15" ht="21" customHeight="1" x14ac:dyDescent="0.25">
      <c r="B917" s="39">
        <v>1848</v>
      </c>
      <c r="C917" s="20">
        <v>46083</v>
      </c>
      <c r="D917" s="40" t="s">
        <v>211</v>
      </c>
      <c r="E917" s="37" t="str">
        <f>IFERROR(VLOOKUP(D917,CLIENTES!$B$12:$G$2602,2,FALSE),"")</f>
        <v>CONSTRUCTORA, REPARACIONES, APLICACIONES E INSTALACIONES GRUPO ATADURA</v>
      </c>
      <c r="F917" s="31">
        <v>91035</v>
      </c>
      <c r="G917" s="41" t="s">
        <v>101</v>
      </c>
      <c r="H917" s="26">
        <v>0</v>
      </c>
      <c r="I917" s="21" t="str">
        <f t="shared" si="140"/>
        <v>Contado</v>
      </c>
      <c r="J917" s="22">
        <f t="shared" si="141"/>
        <v>46083</v>
      </c>
      <c r="K917" s="27">
        <f t="shared" ca="1" si="142"/>
        <v>0</v>
      </c>
      <c r="L917" s="23" t="str">
        <f t="shared" si="143"/>
        <v>Pagado</v>
      </c>
      <c r="M917" s="36">
        <f>SUMIFS(Tabla_Pagos[IMPORTE ABONADO],Tabla_Pagos[FECHA DE ABONO],"&gt;0",Tabla_Pagos[NRO DOC],B917)</f>
        <v>91035</v>
      </c>
      <c r="N917" s="36">
        <f t="shared" si="144"/>
        <v>0</v>
      </c>
      <c r="O917" s="22" cm="1">
        <f t="array" ref="O917">MAX(IF((Tabla_Pagos[NRO DOC]=B917)*(Tabla_Pagos[IMPORTE ABONADO]&gt;0),Tabla_Pagos[FECHA DE ABONO]))</f>
        <v>46083</v>
      </c>
    </row>
    <row r="918" spans="2:15" ht="21" customHeight="1" x14ac:dyDescent="0.25">
      <c r="B918" s="39">
        <v>1849</v>
      </c>
      <c r="C918" s="20">
        <v>46083</v>
      </c>
      <c r="D918" s="40" t="s">
        <v>205</v>
      </c>
      <c r="E918" s="37" t="str">
        <f>IFERROR(VLOOKUP(D918,CLIENTES!$B$12:$G$2602,2,FALSE),"")</f>
        <v>CONSTRUCTORA DE PAVIMENTOS ASFALTICOS BITUMIX S.A</v>
      </c>
      <c r="F918" s="31">
        <v>16862300</v>
      </c>
      <c r="G918" s="41" t="s">
        <v>101</v>
      </c>
      <c r="H918" s="26">
        <v>30</v>
      </c>
      <c r="I918" s="21" t="str">
        <f t="shared" si="140"/>
        <v>Crédito</v>
      </c>
      <c r="J918" s="22">
        <f t="shared" si="141"/>
        <v>46113</v>
      </c>
      <c r="K918" s="27">
        <f t="shared" ca="1" si="142"/>
        <v>0</v>
      </c>
      <c r="L918" s="23" t="str">
        <f t="shared" si="143"/>
        <v>Pagado</v>
      </c>
      <c r="M918" s="36">
        <f>SUMIFS(Tabla_Pagos[IMPORTE ABONADO],Tabla_Pagos[FECHA DE ABONO],"&gt;0",Tabla_Pagos[NRO DOC],B918)</f>
        <v>16862300</v>
      </c>
      <c r="N918" s="36">
        <f t="shared" si="144"/>
        <v>0</v>
      </c>
      <c r="O918" s="22" cm="1">
        <f t="array" ref="O918">MAX(IF((Tabla_Pagos[NRO DOC]=B918)*(Tabla_Pagos[IMPORTE ABONADO]&gt;0),Tabla_Pagos[FECHA DE ABONO]))</f>
        <v>46122</v>
      </c>
    </row>
    <row r="919" spans="2:15" ht="21" customHeight="1" x14ac:dyDescent="0.25">
      <c r="B919" s="39">
        <v>1850</v>
      </c>
      <c r="C919" s="20">
        <v>46084</v>
      </c>
      <c r="D919" s="40" t="s">
        <v>729</v>
      </c>
      <c r="E919" s="37" t="str">
        <f>IFERROR(VLOOKUP(D919,CLIENTES!$B$12:$G$2602,2,FALSE),"")</f>
        <v>EMPRESA DE TRANSPORTES DE PASAJEROS NUEVA COPIAPO 1 SPA</v>
      </c>
      <c r="F919" s="31">
        <v>648193</v>
      </c>
      <c r="G919" s="41" t="s">
        <v>101</v>
      </c>
      <c r="H919" s="26">
        <v>0</v>
      </c>
      <c r="I919" s="21" t="str">
        <f t="shared" si="140"/>
        <v>Contado</v>
      </c>
      <c r="J919" s="22">
        <f t="shared" si="141"/>
        <v>46084</v>
      </c>
      <c r="K919" s="27">
        <f t="shared" ca="1" si="142"/>
        <v>0</v>
      </c>
      <c r="L919" s="23" t="str">
        <f t="shared" si="143"/>
        <v>Pagado</v>
      </c>
      <c r="M919" s="36">
        <f>SUMIFS(Tabla_Pagos[IMPORTE ABONADO],Tabla_Pagos[FECHA DE ABONO],"&gt;0",Tabla_Pagos[NRO DOC],B919)</f>
        <v>648193</v>
      </c>
      <c r="N919" s="36">
        <f t="shared" si="144"/>
        <v>0</v>
      </c>
      <c r="O919" s="22" cm="1">
        <f t="array" ref="O919">MAX(IF((Tabla_Pagos[NRO DOC]=B919)*(Tabla_Pagos[IMPORTE ABONADO]&gt;0),Tabla_Pagos[FECHA DE ABONO]))</f>
        <v>46084</v>
      </c>
    </row>
    <row r="920" spans="2:15" ht="21" customHeight="1" x14ac:dyDescent="0.25">
      <c r="B920" s="39">
        <v>1851</v>
      </c>
      <c r="C920" s="20">
        <v>46084</v>
      </c>
      <c r="D920" s="40" t="s">
        <v>368</v>
      </c>
      <c r="E920" s="37" t="str">
        <f>IFERROR(VLOOKUP(D920,CLIENTES!$B$12:$G$2602,2,FALSE),"")</f>
        <v>SIDESA CHILE S.A.</v>
      </c>
      <c r="F920" s="31">
        <v>315350</v>
      </c>
      <c r="G920" s="41" t="s">
        <v>101</v>
      </c>
      <c r="H920" s="26">
        <v>30</v>
      </c>
      <c r="I920" s="21" t="str">
        <f t="shared" si="140"/>
        <v>Crédito</v>
      </c>
      <c r="J920" s="22">
        <f t="shared" si="141"/>
        <v>46114</v>
      </c>
      <c r="K920" s="27">
        <f t="shared" ca="1" si="142"/>
        <v>0</v>
      </c>
      <c r="L920" s="23" t="str">
        <f t="shared" si="143"/>
        <v>Pagado</v>
      </c>
      <c r="M920" s="36">
        <f>SUMIFS(Tabla_Pagos[IMPORTE ABONADO],Tabla_Pagos[FECHA DE ABONO],"&gt;0",Tabla_Pagos[NRO DOC],B920)</f>
        <v>315350</v>
      </c>
      <c r="N920" s="36">
        <f t="shared" si="144"/>
        <v>0</v>
      </c>
      <c r="O920" s="22" cm="1">
        <f t="array" ref="O920">MAX(IF((Tabla_Pagos[NRO DOC]=B920)*(Tabla_Pagos[IMPORTE ABONADO]&gt;0),Tabla_Pagos[FECHA DE ABONO]))</f>
        <v>46107</v>
      </c>
    </row>
    <row r="921" spans="2:15" ht="21" customHeight="1" x14ac:dyDescent="0.25">
      <c r="B921" s="39">
        <v>1852</v>
      </c>
      <c r="C921" s="20">
        <v>46084</v>
      </c>
      <c r="D921" s="40" t="s">
        <v>58</v>
      </c>
      <c r="E921" s="37" t="str">
        <f>IFERROR(VLOOKUP(D921,CLIENTES!$B$12:$G$2602,2,FALSE),"")</f>
        <v>ZACH PROYECTOS SA</v>
      </c>
      <c r="F921" s="31">
        <v>523600</v>
      </c>
      <c r="G921" s="41" t="s">
        <v>101</v>
      </c>
      <c r="H921" s="26">
        <v>30</v>
      </c>
      <c r="I921" s="21" t="str">
        <f t="shared" si="140"/>
        <v>Crédito</v>
      </c>
      <c r="J921" s="22">
        <f t="shared" si="141"/>
        <v>46114</v>
      </c>
      <c r="K921" s="27">
        <f t="shared" ca="1" si="142"/>
        <v>0</v>
      </c>
      <c r="L921" s="23" t="str">
        <f t="shared" si="143"/>
        <v>Pagado</v>
      </c>
      <c r="M921" s="36">
        <f>SUMIFS(Tabla_Pagos[IMPORTE ABONADO],Tabla_Pagos[FECHA DE ABONO],"&gt;0",Tabla_Pagos[NRO DOC],B921)</f>
        <v>523600</v>
      </c>
      <c r="N921" s="36">
        <f t="shared" si="144"/>
        <v>0</v>
      </c>
      <c r="O921" s="22" cm="1">
        <f t="array" ref="O921">MAX(IF((Tabla_Pagos[NRO DOC]=B921)*(Tabla_Pagos[IMPORTE ABONADO]&gt;0),Tabla_Pagos[FECHA DE ABONO]))</f>
        <v>46136</v>
      </c>
    </row>
    <row r="922" spans="2:15" ht="21" customHeight="1" x14ac:dyDescent="0.25">
      <c r="B922" s="39">
        <v>1853</v>
      </c>
      <c r="C922" s="20">
        <v>46085</v>
      </c>
      <c r="D922" s="40" t="s">
        <v>654</v>
      </c>
      <c r="E922" s="37" t="str">
        <f>IFERROR(VLOOKUP(D922,CLIENTES!$B$12:$G$2602,2,FALSE),"")</f>
        <v>BASSI E HIJOS SPA</v>
      </c>
      <c r="F922" s="31">
        <v>19999</v>
      </c>
      <c r="G922" s="41" t="s">
        <v>101</v>
      </c>
      <c r="H922" s="26">
        <v>0</v>
      </c>
      <c r="I922" s="21" t="str">
        <f t="shared" si="140"/>
        <v>Contado</v>
      </c>
      <c r="J922" s="22">
        <f t="shared" si="141"/>
        <v>46085</v>
      </c>
      <c r="K922" s="27">
        <f t="shared" ca="1" si="142"/>
        <v>0</v>
      </c>
      <c r="L922" s="23" t="str">
        <f t="shared" si="143"/>
        <v>Pagado</v>
      </c>
      <c r="M922" s="36">
        <f>SUMIFS(Tabla_Pagos[IMPORTE ABONADO],Tabla_Pagos[FECHA DE ABONO],"&gt;0",Tabla_Pagos[NRO DOC],B922)</f>
        <v>19999</v>
      </c>
      <c r="N922" s="36">
        <f t="shared" si="144"/>
        <v>0</v>
      </c>
      <c r="O922" s="22" cm="1">
        <f t="array" ref="O922">MAX(IF((Tabla_Pagos[NRO DOC]=B922)*(Tabla_Pagos[IMPORTE ABONADO]&gt;0),Tabla_Pagos[FECHA DE ABONO]))</f>
        <v>46085</v>
      </c>
    </row>
    <row r="923" spans="2:15" ht="21" customHeight="1" x14ac:dyDescent="0.25">
      <c r="B923" s="39">
        <v>1854</v>
      </c>
      <c r="C923" s="20">
        <v>46085</v>
      </c>
      <c r="D923" s="40" t="s">
        <v>731</v>
      </c>
      <c r="E923" s="37" t="str">
        <f>IFERROR(VLOOKUP(D923,CLIENTES!$B$12:$G$2602,2,FALSE),"")</f>
        <v>IACOP INGENIERIA SPA</v>
      </c>
      <c r="F923" s="31">
        <v>202300</v>
      </c>
      <c r="G923" s="41" t="s">
        <v>101</v>
      </c>
      <c r="H923" s="26">
        <v>0</v>
      </c>
      <c r="I923" s="21" t="str">
        <f t="shared" si="140"/>
        <v>Contado</v>
      </c>
      <c r="J923" s="22">
        <f t="shared" si="141"/>
        <v>46085</v>
      </c>
      <c r="K923" s="27">
        <f t="shared" ca="1" si="142"/>
        <v>0</v>
      </c>
      <c r="L923" s="23" t="str">
        <f t="shared" si="143"/>
        <v>Pagado</v>
      </c>
      <c r="M923" s="36">
        <f>SUMIFS(Tabla_Pagos[IMPORTE ABONADO],Tabla_Pagos[FECHA DE ABONO],"&gt;0",Tabla_Pagos[NRO DOC],B923)</f>
        <v>202300</v>
      </c>
      <c r="N923" s="36">
        <f t="shared" si="144"/>
        <v>0</v>
      </c>
      <c r="O923" s="22" cm="1">
        <f t="array" ref="O923">MAX(IF((Tabla_Pagos[NRO DOC]=B923)*(Tabla_Pagos[IMPORTE ABONADO]&gt;0),Tabla_Pagos[FECHA DE ABONO]))</f>
        <v>46085</v>
      </c>
    </row>
    <row r="924" spans="2:15" ht="21" customHeight="1" x14ac:dyDescent="0.25">
      <c r="B924" s="39">
        <v>1855</v>
      </c>
      <c r="C924" s="20">
        <v>46085</v>
      </c>
      <c r="D924" s="40" t="s">
        <v>47</v>
      </c>
      <c r="E924" s="37" t="str">
        <f>IFERROR(VLOOKUP(D924,CLIENTES!$B$12:$G$2602,2,FALSE),"")</f>
        <v>PATAGONIA SERVICIOS SPA</v>
      </c>
      <c r="F924" s="31">
        <v>4760000</v>
      </c>
      <c r="G924" s="41" t="s">
        <v>101</v>
      </c>
      <c r="H924" s="26">
        <v>0</v>
      </c>
      <c r="I924" s="21" t="str">
        <f t="shared" si="140"/>
        <v>Contado</v>
      </c>
      <c r="J924" s="22">
        <f t="shared" si="141"/>
        <v>46085</v>
      </c>
      <c r="K924" s="27">
        <f t="shared" ca="1" si="142"/>
        <v>0</v>
      </c>
      <c r="L924" s="23" t="str">
        <f t="shared" si="143"/>
        <v>Pagado</v>
      </c>
      <c r="M924" s="36">
        <f>SUMIFS(Tabla_Pagos[IMPORTE ABONADO],Tabla_Pagos[FECHA DE ABONO],"&gt;0",Tabla_Pagos[NRO DOC],B924)</f>
        <v>4760000</v>
      </c>
      <c r="N924" s="36">
        <f t="shared" si="144"/>
        <v>0</v>
      </c>
      <c r="O924" s="22" cm="1">
        <f t="array" ref="O924">MAX(IF((Tabla_Pagos[NRO DOC]=B924)*(Tabla_Pagos[IMPORTE ABONADO]&gt;0),Tabla_Pagos[FECHA DE ABONO]))</f>
        <v>46085</v>
      </c>
    </row>
    <row r="925" spans="2:15" ht="21" customHeight="1" x14ac:dyDescent="0.25">
      <c r="B925" s="39">
        <v>1856</v>
      </c>
      <c r="C925" s="20">
        <v>46085</v>
      </c>
      <c r="D925" s="40" t="s">
        <v>485</v>
      </c>
      <c r="E925" s="37" t="str">
        <f>IFERROR(VLOOKUP(D925,CLIENTES!$B$12:$G$2602,2,FALSE),"")</f>
        <v>SAN RAFAEL INGENIERIA Y  SERVICIOS LIMITADA</v>
      </c>
      <c r="F925" s="31">
        <v>840735</v>
      </c>
      <c r="G925" s="41" t="s">
        <v>101</v>
      </c>
      <c r="H925" s="26">
        <v>30</v>
      </c>
      <c r="I925" s="21" t="str">
        <f t="shared" si="140"/>
        <v>Crédito</v>
      </c>
      <c r="J925" s="22">
        <f t="shared" si="141"/>
        <v>46115</v>
      </c>
      <c r="K925" s="27">
        <f t="shared" ca="1" si="142"/>
        <v>0</v>
      </c>
      <c r="L925" s="23" t="str">
        <f t="shared" si="143"/>
        <v>Pagado</v>
      </c>
      <c r="M925" s="36">
        <f>SUMIFS(Tabla_Pagos[IMPORTE ABONADO],Tabla_Pagos[FECHA DE ABONO],"&gt;0",Tabla_Pagos[NRO DOC],B925)</f>
        <v>840735</v>
      </c>
      <c r="N925" s="36">
        <f t="shared" si="144"/>
        <v>0</v>
      </c>
      <c r="O925" s="22" cm="1">
        <f t="array" ref="O925">MAX(IF((Tabla_Pagos[NRO DOC]=B925)*(Tabla_Pagos[IMPORTE ABONADO]&gt;0),Tabla_Pagos[FECHA DE ABONO]))</f>
        <v>46120</v>
      </c>
    </row>
    <row r="926" spans="2:15" ht="21" customHeight="1" x14ac:dyDescent="0.25">
      <c r="B926" s="39">
        <v>1857</v>
      </c>
      <c r="C926" s="20">
        <v>46086</v>
      </c>
      <c r="D926" s="40" t="s">
        <v>327</v>
      </c>
      <c r="E926" s="37" t="str">
        <f>IFERROR(VLOOKUP(D926,CLIENTES!$B$12:$G$2602,2,FALSE),"")</f>
        <v>INVERSIONES CORTES BUSTOS LIMITADA</v>
      </c>
      <c r="F926" s="31">
        <v>47600</v>
      </c>
      <c r="G926" s="41" t="s">
        <v>101</v>
      </c>
      <c r="H926" s="26">
        <v>0</v>
      </c>
      <c r="I926" s="21" t="str">
        <f t="shared" si="140"/>
        <v>Contado</v>
      </c>
      <c r="J926" s="22">
        <f t="shared" si="141"/>
        <v>46086</v>
      </c>
      <c r="K926" s="27">
        <f t="shared" ca="1" si="142"/>
        <v>0</v>
      </c>
      <c r="L926" s="23" t="str">
        <f t="shared" si="143"/>
        <v>Pagado</v>
      </c>
      <c r="M926" s="36">
        <f>SUMIFS(Tabla_Pagos[IMPORTE ABONADO],Tabla_Pagos[FECHA DE ABONO],"&gt;0",Tabla_Pagos[NRO DOC],B926)</f>
        <v>47600</v>
      </c>
      <c r="N926" s="36">
        <f t="shared" si="144"/>
        <v>0</v>
      </c>
      <c r="O926" s="22" cm="1">
        <f t="array" ref="O926">MAX(IF((Tabla_Pagos[NRO DOC]=B926)*(Tabla_Pagos[IMPORTE ABONADO]&gt;0),Tabla_Pagos[FECHA DE ABONO]))</f>
        <v>46086</v>
      </c>
    </row>
    <row r="927" spans="2:15" ht="21" customHeight="1" x14ac:dyDescent="0.25">
      <c r="B927" s="39">
        <v>1858</v>
      </c>
      <c r="C927" s="20">
        <v>46086</v>
      </c>
      <c r="D927" s="40" t="s">
        <v>733</v>
      </c>
      <c r="E927" s="37" t="str">
        <f>IFERROR(VLOOKUP(D927,CLIENTES!$B$12:$G$2602,2,FALSE),"")</f>
        <v>RGP COMPRA Y VENTA DE EXCEDENTES SPA</v>
      </c>
      <c r="F927" s="31">
        <v>40460</v>
      </c>
      <c r="G927" s="41" t="s">
        <v>101</v>
      </c>
      <c r="H927" s="26">
        <v>0</v>
      </c>
      <c r="I927" s="21" t="str">
        <f t="shared" si="140"/>
        <v>Contado</v>
      </c>
      <c r="J927" s="22">
        <f t="shared" si="141"/>
        <v>46086</v>
      </c>
      <c r="K927" s="27">
        <f t="shared" ca="1" si="142"/>
        <v>0</v>
      </c>
      <c r="L927" s="23" t="str">
        <f t="shared" si="143"/>
        <v>Pagado</v>
      </c>
      <c r="M927" s="36">
        <f>SUMIFS(Tabla_Pagos[IMPORTE ABONADO],Tabla_Pagos[FECHA DE ABONO],"&gt;0",Tabla_Pagos[NRO DOC],B927)</f>
        <v>40460</v>
      </c>
      <c r="N927" s="36">
        <f t="shared" si="144"/>
        <v>0</v>
      </c>
      <c r="O927" s="22" cm="1">
        <f t="array" ref="O927">MAX(IF((Tabla_Pagos[NRO DOC]=B927)*(Tabla_Pagos[IMPORTE ABONADO]&gt;0),Tabla_Pagos[FECHA DE ABONO]))</f>
        <v>46086</v>
      </c>
    </row>
    <row r="928" spans="2:15" ht="21" customHeight="1" x14ac:dyDescent="0.25">
      <c r="B928" s="39">
        <v>1859</v>
      </c>
      <c r="C928" s="20">
        <v>46086</v>
      </c>
      <c r="D928" s="40" t="s">
        <v>687</v>
      </c>
      <c r="E928" s="37" t="str">
        <f>IFERROR(VLOOKUP(D928,CLIENTES!$B$12:$G$2602,2,FALSE),"")</f>
        <v>SOCIEDAD COMERCIAL ROMSA SERVICIOS SPA</v>
      </c>
      <c r="F928" s="31">
        <v>34272</v>
      </c>
      <c r="G928" s="41" t="s">
        <v>101</v>
      </c>
      <c r="H928" s="26">
        <v>0</v>
      </c>
      <c r="I928" s="21" t="str">
        <f t="shared" si="140"/>
        <v>Contado</v>
      </c>
      <c r="J928" s="22">
        <f t="shared" si="141"/>
        <v>46086</v>
      </c>
      <c r="K928" s="27">
        <f t="shared" ca="1" si="142"/>
        <v>0</v>
      </c>
      <c r="L928" s="23" t="str">
        <f t="shared" si="143"/>
        <v>Pagado</v>
      </c>
      <c r="M928" s="36">
        <f>SUMIFS(Tabla_Pagos[IMPORTE ABONADO],Tabla_Pagos[FECHA DE ABONO],"&gt;0",Tabla_Pagos[NRO DOC],B928)</f>
        <v>34272</v>
      </c>
      <c r="N928" s="36">
        <f t="shared" si="144"/>
        <v>0</v>
      </c>
      <c r="O928" s="22" cm="1">
        <f t="array" ref="O928">MAX(IF((Tabla_Pagos[NRO DOC]=B928)*(Tabla_Pagos[IMPORTE ABONADO]&gt;0),Tabla_Pagos[FECHA DE ABONO]))</f>
        <v>46086</v>
      </c>
    </row>
    <row r="929" spans="2:15" ht="21" customHeight="1" x14ac:dyDescent="0.25">
      <c r="B929" s="39">
        <v>1860</v>
      </c>
      <c r="C929" s="20">
        <v>46086</v>
      </c>
      <c r="D929" s="40" t="s">
        <v>735</v>
      </c>
      <c r="E929" s="37" t="str">
        <f>IFERROR(VLOOKUP(D929,CLIENTES!$B$12:$G$2602,2,FALSE),"")</f>
        <v>FVP MINING  INDUSTRY SPA</v>
      </c>
      <c r="F929" s="31">
        <v>1453328</v>
      </c>
      <c r="G929" s="41" t="s">
        <v>101</v>
      </c>
      <c r="H929" s="26">
        <v>0</v>
      </c>
      <c r="I929" s="21" t="str">
        <f t="shared" si="140"/>
        <v>Contado</v>
      </c>
      <c r="J929" s="22">
        <f t="shared" si="141"/>
        <v>46086</v>
      </c>
      <c r="K929" s="27">
        <f t="shared" ca="1" si="142"/>
        <v>0</v>
      </c>
      <c r="L929" s="23" t="str">
        <f t="shared" si="143"/>
        <v>Pagado</v>
      </c>
      <c r="M929" s="36">
        <f>SUMIFS(Tabla_Pagos[IMPORTE ABONADO],Tabla_Pagos[FECHA DE ABONO],"&gt;0",Tabla_Pagos[NRO DOC],B929)</f>
        <v>1453328</v>
      </c>
      <c r="N929" s="36">
        <f t="shared" si="144"/>
        <v>0</v>
      </c>
      <c r="O929" s="22" cm="1">
        <f t="array" ref="O929">MAX(IF((Tabla_Pagos[NRO DOC]=B929)*(Tabla_Pagos[IMPORTE ABONADO]&gt;0),Tabla_Pagos[FECHA DE ABONO]))</f>
        <v>46086</v>
      </c>
    </row>
    <row r="930" spans="2:15" ht="21" customHeight="1" x14ac:dyDescent="0.25">
      <c r="B930" s="39">
        <v>1861</v>
      </c>
      <c r="C930" s="20">
        <v>46087</v>
      </c>
      <c r="D930" s="40" t="s">
        <v>102</v>
      </c>
      <c r="E930" s="37" t="str">
        <f>IFERROR(VLOOKUP(D930,CLIENTES!$B$12:$G$2602,2,FALSE),"")</f>
        <v>CONSTRUCTORA CARLOS ALBERTO ANDRES ALBISTUR REYES E.I.R.L.</v>
      </c>
      <c r="F930" s="31">
        <v>171360</v>
      </c>
      <c r="G930" s="41" t="s">
        <v>101</v>
      </c>
      <c r="H930" s="26">
        <v>0</v>
      </c>
      <c r="I930" s="21" t="str">
        <f t="shared" si="140"/>
        <v>Contado</v>
      </c>
      <c r="J930" s="22">
        <f t="shared" si="141"/>
        <v>46087</v>
      </c>
      <c r="K930" s="27">
        <f t="shared" ca="1" si="142"/>
        <v>0</v>
      </c>
      <c r="L930" s="23" t="str">
        <f t="shared" si="143"/>
        <v>Pagado</v>
      </c>
      <c r="M930" s="36">
        <f>SUMIFS(Tabla_Pagos[IMPORTE ABONADO],Tabla_Pagos[FECHA DE ABONO],"&gt;0",Tabla_Pagos[NRO DOC],B930)</f>
        <v>171360</v>
      </c>
      <c r="N930" s="36">
        <f t="shared" si="144"/>
        <v>0</v>
      </c>
      <c r="O930" s="22" cm="1">
        <f t="array" ref="O930">MAX(IF((Tabla_Pagos[NRO DOC]=B930)*(Tabla_Pagos[IMPORTE ABONADO]&gt;0),Tabla_Pagos[FECHA DE ABONO]))</f>
        <v>46087</v>
      </c>
    </row>
    <row r="931" spans="2:15" ht="21" customHeight="1" x14ac:dyDescent="0.25">
      <c r="B931" s="39">
        <v>1862</v>
      </c>
      <c r="C931" s="20">
        <v>46087</v>
      </c>
      <c r="D931" s="40" t="s">
        <v>737</v>
      </c>
      <c r="E931" s="37" t="str">
        <f>IFERROR(VLOOKUP(D931,CLIENTES!$B$12:$G$2602,2,FALSE),"")</f>
        <v>ADIXION SPA</v>
      </c>
      <c r="F931" s="31">
        <v>164220</v>
      </c>
      <c r="G931" s="41" t="s">
        <v>101</v>
      </c>
      <c r="H931" s="26">
        <v>0</v>
      </c>
      <c r="I931" s="21" t="str">
        <f t="shared" si="140"/>
        <v>Contado</v>
      </c>
      <c r="J931" s="22">
        <f t="shared" si="141"/>
        <v>46087</v>
      </c>
      <c r="K931" s="27">
        <f t="shared" ca="1" si="142"/>
        <v>0</v>
      </c>
      <c r="L931" s="23" t="str">
        <f t="shared" si="143"/>
        <v>Pagado</v>
      </c>
      <c r="M931" s="36">
        <f>SUMIFS(Tabla_Pagos[IMPORTE ABONADO],Tabla_Pagos[FECHA DE ABONO],"&gt;0",Tabla_Pagos[NRO DOC],B931)</f>
        <v>164220</v>
      </c>
      <c r="N931" s="36">
        <f t="shared" si="144"/>
        <v>0</v>
      </c>
      <c r="O931" s="22" cm="1">
        <f t="array" ref="O931">MAX(IF((Tabla_Pagos[NRO DOC]=B931)*(Tabla_Pagos[IMPORTE ABONADO]&gt;0),Tabla_Pagos[FECHA DE ABONO]))</f>
        <v>46087</v>
      </c>
    </row>
    <row r="932" spans="2:15" ht="21" customHeight="1" x14ac:dyDescent="0.25">
      <c r="B932" s="39">
        <v>1863</v>
      </c>
      <c r="C932" s="20">
        <v>46087</v>
      </c>
      <c r="D932" s="40" t="s">
        <v>739</v>
      </c>
      <c r="E932" s="37" t="str">
        <f>IFERROR(VLOOKUP(D932,CLIENTES!$B$12:$G$2602,2,FALSE),"")</f>
        <v>VALENZUELA Y VALENZUELA LIMITADA,</v>
      </c>
      <c r="F932" s="31">
        <v>107100</v>
      </c>
      <c r="G932" s="41" t="s">
        <v>101</v>
      </c>
      <c r="H932" s="26">
        <v>0</v>
      </c>
      <c r="I932" s="21" t="str">
        <f t="shared" si="140"/>
        <v>Contado</v>
      </c>
      <c r="J932" s="22">
        <f t="shared" si="141"/>
        <v>46087</v>
      </c>
      <c r="K932" s="27">
        <f t="shared" ca="1" si="142"/>
        <v>0</v>
      </c>
      <c r="L932" s="23" t="str">
        <f t="shared" si="143"/>
        <v>Pagado</v>
      </c>
      <c r="M932" s="36">
        <f>SUMIFS(Tabla_Pagos[IMPORTE ABONADO],Tabla_Pagos[FECHA DE ABONO],"&gt;0",Tabla_Pagos[NRO DOC],B932)</f>
        <v>107100</v>
      </c>
      <c r="N932" s="36">
        <f t="shared" si="144"/>
        <v>0</v>
      </c>
      <c r="O932" s="22" cm="1">
        <f t="array" ref="O932">MAX(IF((Tabla_Pagos[NRO DOC]=B932)*(Tabla_Pagos[IMPORTE ABONADO]&gt;0),Tabla_Pagos[FECHA DE ABONO]))</f>
        <v>46087</v>
      </c>
    </row>
    <row r="933" spans="2:15" ht="21" customHeight="1" x14ac:dyDescent="0.25">
      <c r="B933" s="39">
        <v>1864</v>
      </c>
      <c r="C933" s="20">
        <v>46087</v>
      </c>
      <c r="D933" s="40" t="s">
        <v>245</v>
      </c>
      <c r="E933" s="37" t="str">
        <f>IFERROR(VLOOKUP(D933,CLIENTES!$B$12:$G$2602,2,FALSE),"")</f>
        <v>SERVICIOS MONTENEGRO SPA</v>
      </c>
      <c r="F933" s="31">
        <v>71400</v>
      </c>
      <c r="G933" s="41" t="s">
        <v>101</v>
      </c>
      <c r="H933" s="26">
        <v>0</v>
      </c>
      <c r="I933" s="21" t="str">
        <f t="shared" si="140"/>
        <v>Contado</v>
      </c>
      <c r="J933" s="22">
        <f t="shared" si="141"/>
        <v>46087</v>
      </c>
      <c r="K933" s="27">
        <f t="shared" ca="1" si="142"/>
        <v>0</v>
      </c>
      <c r="L933" s="23" t="str">
        <f t="shared" si="143"/>
        <v>Pagado</v>
      </c>
      <c r="M933" s="36">
        <f>SUMIFS(Tabla_Pagos[IMPORTE ABONADO],Tabla_Pagos[FECHA DE ABONO],"&gt;0",Tabla_Pagos[NRO DOC],B933)</f>
        <v>71400</v>
      </c>
      <c r="N933" s="36">
        <f t="shared" si="144"/>
        <v>0</v>
      </c>
      <c r="O933" s="22" cm="1">
        <f t="array" ref="O933">MAX(IF((Tabla_Pagos[NRO DOC]=B933)*(Tabla_Pagos[IMPORTE ABONADO]&gt;0),Tabla_Pagos[FECHA DE ABONO]))</f>
        <v>46087</v>
      </c>
    </row>
    <row r="934" spans="2:15" ht="21" customHeight="1" x14ac:dyDescent="0.25">
      <c r="B934" s="39">
        <v>1865</v>
      </c>
      <c r="C934" s="20">
        <v>46087</v>
      </c>
      <c r="D934" s="40" t="s">
        <v>445</v>
      </c>
      <c r="E934" s="37" t="str">
        <f>IFERROR(VLOOKUP(D934,CLIENTES!$B$12:$G$2602,2,FALSE),"")</f>
        <v>ZONA DE CARABINEROS ATACAMA</v>
      </c>
      <c r="F934" s="31">
        <v>1101940</v>
      </c>
      <c r="G934" s="41" t="s">
        <v>101</v>
      </c>
      <c r="H934" s="26">
        <v>30</v>
      </c>
      <c r="I934" s="21" t="str">
        <f t="shared" si="140"/>
        <v>Crédito</v>
      </c>
      <c r="J934" s="22">
        <f t="shared" si="141"/>
        <v>46117</v>
      </c>
      <c r="K934" s="27">
        <f t="shared" ca="1" si="142"/>
        <v>0</v>
      </c>
      <c r="L934" s="23" t="str">
        <f t="shared" si="143"/>
        <v>Pagado</v>
      </c>
      <c r="M934" s="36">
        <f>SUMIFS(Tabla_Pagos[IMPORTE ABONADO],Tabla_Pagos[FECHA DE ABONO],"&gt;0",Tabla_Pagos[NRO DOC],B934)</f>
        <v>1101940</v>
      </c>
      <c r="N934" s="36">
        <f t="shared" si="144"/>
        <v>0</v>
      </c>
      <c r="O934" s="22" cm="1">
        <f t="array" ref="O934">MAX(IF((Tabla_Pagos[NRO DOC]=B934)*(Tabla_Pagos[IMPORTE ABONADO]&gt;0),Tabla_Pagos[FECHA DE ABONO]))</f>
        <v>46087</v>
      </c>
    </row>
    <row r="935" spans="2:15" ht="21" customHeight="1" x14ac:dyDescent="0.25">
      <c r="B935" s="39">
        <v>1866</v>
      </c>
      <c r="C935" s="20">
        <v>46087</v>
      </c>
      <c r="D935" s="40" t="s">
        <v>485</v>
      </c>
      <c r="E935" s="37" t="str">
        <f>IFERROR(VLOOKUP(D935,CLIENTES!$B$12:$G$2602,2,FALSE),"")</f>
        <v>SAN RAFAEL INGENIERIA Y  SERVICIOS LIMITADA</v>
      </c>
      <c r="F935" s="31">
        <v>130305</v>
      </c>
      <c r="G935" s="41" t="s">
        <v>101</v>
      </c>
      <c r="H935" s="26">
        <v>30</v>
      </c>
      <c r="I935" s="21" t="str">
        <f t="shared" si="140"/>
        <v>Crédito</v>
      </c>
      <c r="J935" s="22">
        <f t="shared" si="141"/>
        <v>46117</v>
      </c>
      <c r="K935" s="27">
        <f t="shared" ca="1" si="142"/>
        <v>0</v>
      </c>
      <c r="L935" s="23" t="str">
        <f t="shared" si="143"/>
        <v>Pagado</v>
      </c>
      <c r="M935" s="36">
        <f>SUMIFS(Tabla_Pagos[IMPORTE ABONADO],Tabla_Pagos[FECHA DE ABONO],"&gt;0",Tabla_Pagos[NRO DOC],B935)</f>
        <v>130305</v>
      </c>
      <c r="N935" s="36">
        <f t="shared" si="144"/>
        <v>0</v>
      </c>
      <c r="O935" s="22" cm="1">
        <f t="array" ref="O935">MAX(IF((Tabla_Pagos[NRO DOC]=B935)*(Tabla_Pagos[IMPORTE ABONADO]&gt;0),Tabla_Pagos[FECHA DE ABONO]))</f>
        <v>46120</v>
      </c>
    </row>
    <row r="936" spans="2:15" ht="21" customHeight="1" x14ac:dyDescent="0.25">
      <c r="B936" s="39">
        <v>1867</v>
      </c>
      <c r="C936" s="20">
        <v>46087</v>
      </c>
      <c r="D936" s="40" t="s">
        <v>445</v>
      </c>
      <c r="E936" s="37" t="str">
        <f>IFERROR(VLOOKUP(D936,CLIENTES!$B$12:$G$2602,2,FALSE),"")</f>
        <v>ZONA DE CARABINEROS ATACAMA</v>
      </c>
      <c r="F936" s="31">
        <v>1106700</v>
      </c>
      <c r="G936" s="41" t="s">
        <v>101</v>
      </c>
      <c r="H936" s="26">
        <v>30</v>
      </c>
      <c r="I936" s="21" t="str">
        <f t="shared" si="140"/>
        <v>Crédito</v>
      </c>
      <c r="J936" s="22">
        <f t="shared" si="141"/>
        <v>46117</v>
      </c>
      <c r="K936" s="27">
        <f t="shared" ca="1" si="142"/>
        <v>0</v>
      </c>
      <c r="L936" s="23" t="str">
        <f t="shared" si="143"/>
        <v>Pagado</v>
      </c>
      <c r="M936" s="36">
        <f>SUMIFS(Tabla_Pagos[IMPORTE ABONADO],Tabla_Pagos[FECHA DE ABONO],"&gt;0",Tabla_Pagos[NRO DOC],B936)</f>
        <v>1106700</v>
      </c>
      <c r="N936" s="36">
        <f t="shared" si="144"/>
        <v>0</v>
      </c>
      <c r="O936" s="22" cm="1">
        <f t="array" ref="O936">MAX(IF((Tabla_Pagos[NRO DOC]=B936)*(Tabla_Pagos[IMPORTE ABONADO]&gt;0),Tabla_Pagos[FECHA DE ABONO]))</f>
        <v>46100</v>
      </c>
    </row>
    <row r="937" spans="2:15" ht="21" customHeight="1" x14ac:dyDescent="0.25">
      <c r="B937" s="39">
        <v>1868</v>
      </c>
      <c r="C937" s="20">
        <v>46087</v>
      </c>
      <c r="D937" s="40" t="s">
        <v>608</v>
      </c>
      <c r="E937" s="37" t="str">
        <f>IFERROR(VLOOKUP(D937,CLIENTES!$B$12:$G$2602,2,FALSE),"")</f>
        <v>INGENIO SPA</v>
      </c>
      <c r="F937" s="31">
        <v>107814</v>
      </c>
      <c r="G937" s="41" t="s">
        <v>101</v>
      </c>
      <c r="H937" s="26">
        <v>0</v>
      </c>
      <c r="I937" s="21" t="str">
        <f t="shared" si="140"/>
        <v>Contado</v>
      </c>
      <c r="J937" s="22">
        <f t="shared" si="141"/>
        <v>46087</v>
      </c>
      <c r="K937" s="27">
        <f t="shared" ca="1" si="142"/>
        <v>0</v>
      </c>
      <c r="L937" s="23" t="str">
        <f t="shared" si="143"/>
        <v>Pagado</v>
      </c>
      <c r="M937" s="36">
        <f>SUMIFS(Tabla_Pagos[IMPORTE ABONADO],Tabla_Pagos[FECHA DE ABONO],"&gt;0",Tabla_Pagos[NRO DOC],B937)</f>
        <v>107814</v>
      </c>
      <c r="N937" s="36">
        <f t="shared" si="144"/>
        <v>0</v>
      </c>
      <c r="O937" s="22" cm="1">
        <f t="array" ref="O937">MAX(IF((Tabla_Pagos[NRO DOC]=B937)*(Tabla_Pagos[IMPORTE ABONADO]&gt;0),Tabla_Pagos[FECHA DE ABONO]))</f>
        <v>46087</v>
      </c>
    </row>
    <row r="938" spans="2:15" ht="21" customHeight="1" x14ac:dyDescent="0.25">
      <c r="B938" s="39">
        <v>1869</v>
      </c>
      <c r="C938" s="20">
        <v>46087</v>
      </c>
      <c r="D938" s="40" t="s">
        <v>41</v>
      </c>
      <c r="E938" s="37" t="str">
        <f>IFERROR(VLOOKUP(D938,CLIENTES!$B$12:$G$2602,2,FALSE),"")</f>
        <v>TRANSPORTE DOBLE C SPA</v>
      </c>
      <c r="F938" s="31">
        <v>442680</v>
      </c>
      <c r="G938" s="41" t="s">
        <v>101</v>
      </c>
      <c r="H938" s="26">
        <v>0</v>
      </c>
      <c r="I938" s="21" t="str">
        <f t="shared" si="140"/>
        <v>Contado</v>
      </c>
      <c r="J938" s="22">
        <f t="shared" si="141"/>
        <v>46087</v>
      </c>
      <c r="K938" s="27">
        <f t="shared" ca="1" si="142"/>
        <v>0</v>
      </c>
      <c r="L938" s="23" t="str">
        <f t="shared" si="143"/>
        <v>Pagado</v>
      </c>
      <c r="M938" s="36">
        <f>SUMIFS(Tabla_Pagos[IMPORTE ABONADO],Tabla_Pagos[FECHA DE ABONO],"&gt;0",Tabla_Pagos[NRO DOC],B938)</f>
        <v>442680</v>
      </c>
      <c r="N938" s="36">
        <f t="shared" si="144"/>
        <v>0</v>
      </c>
      <c r="O938" s="22" cm="1">
        <f t="array" ref="O938">MAX(IF((Tabla_Pagos[NRO DOC]=B938)*(Tabla_Pagos[IMPORTE ABONADO]&gt;0),Tabla_Pagos[FECHA DE ABONO]))</f>
        <v>46087</v>
      </c>
    </row>
    <row r="939" spans="2:15" ht="21" customHeight="1" x14ac:dyDescent="0.25">
      <c r="B939" s="39">
        <v>1870</v>
      </c>
      <c r="C939" s="20">
        <v>46087</v>
      </c>
      <c r="D939" s="40" t="s">
        <v>44</v>
      </c>
      <c r="E939" s="37" t="str">
        <f>IFERROR(VLOOKUP(D939,CLIENTES!$B$12:$G$2602,2,FALSE),"")</f>
        <v>SKC RED SPA</v>
      </c>
      <c r="F939" s="31">
        <v>107100</v>
      </c>
      <c r="G939" s="41" t="s">
        <v>101</v>
      </c>
      <c r="H939" s="26">
        <v>30</v>
      </c>
      <c r="I939" s="21" t="str">
        <f t="shared" si="140"/>
        <v>Crédito</v>
      </c>
      <c r="J939" s="22">
        <f t="shared" si="141"/>
        <v>46117</v>
      </c>
      <c r="K939" s="27">
        <f t="shared" ca="1" si="142"/>
        <v>-61</v>
      </c>
      <c r="L939" s="23" t="str">
        <f t="shared" ca="1" si="143"/>
        <v>Vencido</v>
      </c>
      <c r="M939" s="36">
        <f>SUMIFS(Tabla_Pagos[IMPORTE ABONADO],Tabla_Pagos[FECHA DE ABONO],"&gt;0",Tabla_Pagos[NRO DOC],B939)</f>
        <v>0</v>
      </c>
      <c r="N939" s="36">
        <f t="shared" si="144"/>
        <v>107100</v>
      </c>
      <c r="O939" s="22" cm="1">
        <f t="array" ref="O939">MAX(IF((Tabla_Pagos[NRO DOC]=B939)*(Tabla_Pagos[IMPORTE ABONADO]&gt;0),Tabla_Pagos[FECHA DE ABONO]))</f>
        <v>0</v>
      </c>
    </row>
    <row r="940" spans="2:15" ht="21" customHeight="1" x14ac:dyDescent="0.25">
      <c r="B940" s="39">
        <v>1871</v>
      </c>
      <c r="C940" s="20">
        <v>46090</v>
      </c>
      <c r="D940" s="40" t="s">
        <v>731</v>
      </c>
      <c r="E940" s="37" t="str">
        <f>IFERROR(VLOOKUP(D940,CLIENTES!$B$12:$G$2602,2,FALSE),"")</f>
        <v>IACOP INGENIERIA SPA</v>
      </c>
      <c r="F940" s="31">
        <v>404600</v>
      </c>
      <c r="G940" s="41" t="s">
        <v>101</v>
      </c>
      <c r="H940" s="26">
        <v>0</v>
      </c>
      <c r="I940" s="21" t="str">
        <f t="shared" si="140"/>
        <v>Contado</v>
      </c>
      <c r="J940" s="22">
        <f t="shared" si="141"/>
        <v>46090</v>
      </c>
      <c r="K940" s="27">
        <f t="shared" ca="1" si="142"/>
        <v>0</v>
      </c>
      <c r="L940" s="23" t="str">
        <f t="shared" si="143"/>
        <v>Pagado</v>
      </c>
      <c r="M940" s="36">
        <f>SUMIFS(Tabla_Pagos[IMPORTE ABONADO],Tabla_Pagos[FECHA DE ABONO],"&gt;0",Tabla_Pagos[NRO DOC],B940)</f>
        <v>404600</v>
      </c>
      <c r="N940" s="36">
        <f t="shared" si="144"/>
        <v>0</v>
      </c>
      <c r="O940" s="22" cm="1">
        <f t="array" ref="O940">MAX(IF((Tabla_Pagos[NRO DOC]=B940)*(Tabla_Pagos[IMPORTE ABONADO]&gt;0),Tabla_Pagos[FECHA DE ABONO]))</f>
        <v>46090</v>
      </c>
    </row>
    <row r="941" spans="2:15" ht="21" customHeight="1" x14ac:dyDescent="0.25">
      <c r="B941" s="39">
        <v>1872</v>
      </c>
      <c r="C941" s="20">
        <v>46090</v>
      </c>
      <c r="D941" s="40" t="s">
        <v>741</v>
      </c>
      <c r="E941" s="37" t="str">
        <f>IFERROR(VLOOKUP(D941,CLIENTES!$B$12:$G$2602,2,FALSE),"")</f>
        <v>CONSTRUCCIÃ“N Y SERVICIOS VARACE SPA</v>
      </c>
      <c r="F941" s="31">
        <v>142800</v>
      </c>
      <c r="G941" s="41" t="s">
        <v>101</v>
      </c>
      <c r="H941" s="26">
        <v>0</v>
      </c>
      <c r="I941" s="21" t="str">
        <f t="shared" si="140"/>
        <v>Contado</v>
      </c>
      <c r="J941" s="22">
        <f t="shared" si="141"/>
        <v>46090</v>
      </c>
      <c r="K941" s="27">
        <f t="shared" ca="1" si="142"/>
        <v>0</v>
      </c>
      <c r="L941" s="23" t="str">
        <f t="shared" si="143"/>
        <v>Pagado</v>
      </c>
      <c r="M941" s="36">
        <f>SUMIFS(Tabla_Pagos[IMPORTE ABONADO],Tabla_Pagos[FECHA DE ABONO],"&gt;0",Tabla_Pagos[NRO DOC],B941)</f>
        <v>142800</v>
      </c>
      <c r="N941" s="36">
        <f t="shared" si="144"/>
        <v>0</v>
      </c>
      <c r="O941" s="22" cm="1">
        <f t="array" ref="O941">MAX(IF((Tabla_Pagos[NRO DOC]=B941)*(Tabla_Pagos[IMPORTE ABONADO]&gt;0),Tabla_Pagos[FECHA DE ABONO]))</f>
        <v>46090</v>
      </c>
    </row>
    <row r="942" spans="2:15" ht="21" customHeight="1" x14ac:dyDescent="0.25">
      <c r="B942" s="39">
        <v>1873</v>
      </c>
      <c r="C942" s="20">
        <v>46090</v>
      </c>
      <c r="D942" s="40" t="s">
        <v>743</v>
      </c>
      <c r="E942" s="37" t="str">
        <f>IFERROR(VLOOKUP(D942,CLIENTES!$B$12:$G$2602,2,FALSE),"")</f>
        <v>POLARI SPA</v>
      </c>
      <c r="F942" s="31">
        <v>649999</v>
      </c>
      <c r="G942" s="41" t="s">
        <v>101</v>
      </c>
      <c r="H942" s="26">
        <v>0</v>
      </c>
      <c r="I942" s="21" t="str">
        <f t="shared" si="140"/>
        <v>Contado</v>
      </c>
      <c r="J942" s="22">
        <f t="shared" si="141"/>
        <v>46090</v>
      </c>
      <c r="K942" s="27">
        <f t="shared" ca="1" si="142"/>
        <v>0</v>
      </c>
      <c r="L942" s="23" t="str">
        <f t="shared" si="143"/>
        <v>Pagado</v>
      </c>
      <c r="M942" s="36">
        <f>SUMIFS(Tabla_Pagos[IMPORTE ABONADO],Tabla_Pagos[FECHA DE ABONO],"&gt;0",Tabla_Pagos[NRO DOC],B942)</f>
        <v>649999</v>
      </c>
      <c r="N942" s="36">
        <f t="shared" si="144"/>
        <v>0</v>
      </c>
      <c r="O942" s="22" cm="1">
        <f t="array" ref="O942">MAX(IF((Tabla_Pagos[NRO DOC]=B942)*(Tabla_Pagos[IMPORTE ABONADO]&gt;0),Tabla_Pagos[FECHA DE ABONO]))</f>
        <v>46090</v>
      </c>
    </row>
    <row r="943" spans="2:15" ht="21" customHeight="1" x14ac:dyDescent="0.25">
      <c r="B943" s="39">
        <v>1874</v>
      </c>
      <c r="C943" s="20">
        <v>46091</v>
      </c>
      <c r="D943" s="40" t="s">
        <v>608</v>
      </c>
      <c r="E943" s="37" t="str">
        <f>IFERROR(VLOOKUP(D943,CLIENTES!$B$12:$G$2602,2,FALSE),"")</f>
        <v>INGENIO SPA</v>
      </c>
      <c r="F943" s="31">
        <v>49266</v>
      </c>
      <c r="G943" s="41" t="s">
        <v>101</v>
      </c>
      <c r="H943" s="26">
        <v>0</v>
      </c>
      <c r="I943" s="21" t="str">
        <f t="shared" si="140"/>
        <v>Contado</v>
      </c>
      <c r="J943" s="22">
        <f t="shared" si="141"/>
        <v>46091</v>
      </c>
      <c r="K943" s="27">
        <f t="shared" ca="1" si="142"/>
        <v>0</v>
      </c>
      <c r="L943" s="23" t="str">
        <f t="shared" si="143"/>
        <v>Pagado</v>
      </c>
      <c r="M943" s="36">
        <f>SUMIFS(Tabla_Pagos[IMPORTE ABONADO],Tabla_Pagos[FECHA DE ABONO],"&gt;0",Tabla_Pagos[NRO DOC],B943)</f>
        <v>49266</v>
      </c>
      <c r="N943" s="36">
        <f t="shared" si="144"/>
        <v>0</v>
      </c>
      <c r="O943" s="22" cm="1">
        <f t="array" ref="O943">MAX(IF((Tabla_Pagos[NRO DOC]=B943)*(Tabla_Pagos[IMPORTE ABONADO]&gt;0),Tabla_Pagos[FECHA DE ABONO]))</f>
        <v>46091</v>
      </c>
    </row>
    <row r="944" spans="2:15" ht="21" customHeight="1" x14ac:dyDescent="0.25">
      <c r="B944" s="39">
        <v>1875</v>
      </c>
      <c r="C944" s="20">
        <v>46091</v>
      </c>
      <c r="D944" s="40" t="s">
        <v>608</v>
      </c>
      <c r="E944" s="37" t="str">
        <f>IFERROR(VLOOKUP(D944,CLIENTES!$B$12:$G$2602,2,FALSE),"")</f>
        <v>INGENIO SPA</v>
      </c>
      <c r="F944" s="31">
        <v>95200</v>
      </c>
      <c r="G944" s="41" t="s">
        <v>101</v>
      </c>
      <c r="H944" s="26">
        <v>0</v>
      </c>
      <c r="I944" s="21" t="str">
        <f t="shared" si="140"/>
        <v>Contado</v>
      </c>
      <c r="J944" s="22">
        <f t="shared" si="141"/>
        <v>46091</v>
      </c>
      <c r="K944" s="27">
        <f t="shared" ca="1" si="142"/>
        <v>0</v>
      </c>
      <c r="L944" s="23" t="str">
        <f t="shared" si="143"/>
        <v>Pagado</v>
      </c>
      <c r="M944" s="36">
        <f>SUMIFS(Tabla_Pagos[IMPORTE ABONADO],Tabla_Pagos[FECHA DE ABONO],"&gt;0",Tabla_Pagos[NRO DOC],B944)</f>
        <v>95200</v>
      </c>
      <c r="N944" s="36">
        <f t="shared" si="144"/>
        <v>0</v>
      </c>
      <c r="O944" s="22" cm="1">
        <f t="array" ref="O944">MAX(IF((Tabla_Pagos[NRO DOC]=B944)*(Tabla_Pagos[IMPORTE ABONADO]&gt;0),Tabla_Pagos[FECHA DE ABONO]))</f>
        <v>46091</v>
      </c>
    </row>
    <row r="945" spans="2:15" ht="21" customHeight="1" x14ac:dyDescent="0.25">
      <c r="B945" s="39">
        <v>1876</v>
      </c>
      <c r="C945" s="20">
        <v>46091</v>
      </c>
      <c r="D945" s="40" t="s">
        <v>745</v>
      </c>
      <c r="E945" s="37" t="str">
        <f>IFERROR(VLOOKUP(D945,CLIENTES!$B$12:$G$2602,2,FALSE),"")</f>
        <v>SERVICIOS INTEGRALES DEL VALLE SPA</v>
      </c>
      <c r="F945" s="31">
        <v>142800</v>
      </c>
      <c r="G945" s="41" t="s">
        <v>101</v>
      </c>
      <c r="H945" s="26">
        <v>0</v>
      </c>
      <c r="I945" s="21" t="str">
        <f t="shared" si="140"/>
        <v>Contado</v>
      </c>
      <c r="J945" s="22">
        <f t="shared" si="141"/>
        <v>46091</v>
      </c>
      <c r="K945" s="27">
        <f t="shared" ca="1" si="142"/>
        <v>0</v>
      </c>
      <c r="L945" s="23" t="str">
        <f t="shared" si="143"/>
        <v>Pagado</v>
      </c>
      <c r="M945" s="36">
        <f>SUMIFS(Tabla_Pagos[IMPORTE ABONADO],Tabla_Pagos[FECHA DE ABONO],"&gt;0",Tabla_Pagos[NRO DOC],B945)</f>
        <v>142800</v>
      </c>
      <c r="N945" s="36">
        <f t="shared" si="144"/>
        <v>0</v>
      </c>
      <c r="O945" s="22" cm="1">
        <f t="array" ref="O945">MAX(IF((Tabla_Pagos[NRO DOC]=B945)*(Tabla_Pagos[IMPORTE ABONADO]&gt;0),Tabla_Pagos[FECHA DE ABONO]))</f>
        <v>46091</v>
      </c>
    </row>
    <row r="946" spans="2:15" ht="21" customHeight="1" x14ac:dyDescent="0.25">
      <c r="B946" s="39">
        <v>1877</v>
      </c>
      <c r="C946" s="20">
        <v>46091</v>
      </c>
      <c r="D946" s="40" t="s">
        <v>745</v>
      </c>
      <c r="E946" s="37" t="str">
        <f>IFERROR(VLOOKUP(D946,CLIENTES!$B$12:$G$2602,2,FALSE),"")</f>
        <v>SERVICIOS INTEGRALES DEL VALLE SPA</v>
      </c>
      <c r="F946" s="31">
        <v>107100</v>
      </c>
      <c r="G946" s="41" t="s">
        <v>101</v>
      </c>
      <c r="H946" s="26">
        <v>30</v>
      </c>
      <c r="I946" s="21" t="str">
        <f t="shared" si="140"/>
        <v>Crédito</v>
      </c>
      <c r="J946" s="22">
        <f t="shared" si="141"/>
        <v>46121</v>
      </c>
      <c r="K946" s="27">
        <f t="shared" ca="1" si="142"/>
        <v>-57</v>
      </c>
      <c r="L946" s="23" t="str">
        <f t="shared" ca="1" si="143"/>
        <v>Vencido</v>
      </c>
      <c r="M946" s="36">
        <f>SUMIFS(Tabla_Pagos[IMPORTE ABONADO],Tabla_Pagos[FECHA DE ABONO],"&gt;0",Tabla_Pagos[NRO DOC],B946)</f>
        <v>0</v>
      </c>
      <c r="N946" s="36">
        <f t="shared" si="144"/>
        <v>107100</v>
      </c>
      <c r="O946" s="22" cm="1">
        <f t="array" ref="O946">MAX(IF((Tabla_Pagos[NRO DOC]=B946)*(Tabla_Pagos[IMPORTE ABONADO]&gt;0),Tabla_Pagos[FECHA DE ABONO]))</f>
        <v>0</v>
      </c>
    </row>
    <row r="947" spans="2:15" ht="21" customHeight="1" x14ac:dyDescent="0.25">
      <c r="B947" s="39">
        <v>1878</v>
      </c>
      <c r="C947" s="20">
        <v>46091</v>
      </c>
      <c r="D947" s="40" t="s">
        <v>747</v>
      </c>
      <c r="E947" s="37" t="str">
        <f>IFERROR(VLOOKUP(D947,CLIENTES!$B$12:$G$2602,2,FALSE),"")</f>
        <v>PEREIRA RENTAL Y SERVICIOS INDUSTRIALES SPA</v>
      </c>
      <c r="F947" s="31">
        <v>71400</v>
      </c>
      <c r="G947" s="41" t="s">
        <v>101</v>
      </c>
      <c r="H947" s="26">
        <v>0</v>
      </c>
      <c r="I947" s="21" t="str">
        <f t="shared" si="140"/>
        <v>Contado</v>
      </c>
      <c r="J947" s="22">
        <f t="shared" si="141"/>
        <v>46091</v>
      </c>
      <c r="K947" s="27">
        <f t="shared" ca="1" si="142"/>
        <v>0</v>
      </c>
      <c r="L947" s="23" t="str">
        <f t="shared" si="143"/>
        <v>Pagado</v>
      </c>
      <c r="M947" s="36">
        <f>SUMIFS(Tabla_Pagos[IMPORTE ABONADO],Tabla_Pagos[FECHA DE ABONO],"&gt;0",Tabla_Pagos[NRO DOC],B947)</f>
        <v>71400</v>
      </c>
      <c r="N947" s="36">
        <f t="shared" si="144"/>
        <v>0</v>
      </c>
      <c r="O947" s="22" cm="1">
        <f t="array" ref="O947">MAX(IF((Tabla_Pagos[NRO DOC]=B947)*(Tabla_Pagos[IMPORTE ABONADO]&gt;0),Tabla_Pagos[FECHA DE ABONO]))</f>
        <v>46091</v>
      </c>
    </row>
    <row r="948" spans="2:15" ht="21" customHeight="1" x14ac:dyDescent="0.25">
      <c r="B948" s="39">
        <v>1879</v>
      </c>
      <c r="C948" s="20">
        <v>46092</v>
      </c>
      <c r="D948" s="40" t="s">
        <v>485</v>
      </c>
      <c r="E948" s="37" t="str">
        <f>IFERROR(VLOOKUP(D948,CLIENTES!$B$12:$G$2602,2,FALSE),"")</f>
        <v>SAN RAFAEL INGENIERIA Y  SERVICIOS LIMITADA</v>
      </c>
      <c r="F948" s="31">
        <v>121380</v>
      </c>
      <c r="G948" s="41" t="s">
        <v>101</v>
      </c>
      <c r="H948" s="26">
        <v>30</v>
      </c>
      <c r="I948" s="21" t="str">
        <f t="shared" si="140"/>
        <v>Crédito</v>
      </c>
      <c r="J948" s="22">
        <f t="shared" si="141"/>
        <v>46122</v>
      </c>
      <c r="K948" s="27">
        <f t="shared" ca="1" si="142"/>
        <v>0</v>
      </c>
      <c r="L948" s="23" t="str">
        <f t="shared" si="143"/>
        <v>Pagado</v>
      </c>
      <c r="M948" s="36">
        <f>SUMIFS(Tabla_Pagos[IMPORTE ABONADO],Tabla_Pagos[FECHA DE ABONO],"&gt;0",Tabla_Pagos[NRO DOC],B948)</f>
        <v>121380</v>
      </c>
      <c r="N948" s="36">
        <f t="shared" si="144"/>
        <v>0</v>
      </c>
      <c r="O948" s="22" cm="1">
        <f t="array" ref="O948">MAX(IF((Tabla_Pagos[NRO DOC]=B948)*(Tabla_Pagos[IMPORTE ABONADO]&gt;0),Tabla_Pagos[FECHA DE ABONO]))</f>
        <v>46127</v>
      </c>
    </row>
    <row r="949" spans="2:15" ht="21" customHeight="1" x14ac:dyDescent="0.25">
      <c r="B949" s="39">
        <v>1880</v>
      </c>
      <c r="C949" s="20">
        <v>46092</v>
      </c>
      <c r="D949" s="40" t="s">
        <v>258</v>
      </c>
      <c r="E949" s="37" t="str">
        <f>IFERROR(VLOOKUP(D949,CLIENTES!$B$12:$G$2602,2,FALSE),"")</f>
        <v>MARIELA ELIZABETH ALVAREZ MORENO</v>
      </c>
      <c r="F949" s="31">
        <v>23800</v>
      </c>
      <c r="G949" s="41" t="s">
        <v>101</v>
      </c>
      <c r="H949" s="26">
        <v>0</v>
      </c>
      <c r="I949" s="21" t="str">
        <f t="shared" si="140"/>
        <v>Contado</v>
      </c>
      <c r="J949" s="22">
        <f t="shared" si="141"/>
        <v>46092</v>
      </c>
      <c r="K949" s="27">
        <f t="shared" ca="1" si="142"/>
        <v>0</v>
      </c>
      <c r="L949" s="23" t="str">
        <f t="shared" si="143"/>
        <v>Pagado</v>
      </c>
      <c r="M949" s="36">
        <f>SUMIFS(Tabla_Pagos[IMPORTE ABONADO],Tabla_Pagos[FECHA DE ABONO],"&gt;0",Tabla_Pagos[NRO DOC],B949)</f>
        <v>23800</v>
      </c>
      <c r="N949" s="36">
        <f t="shared" si="144"/>
        <v>0</v>
      </c>
      <c r="O949" s="22" cm="1">
        <f t="array" ref="O949">MAX(IF((Tabla_Pagos[NRO DOC]=B949)*(Tabla_Pagos[IMPORTE ABONADO]&gt;0),Tabla_Pagos[FECHA DE ABONO]))</f>
        <v>46092</v>
      </c>
    </row>
    <row r="950" spans="2:15" ht="21" customHeight="1" x14ac:dyDescent="0.25">
      <c r="B950" s="39">
        <v>1881</v>
      </c>
      <c r="C950" s="20">
        <v>46092</v>
      </c>
      <c r="D950" s="40" t="s">
        <v>63</v>
      </c>
      <c r="E950" s="37" t="str">
        <f>IFERROR(VLOOKUP(D950,CLIENTES!$B$12:$G$2602,2,FALSE),"")</f>
        <v>MULTISERVICIOS SANABRIA SPA</v>
      </c>
      <c r="F950" s="31">
        <v>131719</v>
      </c>
      <c r="G950" s="41" t="s">
        <v>101</v>
      </c>
      <c r="H950" s="26">
        <v>0</v>
      </c>
      <c r="I950" s="21" t="str">
        <f t="shared" si="140"/>
        <v>Contado</v>
      </c>
      <c r="J950" s="22">
        <f t="shared" si="141"/>
        <v>46092</v>
      </c>
      <c r="K950" s="27">
        <f t="shared" ca="1" si="142"/>
        <v>0</v>
      </c>
      <c r="L950" s="23" t="str">
        <f t="shared" si="143"/>
        <v>Pagado</v>
      </c>
      <c r="M950" s="36">
        <f>SUMIFS(Tabla_Pagos[IMPORTE ABONADO],Tabla_Pagos[FECHA DE ABONO],"&gt;0",Tabla_Pagos[NRO DOC],B950)</f>
        <v>131719</v>
      </c>
      <c r="N950" s="36">
        <f t="shared" si="144"/>
        <v>0</v>
      </c>
      <c r="O950" s="22" cm="1">
        <f t="array" ref="O950">MAX(IF((Tabla_Pagos[NRO DOC]=B950)*(Tabla_Pagos[IMPORTE ABONADO]&gt;0),Tabla_Pagos[FECHA DE ABONO]))</f>
        <v>46092</v>
      </c>
    </row>
    <row r="951" spans="2:15" ht="21" customHeight="1" x14ac:dyDescent="0.25">
      <c r="B951" s="39">
        <v>1882</v>
      </c>
      <c r="C951" s="20">
        <v>46092</v>
      </c>
      <c r="D951" s="40" t="s">
        <v>687</v>
      </c>
      <c r="E951" s="37" t="str">
        <f>IFERROR(VLOOKUP(D951,CLIENTES!$B$12:$G$2602,2,FALSE),"")</f>
        <v>SOCIEDAD COMERCIAL ROMSA SERVICIOS SPA</v>
      </c>
      <c r="F951" s="31">
        <v>102578</v>
      </c>
      <c r="G951" s="41" t="s">
        <v>101</v>
      </c>
      <c r="H951" s="26">
        <v>0</v>
      </c>
      <c r="I951" s="21" t="str">
        <f t="shared" si="140"/>
        <v>Contado</v>
      </c>
      <c r="J951" s="22">
        <f t="shared" si="141"/>
        <v>46092</v>
      </c>
      <c r="K951" s="27">
        <f t="shared" ca="1" si="142"/>
        <v>0</v>
      </c>
      <c r="L951" s="23" t="str">
        <f t="shared" si="143"/>
        <v>Pagado</v>
      </c>
      <c r="M951" s="36">
        <f>SUMIFS(Tabla_Pagos[IMPORTE ABONADO],Tabla_Pagos[FECHA DE ABONO],"&gt;0",Tabla_Pagos[NRO DOC],B951)</f>
        <v>102578</v>
      </c>
      <c r="N951" s="36">
        <f t="shared" si="144"/>
        <v>0</v>
      </c>
      <c r="O951" s="22" cm="1">
        <f t="array" ref="O951">MAX(IF((Tabla_Pagos[NRO DOC]=B951)*(Tabla_Pagos[IMPORTE ABONADO]&gt;0),Tabla_Pagos[FECHA DE ABONO]))</f>
        <v>46092</v>
      </c>
    </row>
    <row r="952" spans="2:15" ht="21" customHeight="1" x14ac:dyDescent="0.25">
      <c r="B952" s="39">
        <v>1883</v>
      </c>
      <c r="C952" s="20">
        <v>46093</v>
      </c>
      <c r="D952" s="40" t="s">
        <v>660</v>
      </c>
      <c r="E952" s="37" t="str">
        <f>IFERROR(VLOOKUP(D952,CLIENTES!$B$12:$G$2602,2,FALSE),"")</f>
        <v>INGENIERIA, PROYECTOS Y MONTAJES PROPAMAT SPA</v>
      </c>
      <c r="F952" s="31">
        <v>123760</v>
      </c>
      <c r="G952" s="41" t="s">
        <v>101</v>
      </c>
      <c r="H952" s="26">
        <v>0</v>
      </c>
      <c r="I952" s="21" t="str">
        <f t="shared" si="140"/>
        <v>Contado</v>
      </c>
      <c r="J952" s="22">
        <f t="shared" si="141"/>
        <v>46093</v>
      </c>
      <c r="K952" s="27">
        <f t="shared" ca="1" si="142"/>
        <v>0</v>
      </c>
      <c r="L952" s="23" t="str">
        <f t="shared" si="143"/>
        <v>Pagado</v>
      </c>
      <c r="M952" s="36">
        <f>SUMIFS(Tabla_Pagos[IMPORTE ABONADO],Tabla_Pagos[FECHA DE ABONO],"&gt;0",Tabla_Pagos[NRO DOC],B952)</f>
        <v>123760</v>
      </c>
      <c r="N952" s="36">
        <f t="shared" si="144"/>
        <v>0</v>
      </c>
      <c r="O952" s="22" cm="1">
        <f t="array" ref="O952">MAX(IF((Tabla_Pagos[NRO DOC]=B952)*(Tabla_Pagos[IMPORTE ABONADO]&gt;0),Tabla_Pagos[FECHA DE ABONO]))</f>
        <v>46093</v>
      </c>
    </row>
    <row r="953" spans="2:15" ht="21" customHeight="1" x14ac:dyDescent="0.25">
      <c r="B953" s="39">
        <v>1884</v>
      </c>
      <c r="C953" s="20">
        <v>46093</v>
      </c>
      <c r="D953" s="40" t="s">
        <v>687</v>
      </c>
      <c r="E953" s="37" t="str">
        <f>IFERROR(VLOOKUP(D953,CLIENTES!$B$12:$G$2602,2,FALSE),"")</f>
        <v>SOCIEDAD COMERCIAL ROMSA SERVICIOS SPA</v>
      </c>
      <c r="F953" s="31">
        <v>61404</v>
      </c>
      <c r="G953" s="41" t="s">
        <v>101</v>
      </c>
      <c r="H953" s="26">
        <v>0</v>
      </c>
      <c r="I953" s="21" t="str">
        <f t="shared" si="140"/>
        <v>Contado</v>
      </c>
      <c r="J953" s="22">
        <f t="shared" si="141"/>
        <v>46093</v>
      </c>
      <c r="K953" s="27">
        <f t="shared" ca="1" si="142"/>
        <v>0</v>
      </c>
      <c r="L953" s="23" t="str">
        <f t="shared" si="143"/>
        <v>Pagado</v>
      </c>
      <c r="M953" s="36">
        <f>SUMIFS(Tabla_Pagos[IMPORTE ABONADO],Tabla_Pagos[FECHA DE ABONO],"&gt;0",Tabla_Pagos[NRO DOC],B953)</f>
        <v>61404</v>
      </c>
      <c r="N953" s="36">
        <f t="shared" si="144"/>
        <v>0</v>
      </c>
      <c r="O953" s="22" cm="1">
        <f t="array" ref="O953">MAX(IF((Tabla_Pagos[NRO DOC]=B953)*(Tabla_Pagos[IMPORTE ABONADO]&gt;0),Tabla_Pagos[FECHA DE ABONO]))</f>
        <v>46093</v>
      </c>
    </row>
    <row r="954" spans="2:15" ht="21" customHeight="1" x14ac:dyDescent="0.25">
      <c r="B954" s="39">
        <v>1886</v>
      </c>
      <c r="C954" s="20">
        <v>46094</v>
      </c>
      <c r="D954" s="40" t="s">
        <v>660</v>
      </c>
      <c r="E954" s="37" t="str">
        <f>IFERROR(VLOOKUP(D954,CLIENTES!$B$12:$G$2602,2,FALSE),"")</f>
        <v>INGENIERIA, PROYECTOS Y MONTAJES PROPAMAT SPA</v>
      </c>
      <c r="F954" s="31">
        <v>29750</v>
      </c>
      <c r="G954" s="41" t="s">
        <v>101</v>
      </c>
      <c r="H954" s="26">
        <v>0</v>
      </c>
      <c r="I954" s="21" t="str">
        <f t="shared" si="140"/>
        <v>Contado</v>
      </c>
      <c r="J954" s="22">
        <f t="shared" si="141"/>
        <v>46094</v>
      </c>
      <c r="K954" s="27">
        <f t="shared" ca="1" si="142"/>
        <v>0</v>
      </c>
      <c r="L954" s="23" t="str">
        <f t="shared" si="143"/>
        <v>Pagado</v>
      </c>
      <c r="M954" s="36">
        <f>SUMIFS(Tabla_Pagos[IMPORTE ABONADO],Tabla_Pagos[FECHA DE ABONO],"&gt;0",Tabla_Pagos[NRO DOC],B954)</f>
        <v>29750</v>
      </c>
      <c r="N954" s="36">
        <f t="shared" si="144"/>
        <v>0</v>
      </c>
      <c r="O954" s="22" cm="1">
        <f t="array" ref="O954">MAX(IF((Tabla_Pagos[NRO DOC]=B954)*(Tabla_Pagos[IMPORTE ABONADO]&gt;0),Tabla_Pagos[FECHA DE ABONO]))</f>
        <v>46094</v>
      </c>
    </row>
    <row r="955" spans="2:15" ht="21" customHeight="1" x14ac:dyDescent="0.25">
      <c r="B955" s="39">
        <v>1887</v>
      </c>
      <c r="C955" s="20">
        <v>46095</v>
      </c>
      <c r="D955" s="40" t="s">
        <v>660</v>
      </c>
      <c r="E955" s="37" t="str">
        <f>IFERROR(VLOOKUP(D955,CLIENTES!$B$12:$G$2602,2,FALSE),"")</f>
        <v>INGENIERIA, PROYECTOS Y MONTAJES PROPAMAT SPA</v>
      </c>
      <c r="F955" s="31">
        <v>29750</v>
      </c>
      <c r="G955" s="41" t="s">
        <v>101</v>
      </c>
      <c r="H955" s="26">
        <v>0</v>
      </c>
      <c r="I955" s="21" t="str">
        <f t="shared" si="140"/>
        <v>Contado</v>
      </c>
      <c r="J955" s="22">
        <f t="shared" si="141"/>
        <v>46095</v>
      </c>
      <c r="K955" s="27">
        <f t="shared" ca="1" si="142"/>
        <v>0</v>
      </c>
      <c r="L955" s="23" t="str">
        <f t="shared" si="143"/>
        <v>Pagado</v>
      </c>
      <c r="M955" s="36">
        <f>SUMIFS(Tabla_Pagos[IMPORTE ABONADO],Tabla_Pagos[FECHA DE ABONO],"&gt;0",Tabla_Pagos[NRO DOC],B955)</f>
        <v>29750</v>
      </c>
      <c r="N955" s="36">
        <f t="shared" si="144"/>
        <v>0</v>
      </c>
      <c r="O955" s="22" cm="1">
        <f t="array" ref="O955">MAX(IF((Tabla_Pagos[NRO DOC]=B955)*(Tabla_Pagos[IMPORTE ABONADO]&gt;0),Tabla_Pagos[FECHA DE ABONO]))</f>
        <v>46095</v>
      </c>
    </row>
    <row r="956" spans="2:15" ht="21" customHeight="1" x14ac:dyDescent="0.25">
      <c r="B956" s="39">
        <v>1889</v>
      </c>
      <c r="C956" s="20">
        <v>46097</v>
      </c>
      <c r="D956" s="40" t="s">
        <v>749</v>
      </c>
      <c r="E956" s="37" t="str">
        <f>IFERROR(VLOOKUP(D956,CLIENTES!$B$12:$G$2602,2,FALSE),"")</f>
        <v>RODOLFO HUMBERTO TAMBLAY CAMPILLAY</v>
      </c>
      <c r="F956" s="31">
        <v>428400</v>
      </c>
      <c r="G956" s="41" t="s">
        <v>101</v>
      </c>
      <c r="H956" s="26">
        <v>0</v>
      </c>
      <c r="I956" s="21" t="str">
        <f>IF(H956="","",IF(H956=0,"Contado","Crédito"))</f>
        <v>Contado</v>
      </c>
      <c r="J956" s="22">
        <f>IF(I956="","",C956+H956)</f>
        <v>46097</v>
      </c>
      <c r="K956" s="27">
        <f ca="1">IFERROR(IF(B956="","",IF(N956=0,0,J956-TODAY())),"")</f>
        <v>0</v>
      </c>
      <c r="L956" s="23" t="str">
        <f>IF(I956="","",IF(N956=0,"Pagado",IF(K956&lt;0,"Vencido","No vencido")))</f>
        <v>Pagado</v>
      </c>
      <c r="M956" s="36">
        <f>SUMIFS(Tabla_Pagos[IMPORTE ABONADO],Tabla_Pagos[FECHA DE ABONO],"&gt;0",Tabla_Pagos[NRO DOC],B956)</f>
        <v>428400</v>
      </c>
      <c r="N956" s="36">
        <f>F956-M956</f>
        <v>0</v>
      </c>
      <c r="O956" s="22" cm="1">
        <f t="array" ref="O956">MAX(IF((Tabla_Pagos[NRO DOC]=B956)*(Tabla_Pagos[IMPORTE ABONADO]&gt;0),Tabla_Pagos[FECHA DE ABONO]))</f>
        <v>46097</v>
      </c>
    </row>
    <row r="957" spans="2:15" ht="21" customHeight="1" x14ac:dyDescent="0.25">
      <c r="B957" s="39">
        <v>1890</v>
      </c>
      <c r="C957" s="20">
        <v>46097</v>
      </c>
      <c r="D957" s="40" t="s">
        <v>205</v>
      </c>
      <c r="E957" s="37" t="str">
        <f>IFERROR(VLOOKUP(D957,CLIENTES!$B$12:$G$2602,2,FALSE),"")</f>
        <v>CONSTRUCTORA DE PAVIMENTOS ASFALTICOS BITUMIX S.A</v>
      </c>
      <c r="F957" s="31">
        <v>1265684</v>
      </c>
      <c r="G957" s="41" t="s">
        <v>101</v>
      </c>
      <c r="H957" s="26">
        <v>30</v>
      </c>
      <c r="I957" s="21" t="str">
        <f t="shared" ref="I957:I985" si="145">IF(H957="","",IF(H957=0,"Contado","Crédito"))</f>
        <v>Crédito</v>
      </c>
      <c r="J957" s="22">
        <f t="shared" ref="J957:J985" si="146">IF(I957="","",C957+H957)</f>
        <v>46127</v>
      </c>
      <c r="K957" s="27">
        <f t="shared" ref="K957:K985" ca="1" si="147">IFERROR(IF(B957="","",IF(N957=0,0,J957-TODAY())),"")</f>
        <v>0</v>
      </c>
      <c r="L957" s="23" t="str">
        <f t="shared" ref="L957:L985" si="148">IF(I957="","",IF(N957=0,"Pagado",IF(K957&lt;0,"Vencido","No vencido")))</f>
        <v>Pagado</v>
      </c>
      <c r="M957" s="36">
        <f>SUMIFS(Tabla_Pagos[IMPORTE ABONADO],Tabla_Pagos[FECHA DE ABONO],"&gt;0",Tabla_Pagos[NRO DOC],B957)</f>
        <v>1265684</v>
      </c>
      <c r="N957" s="36">
        <f t="shared" ref="N957:N985" si="149">F957-M957</f>
        <v>0</v>
      </c>
      <c r="O957" s="22" cm="1">
        <f t="array" ref="O957">MAX(IF((Tabla_Pagos[NRO DOC]=B957)*(Tabla_Pagos[IMPORTE ABONADO]&gt;0),Tabla_Pagos[FECHA DE ABONO]))</f>
        <v>46142</v>
      </c>
    </row>
    <row r="958" spans="2:15" ht="21" customHeight="1" x14ac:dyDescent="0.25">
      <c r="B958" s="39">
        <v>1891</v>
      </c>
      <c r="C958" s="20">
        <v>46097</v>
      </c>
      <c r="D958" s="40" t="s">
        <v>750</v>
      </c>
      <c r="E958" s="37" t="str">
        <f>IFERROR(VLOOKUP(D958,CLIENTES!$B$12:$G$2602,2,FALSE),"")</f>
        <v>SOCIEDAD CONCESIONARIA AEROPUERTOS DEL NORTE S.A.</v>
      </c>
      <c r="F958" s="31">
        <v>33320</v>
      </c>
      <c r="G958" s="41" t="s">
        <v>101</v>
      </c>
      <c r="H958" s="26">
        <v>30</v>
      </c>
      <c r="I958" s="21" t="str">
        <f t="shared" si="145"/>
        <v>Crédito</v>
      </c>
      <c r="J958" s="22">
        <f t="shared" si="146"/>
        <v>46127</v>
      </c>
      <c r="K958" s="27">
        <f t="shared" ca="1" si="147"/>
        <v>-51</v>
      </c>
      <c r="L958" s="23" t="str">
        <f t="shared" ca="1" si="148"/>
        <v>Vencido</v>
      </c>
      <c r="M958" s="36">
        <f>SUMIFS(Tabla_Pagos[IMPORTE ABONADO],Tabla_Pagos[FECHA DE ABONO],"&gt;0",Tabla_Pagos[NRO DOC],B958)</f>
        <v>0</v>
      </c>
      <c r="N958" s="36">
        <f t="shared" si="149"/>
        <v>33320</v>
      </c>
      <c r="O958" s="22" cm="1">
        <f t="array" ref="O958">MAX(IF((Tabla_Pagos[NRO DOC]=B958)*(Tabla_Pagos[IMPORTE ABONADO]&gt;0),Tabla_Pagos[FECHA DE ABONO]))</f>
        <v>0</v>
      </c>
    </row>
    <row r="959" spans="2:15" ht="21" customHeight="1" x14ac:dyDescent="0.25">
      <c r="B959" s="39">
        <v>1892</v>
      </c>
      <c r="C959" s="20">
        <v>46097</v>
      </c>
      <c r="D959" s="40" t="s">
        <v>750</v>
      </c>
      <c r="E959" s="37" t="str">
        <f>IFERROR(VLOOKUP(D959,CLIENTES!$B$12:$G$2602,2,FALSE),"")</f>
        <v>SOCIEDAD CONCESIONARIA AEROPUERTOS DEL NORTE S.A.</v>
      </c>
      <c r="F959" s="31">
        <v>170170</v>
      </c>
      <c r="G959" s="41" t="s">
        <v>101</v>
      </c>
      <c r="H959" s="26">
        <v>30</v>
      </c>
      <c r="I959" s="21" t="str">
        <f t="shared" si="145"/>
        <v>Crédito</v>
      </c>
      <c r="J959" s="22">
        <f t="shared" si="146"/>
        <v>46127</v>
      </c>
      <c r="K959" s="27">
        <f t="shared" ca="1" si="147"/>
        <v>-51</v>
      </c>
      <c r="L959" s="23" t="str">
        <f t="shared" ca="1" si="148"/>
        <v>Vencido</v>
      </c>
      <c r="M959" s="36">
        <f>SUMIFS(Tabla_Pagos[IMPORTE ABONADO],Tabla_Pagos[FECHA DE ABONO],"&gt;0",Tabla_Pagos[NRO DOC],B959)</f>
        <v>0</v>
      </c>
      <c r="N959" s="36">
        <f t="shared" si="149"/>
        <v>170170</v>
      </c>
      <c r="O959" s="22" cm="1">
        <f t="array" ref="O959">MAX(IF((Tabla_Pagos[NRO DOC]=B959)*(Tabla_Pagos[IMPORTE ABONADO]&gt;0),Tabla_Pagos[FECHA DE ABONO]))</f>
        <v>0</v>
      </c>
    </row>
    <row r="960" spans="2:15" ht="21" customHeight="1" x14ac:dyDescent="0.25">
      <c r="B960" s="39">
        <v>1893</v>
      </c>
      <c r="C960" s="20">
        <v>46097</v>
      </c>
      <c r="D960" s="40" t="s">
        <v>750</v>
      </c>
      <c r="E960" s="37" t="str">
        <f>IFERROR(VLOOKUP(D960,CLIENTES!$B$12:$G$2602,2,FALSE),"")</f>
        <v>SOCIEDAD CONCESIONARIA AEROPUERTOS DEL NORTE S.A.</v>
      </c>
      <c r="F960" s="31">
        <v>263466</v>
      </c>
      <c r="G960" s="41" t="s">
        <v>101</v>
      </c>
      <c r="H960" s="26">
        <v>30</v>
      </c>
      <c r="I960" s="21" t="str">
        <f t="shared" si="145"/>
        <v>Crédito</v>
      </c>
      <c r="J960" s="22">
        <f t="shared" si="146"/>
        <v>46127</v>
      </c>
      <c r="K960" s="27">
        <f t="shared" ca="1" si="147"/>
        <v>-51</v>
      </c>
      <c r="L960" s="23" t="str">
        <f t="shared" ca="1" si="148"/>
        <v>Vencido</v>
      </c>
      <c r="M960" s="36">
        <f>SUMIFS(Tabla_Pagos[IMPORTE ABONADO],Tabla_Pagos[FECHA DE ABONO],"&gt;0",Tabla_Pagos[NRO DOC],B960)</f>
        <v>0</v>
      </c>
      <c r="N960" s="36">
        <f t="shared" si="149"/>
        <v>263466</v>
      </c>
      <c r="O960" s="22" cm="1">
        <f t="array" ref="O960">MAX(IF((Tabla_Pagos[NRO DOC]=B960)*(Tabla_Pagos[IMPORTE ABONADO]&gt;0),Tabla_Pagos[FECHA DE ABONO]))</f>
        <v>0</v>
      </c>
    </row>
    <row r="961" spans="2:15" ht="21" customHeight="1" x14ac:dyDescent="0.25">
      <c r="B961" s="39">
        <v>1894</v>
      </c>
      <c r="C961" s="20">
        <v>46097</v>
      </c>
      <c r="D961" s="40" t="s">
        <v>485</v>
      </c>
      <c r="E961" s="37" t="str">
        <f>IFERROR(VLOOKUP(D961,CLIENTES!$B$12:$G$2602,2,FALSE),"")</f>
        <v>SAN RAFAEL INGENIERIA Y  SERVICIOS LIMITADA</v>
      </c>
      <c r="F961" s="31">
        <v>22015</v>
      </c>
      <c r="G961" s="41" t="s">
        <v>101</v>
      </c>
      <c r="H961" s="26">
        <v>30</v>
      </c>
      <c r="I961" s="21" t="str">
        <f t="shared" si="145"/>
        <v>Crédito</v>
      </c>
      <c r="J961" s="22">
        <f t="shared" si="146"/>
        <v>46127</v>
      </c>
      <c r="K961" s="27">
        <f t="shared" ca="1" si="147"/>
        <v>0</v>
      </c>
      <c r="L961" s="23" t="str">
        <f t="shared" si="148"/>
        <v>Pagado</v>
      </c>
      <c r="M961" s="36">
        <f>SUMIFS(Tabla_Pagos[IMPORTE ABONADO],Tabla_Pagos[FECHA DE ABONO],"&gt;0",Tabla_Pagos[NRO DOC],B961)</f>
        <v>22015</v>
      </c>
      <c r="N961" s="36">
        <f t="shared" si="149"/>
        <v>0</v>
      </c>
      <c r="O961" s="22" cm="1">
        <f t="array" ref="O961">MAX(IF((Tabla_Pagos[NRO DOC]=B961)*(Tabla_Pagos[IMPORTE ABONADO]&gt;0),Tabla_Pagos[FECHA DE ABONO]))</f>
        <v>46127</v>
      </c>
    </row>
    <row r="962" spans="2:15" ht="21" customHeight="1" x14ac:dyDescent="0.25">
      <c r="B962" s="39">
        <v>1895</v>
      </c>
      <c r="C962" s="20">
        <v>46097</v>
      </c>
      <c r="D962" s="40" t="s">
        <v>445</v>
      </c>
      <c r="E962" s="37" t="str">
        <f>IFERROR(VLOOKUP(D962,CLIENTES!$B$12:$G$2602,2,FALSE),"")</f>
        <v>ZONA DE CARABINEROS ATACAMA</v>
      </c>
      <c r="F962" s="31">
        <v>1101940</v>
      </c>
      <c r="G962" s="41" t="s">
        <v>101</v>
      </c>
      <c r="H962" s="26">
        <v>30</v>
      </c>
      <c r="I962" s="21" t="str">
        <f t="shared" si="145"/>
        <v>Crédito</v>
      </c>
      <c r="J962" s="22">
        <f t="shared" si="146"/>
        <v>46127</v>
      </c>
      <c r="K962" s="27">
        <f t="shared" ca="1" si="147"/>
        <v>0</v>
      </c>
      <c r="L962" s="23" t="str">
        <f t="shared" si="148"/>
        <v>Pagado</v>
      </c>
      <c r="M962" s="36">
        <f>SUMIFS(Tabla_Pagos[IMPORTE ABONADO],Tabla_Pagos[FECHA DE ABONO],"&gt;0",Tabla_Pagos[NRO DOC],B962)</f>
        <v>1101940</v>
      </c>
      <c r="N962" s="36">
        <f t="shared" si="149"/>
        <v>0</v>
      </c>
      <c r="O962" s="22" cm="1">
        <f t="array" ref="O962">MAX(IF((Tabla_Pagos[NRO DOC]=B962)*(Tabla_Pagos[IMPORTE ABONADO]&gt;0),Tabla_Pagos[FECHA DE ABONO]))</f>
        <v>46105</v>
      </c>
    </row>
    <row r="963" spans="2:15" ht="21" customHeight="1" x14ac:dyDescent="0.25">
      <c r="B963" s="39">
        <v>1896</v>
      </c>
      <c r="C963" s="20">
        <v>46097</v>
      </c>
      <c r="D963" s="40" t="s">
        <v>31</v>
      </c>
      <c r="E963" s="37" t="str">
        <f>IFERROR(VLOOKUP(D963,CLIENTES!$B$12:$G$2602,2,FALSE),"")</f>
        <v>KAUFMANN SA VEHICULOS MOTORIZADOS</v>
      </c>
      <c r="F963" s="31">
        <v>422831</v>
      </c>
      <c r="G963" s="41" t="s">
        <v>101</v>
      </c>
      <c r="H963" s="26">
        <v>30</v>
      </c>
      <c r="I963" s="21" t="str">
        <f t="shared" si="145"/>
        <v>Crédito</v>
      </c>
      <c r="J963" s="22">
        <f t="shared" si="146"/>
        <v>46127</v>
      </c>
      <c r="K963" s="27">
        <f t="shared" ca="1" si="147"/>
        <v>0</v>
      </c>
      <c r="L963" s="23" t="str">
        <f t="shared" si="148"/>
        <v>Pagado</v>
      </c>
      <c r="M963" s="36">
        <f>SUMIFS(Tabla_Pagos[IMPORTE ABONADO],Tabla_Pagos[FECHA DE ABONO],"&gt;0",Tabla_Pagos[NRO DOC],B963)</f>
        <v>422831</v>
      </c>
      <c r="N963" s="36">
        <f t="shared" si="149"/>
        <v>0</v>
      </c>
      <c r="O963" s="22" cm="1">
        <f t="array" ref="O963">MAX(IF((Tabla_Pagos[NRO DOC]=B963)*(Tabla_Pagos[IMPORTE ABONADO]&gt;0),Tabla_Pagos[FECHA DE ABONO]))</f>
        <v>46097</v>
      </c>
    </row>
    <row r="964" spans="2:15" ht="21" customHeight="1" x14ac:dyDescent="0.25">
      <c r="B964" s="39">
        <v>1897</v>
      </c>
      <c r="C964" s="20">
        <v>46097</v>
      </c>
      <c r="D964" s="40" t="s">
        <v>751</v>
      </c>
      <c r="E964" s="37" t="str">
        <f>IFERROR(VLOOKUP(D964,CLIENTES!$B$12:$G$2602,2,FALSE),"")</f>
        <v>TRANSPORTES GONZALEZ E HIJOS  LIMITADA</v>
      </c>
      <c r="F964" s="31">
        <v>47600</v>
      </c>
      <c r="G964" s="41" t="s">
        <v>101</v>
      </c>
      <c r="H964" s="26">
        <v>30</v>
      </c>
      <c r="I964" s="21" t="str">
        <f t="shared" si="145"/>
        <v>Crédito</v>
      </c>
      <c r="J964" s="22">
        <f t="shared" si="146"/>
        <v>46127</v>
      </c>
      <c r="K964" s="27">
        <f t="shared" ca="1" si="147"/>
        <v>-51</v>
      </c>
      <c r="L964" s="23" t="str">
        <f t="shared" ca="1" si="148"/>
        <v>Vencido</v>
      </c>
      <c r="M964" s="36">
        <f>SUMIFS(Tabla_Pagos[IMPORTE ABONADO],Tabla_Pagos[FECHA DE ABONO],"&gt;0",Tabla_Pagos[NRO DOC],B964)</f>
        <v>0</v>
      </c>
      <c r="N964" s="36">
        <f t="shared" si="149"/>
        <v>47600</v>
      </c>
      <c r="O964" s="22" cm="1">
        <f t="array" ref="O964">MAX(IF((Tabla_Pagos[NRO DOC]=B964)*(Tabla_Pagos[IMPORTE ABONADO]&gt;0),Tabla_Pagos[FECHA DE ABONO]))</f>
        <v>0</v>
      </c>
    </row>
    <row r="965" spans="2:15" ht="21" customHeight="1" x14ac:dyDescent="0.25">
      <c r="B965" s="39">
        <v>1898</v>
      </c>
      <c r="C965" s="20">
        <v>46097</v>
      </c>
      <c r="D965" s="40" t="s">
        <v>309</v>
      </c>
      <c r="E965" s="37" t="str">
        <f>IFERROR(VLOOKUP(D965,CLIENTES!$B$12:$G$2602,2,FALSE),"")</f>
        <v>PATRICIO ORLANDO OSORIO RIVERA</v>
      </c>
      <c r="F965" s="31">
        <v>142800</v>
      </c>
      <c r="G965" s="41" t="s">
        <v>101</v>
      </c>
      <c r="H965" s="26">
        <v>0</v>
      </c>
      <c r="I965" s="21" t="str">
        <f t="shared" si="145"/>
        <v>Contado</v>
      </c>
      <c r="J965" s="22">
        <f t="shared" si="146"/>
        <v>46097</v>
      </c>
      <c r="K965" s="27">
        <f t="shared" ca="1" si="147"/>
        <v>0</v>
      </c>
      <c r="L965" s="23" t="str">
        <f t="shared" si="148"/>
        <v>Pagado</v>
      </c>
      <c r="M965" s="36">
        <f>SUMIFS(Tabla_Pagos[IMPORTE ABONADO],Tabla_Pagos[FECHA DE ABONO],"&gt;0",Tabla_Pagos[NRO DOC],B965)</f>
        <v>142800</v>
      </c>
      <c r="N965" s="36">
        <f t="shared" si="149"/>
        <v>0</v>
      </c>
      <c r="O965" s="22" cm="1">
        <f t="array" ref="O965">MAX(IF((Tabla_Pagos[NRO DOC]=B965)*(Tabla_Pagos[IMPORTE ABONADO]&gt;0),Tabla_Pagos[FECHA DE ABONO]))</f>
        <v>46097</v>
      </c>
    </row>
    <row r="966" spans="2:15" ht="21" customHeight="1" x14ac:dyDescent="0.25">
      <c r="B966" s="39">
        <v>1899</v>
      </c>
      <c r="C966" s="20">
        <v>46098</v>
      </c>
      <c r="D966" s="40" t="s">
        <v>574</v>
      </c>
      <c r="E966" s="37" t="str">
        <f>IFERROR(VLOOKUP(D966,CLIENTES!$B$12:$G$2602,2,FALSE),"")</f>
        <v>TILSECO SERVICIOS ELECTRICOS CHILE SPA</v>
      </c>
      <c r="F966" s="31">
        <v>1244740</v>
      </c>
      <c r="G966" s="41" t="s">
        <v>101</v>
      </c>
      <c r="H966" s="26">
        <v>0</v>
      </c>
      <c r="I966" s="21" t="str">
        <f t="shared" si="145"/>
        <v>Contado</v>
      </c>
      <c r="J966" s="22">
        <f t="shared" si="146"/>
        <v>46098</v>
      </c>
      <c r="K966" s="27">
        <f t="shared" ca="1" si="147"/>
        <v>0</v>
      </c>
      <c r="L966" s="23" t="str">
        <f t="shared" si="148"/>
        <v>Pagado</v>
      </c>
      <c r="M966" s="36">
        <f>SUMIFS(Tabla_Pagos[IMPORTE ABONADO],Tabla_Pagos[FECHA DE ABONO],"&gt;0",Tabla_Pagos[NRO DOC],B966)</f>
        <v>1244740</v>
      </c>
      <c r="N966" s="36">
        <f t="shared" si="149"/>
        <v>0</v>
      </c>
      <c r="O966" s="22" cm="1">
        <f t="array" ref="O966">MAX(IF((Tabla_Pagos[NRO DOC]=B966)*(Tabla_Pagos[IMPORTE ABONADO]&gt;0),Tabla_Pagos[FECHA DE ABONO]))</f>
        <v>46098</v>
      </c>
    </row>
    <row r="967" spans="2:15" ht="21" customHeight="1" x14ac:dyDescent="0.25">
      <c r="B967" s="39">
        <v>1902</v>
      </c>
      <c r="C967" s="20">
        <v>46099</v>
      </c>
      <c r="D967" s="40" t="s">
        <v>752</v>
      </c>
      <c r="E967" s="37" t="str">
        <f>IFERROR(VLOOKUP(D967,CLIENTES!$B$12:$G$2602,2,FALSE),"")</f>
        <v>LESLY PATRICIA ALVAREZ ZEPEDA</v>
      </c>
      <c r="F967" s="31">
        <v>200000</v>
      </c>
      <c r="G967" s="41" t="s">
        <v>101</v>
      </c>
      <c r="H967" s="26">
        <v>0</v>
      </c>
      <c r="I967" s="21" t="str">
        <f t="shared" si="145"/>
        <v>Contado</v>
      </c>
      <c r="J967" s="22">
        <f t="shared" si="146"/>
        <v>46099</v>
      </c>
      <c r="K967" s="27">
        <f t="shared" ca="1" si="147"/>
        <v>0</v>
      </c>
      <c r="L967" s="23" t="str">
        <f t="shared" si="148"/>
        <v>Pagado</v>
      </c>
      <c r="M967" s="36">
        <f>SUMIFS(Tabla_Pagos[IMPORTE ABONADO],Tabla_Pagos[FECHA DE ABONO],"&gt;0",Tabla_Pagos[NRO DOC],B967)</f>
        <v>200000</v>
      </c>
      <c r="N967" s="36">
        <f t="shared" si="149"/>
        <v>0</v>
      </c>
      <c r="O967" s="22" cm="1">
        <f t="array" ref="O967">MAX(IF((Tabla_Pagos[NRO DOC]=B967)*(Tabla_Pagos[IMPORTE ABONADO]&gt;0),Tabla_Pagos[FECHA DE ABONO]))</f>
        <v>46099</v>
      </c>
    </row>
    <row r="968" spans="2:15" ht="21" customHeight="1" x14ac:dyDescent="0.25">
      <c r="B968" s="39">
        <v>1903</v>
      </c>
      <c r="C968" s="20">
        <v>46099</v>
      </c>
      <c r="D968" s="40" t="s">
        <v>37</v>
      </c>
      <c r="E968" s="37" t="str">
        <f>IFERROR(VLOOKUP(D968,CLIENTES!$B$12:$G$2602,2,FALSE),"")</f>
        <v>AILUV SPA</v>
      </c>
      <c r="F968" s="31">
        <v>249900</v>
      </c>
      <c r="G968" s="41" t="s">
        <v>101</v>
      </c>
      <c r="H968" s="26">
        <v>0</v>
      </c>
      <c r="I968" s="21" t="str">
        <f t="shared" si="145"/>
        <v>Contado</v>
      </c>
      <c r="J968" s="22">
        <f t="shared" si="146"/>
        <v>46099</v>
      </c>
      <c r="K968" s="27">
        <f t="shared" ca="1" si="147"/>
        <v>0</v>
      </c>
      <c r="L968" s="23" t="str">
        <f t="shared" si="148"/>
        <v>Pagado</v>
      </c>
      <c r="M968" s="36">
        <f>SUMIFS(Tabla_Pagos[IMPORTE ABONADO],Tabla_Pagos[FECHA DE ABONO],"&gt;0",Tabla_Pagos[NRO DOC],B968)</f>
        <v>249900</v>
      </c>
      <c r="N968" s="36">
        <f t="shared" si="149"/>
        <v>0</v>
      </c>
      <c r="O968" s="22" cm="1">
        <f t="array" ref="O968">MAX(IF((Tabla_Pagos[NRO DOC]=B968)*(Tabla_Pagos[IMPORTE ABONADO]&gt;0),Tabla_Pagos[FECHA DE ABONO]))</f>
        <v>46099</v>
      </c>
    </row>
    <row r="969" spans="2:15" ht="21" customHeight="1" x14ac:dyDescent="0.25">
      <c r="B969" s="39">
        <v>1904</v>
      </c>
      <c r="C969" s="20">
        <v>46100</v>
      </c>
      <c r="D969" s="40" t="s">
        <v>753</v>
      </c>
      <c r="E969" s="37" t="str">
        <f>IFERROR(VLOOKUP(D969,CLIENTES!$B$12:$G$2602,2,FALSE),"")</f>
        <v>NORTHFITT SPA</v>
      </c>
      <c r="F969" s="31">
        <v>428400</v>
      </c>
      <c r="G969" s="41" t="s">
        <v>101</v>
      </c>
      <c r="H969" s="26">
        <v>0</v>
      </c>
      <c r="I969" s="21" t="str">
        <f t="shared" si="145"/>
        <v>Contado</v>
      </c>
      <c r="J969" s="22">
        <f t="shared" si="146"/>
        <v>46100</v>
      </c>
      <c r="K969" s="27">
        <f t="shared" ca="1" si="147"/>
        <v>0</v>
      </c>
      <c r="L969" s="23" t="str">
        <f t="shared" si="148"/>
        <v>Pagado</v>
      </c>
      <c r="M969" s="36">
        <f>SUMIFS(Tabla_Pagos[IMPORTE ABONADO],Tabla_Pagos[FECHA DE ABONO],"&gt;0",Tabla_Pagos[NRO DOC],B969)</f>
        <v>428400</v>
      </c>
      <c r="N969" s="36">
        <f t="shared" si="149"/>
        <v>0</v>
      </c>
      <c r="O969" s="22" cm="1">
        <f t="array" ref="O969">MAX(IF((Tabla_Pagos[NRO DOC]=B969)*(Tabla_Pagos[IMPORTE ABONADO]&gt;0),Tabla_Pagos[FECHA DE ABONO]))</f>
        <v>46100</v>
      </c>
    </row>
    <row r="970" spans="2:15" ht="21" customHeight="1" x14ac:dyDescent="0.25">
      <c r="B970" s="39">
        <v>1905</v>
      </c>
      <c r="C970" s="20">
        <v>46100</v>
      </c>
      <c r="D970" s="40" t="s">
        <v>729</v>
      </c>
      <c r="E970" s="37" t="str">
        <f>IFERROR(VLOOKUP(D970,CLIENTES!$B$12:$G$2602,2,FALSE),"")</f>
        <v>EMPRESA DE TRANSPORTES DE PASAJEROS NUEVA COPIAPO 1 SPA</v>
      </c>
      <c r="F970" s="31">
        <v>317582</v>
      </c>
      <c r="G970" s="41" t="s">
        <v>101</v>
      </c>
      <c r="H970" s="26">
        <v>0</v>
      </c>
      <c r="I970" s="21" t="str">
        <f t="shared" si="145"/>
        <v>Contado</v>
      </c>
      <c r="J970" s="22">
        <f t="shared" si="146"/>
        <v>46100</v>
      </c>
      <c r="K970" s="27">
        <f t="shared" ca="1" si="147"/>
        <v>0</v>
      </c>
      <c r="L970" s="23" t="str">
        <f t="shared" si="148"/>
        <v>Pagado</v>
      </c>
      <c r="M970" s="36">
        <f>SUMIFS(Tabla_Pagos[IMPORTE ABONADO],Tabla_Pagos[FECHA DE ABONO],"&gt;0",Tabla_Pagos[NRO DOC],B970)</f>
        <v>317582</v>
      </c>
      <c r="N970" s="36">
        <f t="shared" si="149"/>
        <v>0</v>
      </c>
      <c r="O970" s="22" cm="1">
        <f t="array" ref="O970">MAX(IF((Tabla_Pagos[NRO DOC]=B970)*(Tabla_Pagos[IMPORTE ABONADO]&gt;0),Tabla_Pagos[FECHA DE ABONO]))</f>
        <v>46100</v>
      </c>
    </row>
    <row r="971" spans="2:15" ht="21" customHeight="1" x14ac:dyDescent="0.25">
      <c r="B971" s="39">
        <v>1906</v>
      </c>
      <c r="C971" s="20">
        <v>46100</v>
      </c>
      <c r="D971" s="40" t="s">
        <v>741</v>
      </c>
      <c r="E971" s="37" t="str">
        <f>IFERROR(VLOOKUP(D971,CLIENTES!$B$12:$G$2602,2,FALSE),"")</f>
        <v>CONSTRUCCIÃ“N Y SERVICIOS VARACE SPA</v>
      </c>
      <c r="F971" s="31">
        <v>35700</v>
      </c>
      <c r="G971" s="41" t="s">
        <v>101</v>
      </c>
      <c r="H971" s="26">
        <v>0</v>
      </c>
      <c r="I971" s="21" t="str">
        <f t="shared" si="145"/>
        <v>Contado</v>
      </c>
      <c r="J971" s="22">
        <f t="shared" si="146"/>
        <v>46100</v>
      </c>
      <c r="K971" s="27">
        <f t="shared" ca="1" si="147"/>
        <v>0</v>
      </c>
      <c r="L971" s="23" t="str">
        <f t="shared" si="148"/>
        <v>Pagado</v>
      </c>
      <c r="M971" s="36">
        <f>SUMIFS(Tabla_Pagos[IMPORTE ABONADO],Tabla_Pagos[FECHA DE ABONO],"&gt;0",Tabla_Pagos[NRO DOC],B971)</f>
        <v>35700</v>
      </c>
      <c r="N971" s="36">
        <f t="shared" si="149"/>
        <v>0</v>
      </c>
      <c r="O971" s="22" cm="1">
        <f t="array" ref="O971">MAX(IF((Tabla_Pagos[NRO DOC]=B971)*(Tabla_Pagos[IMPORTE ABONADO]&gt;0),Tabla_Pagos[FECHA DE ABONO]))</f>
        <v>46100</v>
      </c>
    </row>
    <row r="972" spans="2:15" ht="21" customHeight="1" x14ac:dyDescent="0.25">
      <c r="B972" s="39">
        <v>1907</v>
      </c>
      <c r="C972" s="20">
        <v>46100</v>
      </c>
      <c r="D972" s="40" t="s">
        <v>58</v>
      </c>
      <c r="E972" s="37" t="str">
        <f>IFERROR(VLOOKUP(D972,CLIENTES!$B$12:$G$2602,2,FALSE),"")</f>
        <v>ZACH PROYECTOS SA</v>
      </c>
      <c r="F972" s="31">
        <v>256445</v>
      </c>
      <c r="G972" s="41" t="s">
        <v>101</v>
      </c>
      <c r="H972" s="26">
        <v>30</v>
      </c>
      <c r="I972" s="21" t="str">
        <f t="shared" si="145"/>
        <v>Crédito</v>
      </c>
      <c r="J972" s="22">
        <f t="shared" si="146"/>
        <v>46130</v>
      </c>
      <c r="K972" s="27">
        <f t="shared" ca="1" si="147"/>
        <v>0</v>
      </c>
      <c r="L972" s="23" t="str">
        <f t="shared" si="148"/>
        <v>Pagado</v>
      </c>
      <c r="M972" s="36">
        <f>SUMIFS(Tabla_Pagos[IMPORTE ABONADO],Tabla_Pagos[FECHA DE ABONO],"&gt;0",Tabla_Pagos[NRO DOC],B972)</f>
        <v>256445</v>
      </c>
      <c r="N972" s="36">
        <f t="shared" si="149"/>
        <v>0</v>
      </c>
      <c r="O972" s="22" cm="1">
        <f t="array" ref="O972">MAX(IF((Tabla_Pagos[NRO DOC]=B972)*(Tabla_Pagos[IMPORTE ABONADO]&gt;0),Tabla_Pagos[FECHA DE ABONO]))</f>
        <v>46136</v>
      </c>
    </row>
    <row r="973" spans="2:15" ht="21" customHeight="1" x14ac:dyDescent="0.25">
      <c r="B973" s="39">
        <v>1908</v>
      </c>
      <c r="C973" s="20">
        <v>46100</v>
      </c>
      <c r="D973" s="40" t="s">
        <v>754</v>
      </c>
      <c r="E973" s="37" t="str">
        <f>IFERROR(VLOOKUP(D973,CLIENTES!$B$12:$G$2602,2,FALSE),"")</f>
        <v>AUTOMOTRIZ MMG SPA</v>
      </c>
      <c r="F973" s="31">
        <v>370000</v>
      </c>
      <c r="G973" s="41" t="s">
        <v>101</v>
      </c>
      <c r="H973" s="26">
        <v>0</v>
      </c>
      <c r="I973" s="21" t="str">
        <f t="shared" si="145"/>
        <v>Contado</v>
      </c>
      <c r="J973" s="22">
        <f t="shared" si="146"/>
        <v>46100</v>
      </c>
      <c r="K973" s="27">
        <f t="shared" ca="1" si="147"/>
        <v>0</v>
      </c>
      <c r="L973" s="23" t="str">
        <f t="shared" si="148"/>
        <v>Pagado</v>
      </c>
      <c r="M973" s="36">
        <f>SUMIFS(Tabla_Pagos[IMPORTE ABONADO],Tabla_Pagos[FECHA DE ABONO],"&gt;0",Tabla_Pagos[NRO DOC],B973)</f>
        <v>370000</v>
      </c>
      <c r="N973" s="36">
        <f t="shared" si="149"/>
        <v>0</v>
      </c>
      <c r="O973" s="22" cm="1">
        <f t="array" ref="O973">MAX(IF((Tabla_Pagos[NRO DOC]=B973)*(Tabla_Pagos[IMPORTE ABONADO]&gt;0),Tabla_Pagos[FECHA DE ABONO]))</f>
        <v>46100</v>
      </c>
    </row>
    <row r="974" spans="2:15" ht="21" customHeight="1" x14ac:dyDescent="0.25">
      <c r="B974" s="39">
        <v>1909</v>
      </c>
      <c r="C974" s="20">
        <v>46100</v>
      </c>
      <c r="D974" s="40" t="s">
        <v>205</v>
      </c>
      <c r="E974" s="37" t="str">
        <f>IFERROR(VLOOKUP(D974,CLIENTES!$B$12:$G$2602,2,FALSE),"")</f>
        <v>CONSTRUCTORA DE PAVIMENTOS ASFALTICOS BITUMIX S.A</v>
      </c>
      <c r="F974" s="31">
        <v>690200</v>
      </c>
      <c r="G974" s="41" t="s">
        <v>101</v>
      </c>
      <c r="H974" s="26">
        <v>30</v>
      </c>
      <c r="I974" s="21" t="str">
        <f t="shared" si="145"/>
        <v>Crédito</v>
      </c>
      <c r="J974" s="22">
        <f t="shared" si="146"/>
        <v>46130</v>
      </c>
      <c r="K974" s="27">
        <f t="shared" ca="1" si="147"/>
        <v>0</v>
      </c>
      <c r="L974" s="23" t="str">
        <f t="shared" si="148"/>
        <v>Pagado</v>
      </c>
      <c r="M974" s="36">
        <f>SUMIFS(Tabla_Pagos[IMPORTE ABONADO],Tabla_Pagos[FECHA DE ABONO],"&gt;0",Tabla_Pagos[NRO DOC],B974)</f>
        <v>690200</v>
      </c>
      <c r="N974" s="36">
        <f t="shared" si="149"/>
        <v>0</v>
      </c>
      <c r="O974" s="22" cm="1">
        <f t="array" ref="O974">MAX(IF((Tabla_Pagos[NRO DOC]=B974)*(Tabla_Pagos[IMPORTE ABONADO]&gt;0),Tabla_Pagos[FECHA DE ABONO]))</f>
        <v>46142</v>
      </c>
    </row>
    <row r="975" spans="2:15" ht="21" customHeight="1" x14ac:dyDescent="0.25">
      <c r="B975" s="39">
        <v>1910</v>
      </c>
      <c r="C975" s="20">
        <v>46101</v>
      </c>
      <c r="D975" s="40" t="s">
        <v>485</v>
      </c>
      <c r="E975" s="37" t="str">
        <f>IFERROR(VLOOKUP(D975,CLIENTES!$B$12:$G$2602,2,FALSE),"")</f>
        <v>SAN RAFAEL INGENIERIA Y  SERVICIOS LIMITADA</v>
      </c>
      <c r="F975" s="31">
        <v>44625</v>
      </c>
      <c r="G975" s="41" t="s">
        <v>101</v>
      </c>
      <c r="H975" s="26">
        <v>30</v>
      </c>
      <c r="I975" s="21" t="str">
        <f t="shared" si="145"/>
        <v>Crédito</v>
      </c>
      <c r="J975" s="22">
        <f t="shared" si="146"/>
        <v>46131</v>
      </c>
      <c r="K975" s="27">
        <f t="shared" ca="1" si="147"/>
        <v>0</v>
      </c>
      <c r="L975" s="23" t="str">
        <f t="shared" si="148"/>
        <v>Pagado</v>
      </c>
      <c r="M975" s="36">
        <f>SUMIFS(Tabla_Pagos[IMPORTE ABONADO],Tabla_Pagos[FECHA DE ABONO],"&gt;0",Tabla_Pagos[NRO DOC],B975)</f>
        <v>44625</v>
      </c>
      <c r="N975" s="36">
        <f t="shared" si="149"/>
        <v>0</v>
      </c>
      <c r="O975" s="22" cm="1">
        <f t="array" ref="O975">MAX(IF((Tabla_Pagos[NRO DOC]=B975)*(Tabla_Pagos[IMPORTE ABONADO]&gt;0),Tabla_Pagos[FECHA DE ABONO]))</f>
        <v>46134</v>
      </c>
    </row>
    <row r="976" spans="2:15" ht="21" customHeight="1" x14ac:dyDescent="0.25">
      <c r="B976" s="39">
        <v>1911</v>
      </c>
      <c r="C976" s="20">
        <v>46101</v>
      </c>
      <c r="D976" s="40" t="s">
        <v>485</v>
      </c>
      <c r="E976" s="37" t="str">
        <f>IFERROR(VLOOKUP(D976,CLIENTES!$B$12:$G$2602,2,FALSE),"")</f>
        <v>SAN RAFAEL INGENIERIA Y  SERVICIOS LIMITADA</v>
      </c>
      <c r="F976" s="31">
        <v>5950</v>
      </c>
      <c r="G976" s="41" t="s">
        <v>101</v>
      </c>
      <c r="H976" s="26">
        <v>30</v>
      </c>
      <c r="I976" s="21" t="str">
        <f t="shared" si="145"/>
        <v>Crédito</v>
      </c>
      <c r="J976" s="22">
        <f t="shared" si="146"/>
        <v>46131</v>
      </c>
      <c r="K976" s="27">
        <f t="shared" ca="1" si="147"/>
        <v>0</v>
      </c>
      <c r="L976" s="23" t="str">
        <f t="shared" si="148"/>
        <v>Pagado</v>
      </c>
      <c r="M976" s="36">
        <f>SUMIFS(Tabla_Pagos[IMPORTE ABONADO],Tabla_Pagos[FECHA DE ABONO],"&gt;0",Tabla_Pagos[NRO DOC],B976)</f>
        <v>5950</v>
      </c>
      <c r="N976" s="36">
        <f t="shared" si="149"/>
        <v>0</v>
      </c>
      <c r="O976" s="22" cm="1">
        <f t="array" ref="O976">MAX(IF((Tabla_Pagos[NRO DOC]=B976)*(Tabla_Pagos[IMPORTE ABONADO]&gt;0),Tabla_Pagos[FECHA DE ABONO]))</f>
        <v>46134</v>
      </c>
    </row>
    <row r="977" spans="2:15" ht="21" customHeight="1" x14ac:dyDescent="0.25">
      <c r="B977" s="39">
        <v>1912</v>
      </c>
      <c r="C977" s="20">
        <v>46101</v>
      </c>
      <c r="D977" s="40" t="s">
        <v>755</v>
      </c>
      <c r="E977" s="37" t="str">
        <f>IFERROR(VLOOKUP(D977,CLIENTES!$B$12:$G$2602,2,FALSE),"")</f>
        <v>SERVICIOS EN ACCIONAMIENTO Y CONTROL AUTOMATICO SPA</v>
      </c>
      <c r="F977" s="31">
        <v>452200</v>
      </c>
      <c r="G977" s="41" t="s">
        <v>101</v>
      </c>
      <c r="H977" s="26">
        <v>0</v>
      </c>
      <c r="I977" s="21" t="str">
        <f t="shared" si="145"/>
        <v>Contado</v>
      </c>
      <c r="J977" s="22">
        <f t="shared" si="146"/>
        <v>46101</v>
      </c>
      <c r="K977" s="27">
        <f t="shared" ca="1" si="147"/>
        <v>0</v>
      </c>
      <c r="L977" s="23" t="str">
        <f t="shared" si="148"/>
        <v>Pagado</v>
      </c>
      <c r="M977" s="36">
        <f>SUMIFS(Tabla_Pagos[IMPORTE ABONADO],Tabla_Pagos[FECHA DE ABONO],"&gt;0",Tabla_Pagos[NRO DOC],B977)</f>
        <v>452200</v>
      </c>
      <c r="N977" s="36">
        <f t="shared" si="149"/>
        <v>0</v>
      </c>
      <c r="O977" s="22" cm="1">
        <f t="array" ref="O977">MAX(IF((Tabla_Pagos[NRO DOC]=B977)*(Tabla_Pagos[IMPORTE ABONADO]&gt;0),Tabla_Pagos[FECHA DE ABONO]))</f>
        <v>46101</v>
      </c>
    </row>
    <row r="978" spans="2:15" ht="21" customHeight="1" x14ac:dyDescent="0.25">
      <c r="B978" s="39">
        <v>1913</v>
      </c>
      <c r="C978" s="20">
        <v>46102</v>
      </c>
      <c r="D978" s="40" t="s">
        <v>198</v>
      </c>
      <c r="E978" s="37" t="str">
        <f>IFERROR(VLOOKUP(D978,CLIENTES!$B$12:$G$2602,2,FALSE),"")</f>
        <v>INVERSIONES RÃO BIO BIO SPA</v>
      </c>
      <c r="F978" s="31">
        <v>1035300</v>
      </c>
      <c r="G978" s="41" t="s">
        <v>101</v>
      </c>
      <c r="H978" s="26">
        <v>0</v>
      </c>
      <c r="I978" s="21" t="str">
        <f t="shared" si="145"/>
        <v>Contado</v>
      </c>
      <c r="J978" s="22">
        <f t="shared" si="146"/>
        <v>46102</v>
      </c>
      <c r="K978" s="27">
        <f t="shared" ca="1" si="147"/>
        <v>0</v>
      </c>
      <c r="L978" s="23" t="str">
        <f t="shared" si="148"/>
        <v>Pagado</v>
      </c>
      <c r="M978" s="36">
        <f>SUMIFS(Tabla_Pagos[IMPORTE ABONADO],Tabla_Pagos[FECHA DE ABONO],"&gt;0",Tabla_Pagos[NRO DOC],B978)</f>
        <v>1035300</v>
      </c>
      <c r="N978" s="36">
        <f t="shared" si="149"/>
        <v>0</v>
      </c>
      <c r="O978" s="22" cm="1">
        <f t="array" ref="O978">MAX(IF((Tabla_Pagos[NRO DOC]=B978)*(Tabla_Pagos[IMPORTE ABONADO]&gt;0),Tabla_Pagos[FECHA DE ABONO]))</f>
        <v>46102</v>
      </c>
    </row>
    <row r="979" spans="2:15" ht="21" customHeight="1" x14ac:dyDescent="0.25">
      <c r="B979" s="39">
        <v>1914</v>
      </c>
      <c r="C979" s="20">
        <v>46102</v>
      </c>
      <c r="D979" s="40" t="s">
        <v>198</v>
      </c>
      <c r="E979" s="37" t="str">
        <f>IFERROR(VLOOKUP(D979,CLIENTES!$B$12:$G$2602,2,FALSE),"")</f>
        <v>INVERSIONES RÃO BIO BIO SPA</v>
      </c>
      <c r="F979" s="31">
        <v>702100</v>
      </c>
      <c r="G979" s="41" t="s">
        <v>101</v>
      </c>
      <c r="H979" s="26">
        <v>0</v>
      </c>
      <c r="I979" s="21" t="str">
        <f t="shared" si="145"/>
        <v>Contado</v>
      </c>
      <c r="J979" s="22">
        <f t="shared" si="146"/>
        <v>46102</v>
      </c>
      <c r="K979" s="27">
        <f t="shared" ca="1" si="147"/>
        <v>0</v>
      </c>
      <c r="L979" s="23" t="str">
        <f t="shared" si="148"/>
        <v>Pagado</v>
      </c>
      <c r="M979" s="36">
        <f>SUMIFS(Tabla_Pagos[IMPORTE ABONADO],Tabla_Pagos[FECHA DE ABONO],"&gt;0",Tabla_Pagos[NRO DOC],B979)</f>
        <v>702100</v>
      </c>
      <c r="N979" s="36">
        <f t="shared" si="149"/>
        <v>0</v>
      </c>
      <c r="O979" s="22" cm="1">
        <f t="array" ref="O979">MAX(IF((Tabla_Pagos[NRO DOC]=B979)*(Tabla_Pagos[IMPORTE ABONADO]&gt;0),Tabla_Pagos[FECHA DE ABONO]))</f>
        <v>46102</v>
      </c>
    </row>
    <row r="980" spans="2:15" ht="21" customHeight="1" x14ac:dyDescent="0.25">
      <c r="B980" s="39">
        <v>1915</v>
      </c>
      <c r="C980" s="20">
        <v>46104</v>
      </c>
      <c r="D980" s="40" t="s">
        <v>749</v>
      </c>
      <c r="E980" s="37" t="str">
        <f>IFERROR(VLOOKUP(D980,CLIENTES!$B$12:$G$2602,2,FALSE),"")</f>
        <v>RODOLFO HUMBERTO TAMBLAY CAMPILLAY</v>
      </c>
      <c r="F980" s="31">
        <v>232169</v>
      </c>
      <c r="G980" s="41" t="s">
        <v>101</v>
      </c>
      <c r="H980" s="26">
        <v>0</v>
      </c>
      <c r="I980" s="21" t="str">
        <f t="shared" si="145"/>
        <v>Contado</v>
      </c>
      <c r="J980" s="22">
        <f t="shared" si="146"/>
        <v>46104</v>
      </c>
      <c r="K980" s="27">
        <f t="shared" ca="1" si="147"/>
        <v>0</v>
      </c>
      <c r="L980" s="23" t="str">
        <f t="shared" si="148"/>
        <v>Pagado</v>
      </c>
      <c r="M980" s="36">
        <f>SUMIFS(Tabla_Pagos[IMPORTE ABONADO],Tabla_Pagos[FECHA DE ABONO],"&gt;0",Tabla_Pagos[NRO DOC],B980)</f>
        <v>232169</v>
      </c>
      <c r="N980" s="36">
        <f t="shared" si="149"/>
        <v>0</v>
      </c>
      <c r="O980" s="22" cm="1">
        <f t="array" ref="O980">MAX(IF((Tabla_Pagos[NRO DOC]=B980)*(Tabla_Pagos[IMPORTE ABONADO]&gt;0),Tabla_Pagos[FECHA DE ABONO]))</f>
        <v>46104</v>
      </c>
    </row>
    <row r="981" spans="2:15" ht="21" customHeight="1" x14ac:dyDescent="0.25">
      <c r="B981" s="39">
        <v>1916</v>
      </c>
      <c r="C981" s="20">
        <v>46104</v>
      </c>
      <c r="D981" s="40" t="s">
        <v>756</v>
      </c>
      <c r="E981" s="37" t="str">
        <f>IFERROR(VLOOKUP(D981,CLIENTES!$B$12:$G$2602,2,FALSE),"")</f>
        <v>LA PALMERA  ATACAMA SPA</v>
      </c>
      <c r="F981" s="31">
        <v>50000</v>
      </c>
      <c r="G981" s="41" t="s">
        <v>101</v>
      </c>
      <c r="H981" s="26">
        <v>30</v>
      </c>
      <c r="I981" s="21" t="str">
        <f t="shared" si="145"/>
        <v>Crédito</v>
      </c>
      <c r="J981" s="22">
        <f t="shared" si="146"/>
        <v>46134</v>
      </c>
      <c r="K981" s="27">
        <f t="shared" ca="1" si="147"/>
        <v>0</v>
      </c>
      <c r="L981" s="23" t="str">
        <f t="shared" si="148"/>
        <v>Pagado</v>
      </c>
      <c r="M981" s="36">
        <f>SUMIFS(Tabla_Pagos[IMPORTE ABONADO],Tabla_Pagos[FECHA DE ABONO],"&gt;0",Tabla_Pagos[NRO DOC],B981)</f>
        <v>50000</v>
      </c>
      <c r="N981" s="36">
        <f t="shared" si="149"/>
        <v>0</v>
      </c>
      <c r="O981" s="22" cm="1">
        <f t="array" ref="O981">MAX(IF((Tabla_Pagos[NRO DOC]=B981)*(Tabla_Pagos[IMPORTE ABONADO]&gt;0),Tabla_Pagos[FECHA DE ABONO]))</f>
        <v>46104</v>
      </c>
    </row>
    <row r="982" spans="2:15" ht="21" customHeight="1" x14ac:dyDescent="0.25">
      <c r="B982" s="39">
        <v>1917</v>
      </c>
      <c r="C982" s="20">
        <v>46104</v>
      </c>
      <c r="D982" s="40" t="s">
        <v>687</v>
      </c>
      <c r="E982" s="37" t="str">
        <f>IFERROR(VLOOKUP(D982,CLIENTES!$B$12:$G$2602,2,FALSE),"")</f>
        <v>SOCIEDAD COMERCIAL ROMSA SERVICIOS SPA</v>
      </c>
      <c r="F982" s="31">
        <v>76755</v>
      </c>
      <c r="G982" s="41" t="s">
        <v>101</v>
      </c>
      <c r="H982" s="26">
        <v>0</v>
      </c>
      <c r="I982" s="21" t="str">
        <f t="shared" si="145"/>
        <v>Contado</v>
      </c>
      <c r="J982" s="22">
        <f t="shared" si="146"/>
        <v>46104</v>
      </c>
      <c r="K982" s="27">
        <f t="shared" ca="1" si="147"/>
        <v>0</v>
      </c>
      <c r="L982" s="23" t="str">
        <f t="shared" si="148"/>
        <v>Pagado</v>
      </c>
      <c r="M982" s="36">
        <f>SUMIFS(Tabla_Pagos[IMPORTE ABONADO],Tabla_Pagos[FECHA DE ABONO],"&gt;0",Tabla_Pagos[NRO DOC],B982)</f>
        <v>76755</v>
      </c>
      <c r="N982" s="36">
        <f t="shared" si="149"/>
        <v>0</v>
      </c>
      <c r="O982" s="22" cm="1">
        <f t="array" ref="O982">MAX(IF((Tabla_Pagos[NRO DOC]=B982)*(Tabla_Pagos[IMPORTE ABONADO]&gt;0),Tabla_Pagos[FECHA DE ABONO]))</f>
        <v>46104</v>
      </c>
    </row>
    <row r="983" spans="2:15" ht="21" customHeight="1" x14ac:dyDescent="0.25">
      <c r="B983" s="39">
        <v>1918</v>
      </c>
      <c r="C983" s="20">
        <v>46104</v>
      </c>
      <c r="D983" s="40" t="s">
        <v>687</v>
      </c>
      <c r="E983" s="37" t="str">
        <f>IFERROR(VLOOKUP(D983,CLIENTES!$B$12:$G$2602,2,FALSE),"")</f>
        <v>SOCIEDAD COMERCIAL ROMSA SERVICIOS SPA</v>
      </c>
      <c r="F983" s="31">
        <v>11900</v>
      </c>
      <c r="G983" s="41" t="s">
        <v>101</v>
      </c>
      <c r="H983" s="26">
        <v>0</v>
      </c>
      <c r="I983" s="21" t="str">
        <f t="shared" si="145"/>
        <v>Contado</v>
      </c>
      <c r="J983" s="22">
        <f t="shared" si="146"/>
        <v>46104</v>
      </c>
      <c r="K983" s="27">
        <f t="shared" ca="1" si="147"/>
        <v>0</v>
      </c>
      <c r="L983" s="23" t="str">
        <f t="shared" si="148"/>
        <v>Pagado</v>
      </c>
      <c r="M983" s="36">
        <f>SUMIFS(Tabla_Pagos[IMPORTE ABONADO],Tabla_Pagos[FECHA DE ABONO],"&gt;0",Tabla_Pagos[NRO DOC],B983)</f>
        <v>11900</v>
      </c>
      <c r="N983" s="36">
        <f t="shared" si="149"/>
        <v>0</v>
      </c>
      <c r="O983" s="22" cm="1">
        <f t="array" ref="O983">MAX(IF((Tabla_Pagos[NRO DOC]=B983)*(Tabla_Pagos[IMPORTE ABONADO]&gt;0),Tabla_Pagos[FECHA DE ABONO]))</f>
        <v>46104</v>
      </c>
    </row>
    <row r="984" spans="2:15" ht="21" customHeight="1" x14ac:dyDescent="0.25">
      <c r="B984" s="39">
        <v>1919</v>
      </c>
      <c r="C984" s="20">
        <v>46104</v>
      </c>
      <c r="D984" s="40" t="s">
        <v>401</v>
      </c>
      <c r="E984" s="37" t="str">
        <f>IFERROR(VLOOKUP(D984,CLIENTES!$B$12:$G$2602,2,FALSE),"")</f>
        <v>INVERSIONES SANTA LUISA LIMITADA</v>
      </c>
      <c r="F984" s="31">
        <v>5950</v>
      </c>
      <c r="G984" s="41" t="s">
        <v>101</v>
      </c>
      <c r="H984" s="26">
        <v>0</v>
      </c>
      <c r="I984" s="21" t="str">
        <f t="shared" si="145"/>
        <v>Contado</v>
      </c>
      <c r="J984" s="22">
        <f t="shared" si="146"/>
        <v>46104</v>
      </c>
      <c r="K984" s="27">
        <f t="shared" ca="1" si="147"/>
        <v>0</v>
      </c>
      <c r="L984" s="23" t="str">
        <f t="shared" si="148"/>
        <v>Pagado</v>
      </c>
      <c r="M984" s="36">
        <f>SUMIFS(Tabla_Pagos[IMPORTE ABONADO],Tabla_Pagos[FECHA DE ABONO],"&gt;0",Tabla_Pagos[NRO DOC],B984)</f>
        <v>5950</v>
      </c>
      <c r="N984" s="36">
        <f t="shared" si="149"/>
        <v>0</v>
      </c>
      <c r="O984" s="22" cm="1">
        <f t="array" ref="O984">MAX(IF((Tabla_Pagos[NRO DOC]=B984)*(Tabla_Pagos[IMPORTE ABONADO]&gt;0),Tabla_Pagos[FECHA DE ABONO]))</f>
        <v>46104</v>
      </c>
    </row>
    <row r="985" spans="2:15" ht="21" customHeight="1" x14ac:dyDescent="0.25">
      <c r="B985" s="39">
        <v>1920</v>
      </c>
      <c r="C985" s="20">
        <v>46104</v>
      </c>
      <c r="D985" s="40" t="s">
        <v>757</v>
      </c>
      <c r="E985" s="37" t="str">
        <f>IFERROR(VLOOKUP(D985,CLIENTES!$B$12:$G$2602,2,FALSE),"")</f>
        <v>MARIO ALEJANDRO UBILLO GARATE CONSTRUCCIONES E.I.R.L.</v>
      </c>
      <c r="F985" s="31">
        <v>981750</v>
      </c>
      <c r="G985" s="41" t="s">
        <v>101</v>
      </c>
      <c r="H985" s="26">
        <v>0</v>
      </c>
      <c r="I985" s="21" t="str">
        <f t="shared" si="145"/>
        <v>Contado</v>
      </c>
      <c r="J985" s="22">
        <f t="shared" si="146"/>
        <v>46104</v>
      </c>
      <c r="K985" s="27">
        <f t="shared" ca="1" si="147"/>
        <v>0</v>
      </c>
      <c r="L985" s="23" t="str">
        <f t="shared" si="148"/>
        <v>Pagado</v>
      </c>
      <c r="M985" s="36">
        <f>SUMIFS(Tabla_Pagos[IMPORTE ABONADO],Tabla_Pagos[FECHA DE ABONO],"&gt;0",Tabla_Pagos[NRO DOC],B985)</f>
        <v>981750</v>
      </c>
      <c r="N985" s="36">
        <f t="shared" si="149"/>
        <v>0</v>
      </c>
      <c r="O985" s="22" cm="1">
        <f t="array" ref="O985">MAX(IF((Tabla_Pagos[NRO DOC]=B985)*(Tabla_Pagos[IMPORTE ABONADO]&gt;0),Tabla_Pagos[FECHA DE ABONO]))</f>
        <v>46104</v>
      </c>
    </row>
    <row r="986" spans="2:15" ht="21" customHeight="1" x14ac:dyDescent="0.25">
      <c r="B986" s="39">
        <v>1921</v>
      </c>
      <c r="C986" s="20">
        <v>46105</v>
      </c>
      <c r="D986" s="40" t="s">
        <v>767</v>
      </c>
      <c r="E986" s="37" t="str">
        <f>IFERROR(VLOOKUP(D986,CLIENTES!$B$12:$G$2602,2,FALSE),"")</f>
        <v>ALAMME MOTORS ARRIENDO, MANTENCIONES Y VENTA DE REPUESTOS SPA</v>
      </c>
      <c r="F986" s="31">
        <v>1190000</v>
      </c>
      <c r="G986" s="41" t="s">
        <v>101</v>
      </c>
      <c r="H986" s="26">
        <v>0</v>
      </c>
      <c r="I986" s="21" t="str">
        <f>IF(H986="","",IF(H986=0,"Contado","Crédito"))</f>
        <v>Contado</v>
      </c>
      <c r="J986" s="22">
        <f>IF(I986="","",C986+H986)</f>
        <v>46105</v>
      </c>
      <c r="K986" s="27">
        <f ca="1">IFERROR(IF(B986="","",IF(N986=0,0,J986-TODAY())),"")</f>
        <v>0</v>
      </c>
      <c r="L986" s="23" t="str">
        <f>IF(I986="","",IF(N986=0,"Pagado",IF(K986&lt;0,"Vencido","No vencido")))</f>
        <v>Pagado</v>
      </c>
      <c r="M986" s="36">
        <f>SUMIFS(Tabla_Pagos[IMPORTE ABONADO],Tabla_Pagos[FECHA DE ABONO],"&gt;0",Tabla_Pagos[NRO DOC],B986)</f>
        <v>1190000</v>
      </c>
      <c r="N986" s="36">
        <f>F986-M986</f>
        <v>0</v>
      </c>
      <c r="O986" s="22" cm="1">
        <f t="array" ref="O986">MAX(IF((Tabla_Pagos[NRO DOC]=B986)*(Tabla_Pagos[IMPORTE ABONADO]&gt;0),Tabla_Pagos[FECHA DE ABONO]))</f>
        <v>46105</v>
      </c>
    </row>
    <row r="987" spans="2:15" ht="21" customHeight="1" x14ac:dyDescent="0.25">
      <c r="B987" s="39">
        <v>1924</v>
      </c>
      <c r="C987" s="20">
        <v>46106</v>
      </c>
      <c r="D987" s="40" t="s">
        <v>485</v>
      </c>
      <c r="E987" s="37" t="str">
        <f>IFERROR(VLOOKUP(D987,CLIENTES!$B$12:$G$2602,2,FALSE),"")</f>
        <v>SAN RAFAEL INGENIERIA Y  SERVICIOS LIMITADA</v>
      </c>
      <c r="F987" s="31">
        <v>141015</v>
      </c>
      <c r="G987" s="41" t="s">
        <v>101</v>
      </c>
      <c r="H987" s="26">
        <v>30</v>
      </c>
      <c r="I987" s="21" t="str">
        <f t="shared" ref="I987:I1003" si="150">IF(H987="","",IF(H987=0,"Contado","Crédito"))</f>
        <v>Crédito</v>
      </c>
      <c r="J987" s="22">
        <f t="shared" ref="J987:J1003" si="151">IF(I987="","",C987+H987)</f>
        <v>46136</v>
      </c>
      <c r="K987" s="27">
        <f t="shared" ref="K987:K1003" ca="1" si="152">IFERROR(IF(B987="","",IF(N987=0,0,J987-TODAY())),"")</f>
        <v>0</v>
      </c>
      <c r="L987" s="23" t="str">
        <f t="shared" ref="L987:L1003" si="153">IF(I987="","",IF(N987=0,"Pagado",IF(K987&lt;0,"Vencido","No vencido")))</f>
        <v>Pagado</v>
      </c>
      <c r="M987" s="36">
        <f>SUMIFS(Tabla_Pagos[IMPORTE ABONADO],Tabla_Pagos[FECHA DE ABONO],"&gt;0",Tabla_Pagos[NRO DOC],B987)</f>
        <v>141015</v>
      </c>
      <c r="N987" s="36">
        <f t="shared" ref="N987:N1003" si="154">F987-M987</f>
        <v>0</v>
      </c>
      <c r="O987" s="22" cm="1">
        <f t="array" ref="O987">MAX(IF((Tabla_Pagos[NRO DOC]=B987)*(Tabla_Pagos[IMPORTE ABONADO]&gt;0),Tabla_Pagos[FECHA DE ABONO]))</f>
        <v>46134</v>
      </c>
    </row>
    <row r="988" spans="2:15" ht="21" customHeight="1" x14ac:dyDescent="0.25">
      <c r="B988" s="39">
        <v>1925</v>
      </c>
      <c r="C988" s="20">
        <v>46106</v>
      </c>
      <c r="D988" s="40" t="s">
        <v>31</v>
      </c>
      <c r="E988" s="37" t="str">
        <f>IFERROR(VLOOKUP(D988,CLIENTES!$B$12:$G$2602,2,FALSE),"")</f>
        <v>KAUFMANN SA VEHICULOS MOTORIZADOS</v>
      </c>
      <c r="F988" s="31">
        <v>422831</v>
      </c>
      <c r="G988" s="41" t="s">
        <v>101</v>
      </c>
      <c r="H988" s="26">
        <v>30</v>
      </c>
      <c r="I988" s="21" t="str">
        <f t="shared" si="150"/>
        <v>Crédito</v>
      </c>
      <c r="J988" s="22">
        <f t="shared" si="151"/>
        <v>46136</v>
      </c>
      <c r="K988" s="27">
        <f t="shared" ca="1" si="152"/>
        <v>0</v>
      </c>
      <c r="L988" s="23" t="str">
        <f t="shared" si="153"/>
        <v>Pagado</v>
      </c>
      <c r="M988" s="36">
        <f>SUMIFS(Tabla_Pagos[IMPORTE ABONADO],Tabla_Pagos[FECHA DE ABONO],"&gt;0",Tabla_Pagos[NRO DOC],B988)</f>
        <v>422831</v>
      </c>
      <c r="N988" s="36">
        <f t="shared" si="154"/>
        <v>0</v>
      </c>
      <c r="O988" s="22" cm="1">
        <f t="array" ref="O988">MAX(IF((Tabla_Pagos[NRO DOC]=B988)*(Tabla_Pagos[IMPORTE ABONADO]&gt;0),Tabla_Pagos[FECHA DE ABONO]))</f>
        <v>46136</v>
      </c>
    </row>
    <row r="989" spans="2:15" ht="21" customHeight="1" x14ac:dyDescent="0.25">
      <c r="B989" s="39">
        <v>1926</v>
      </c>
      <c r="C989" s="20">
        <v>46106</v>
      </c>
      <c r="D989" s="40" t="s">
        <v>768</v>
      </c>
      <c r="E989" s="37" t="str">
        <f>IFERROR(VLOOKUP(D989,CLIENTES!$B$12:$G$2602,2,FALSE),"")</f>
        <v>PROYECTO APOLO SPA</v>
      </c>
      <c r="F989" s="31">
        <v>83200</v>
      </c>
      <c r="G989" s="41" t="s">
        <v>101</v>
      </c>
      <c r="H989" s="26">
        <v>0</v>
      </c>
      <c r="I989" s="21" t="str">
        <f t="shared" si="150"/>
        <v>Contado</v>
      </c>
      <c r="J989" s="22">
        <f t="shared" si="151"/>
        <v>46106</v>
      </c>
      <c r="K989" s="27">
        <f t="shared" ca="1" si="152"/>
        <v>0</v>
      </c>
      <c r="L989" s="23" t="str">
        <f t="shared" si="153"/>
        <v>Pagado</v>
      </c>
      <c r="M989" s="36">
        <f>SUMIFS(Tabla_Pagos[IMPORTE ABONADO],Tabla_Pagos[FECHA DE ABONO],"&gt;0",Tabla_Pagos[NRO DOC],B989)</f>
        <v>83200</v>
      </c>
      <c r="N989" s="36">
        <f t="shared" si="154"/>
        <v>0</v>
      </c>
      <c r="O989" s="22" cm="1">
        <f t="array" ref="O989">MAX(IF((Tabla_Pagos[NRO DOC]=B989)*(Tabla_Pagos[IMPORTE ABONADO]&gt;0),Tabla_Pagos[FECHA DE ABONO]))</f>
        <v>46106</v>
      </c>
    </row>
    <row r="990" spans="2:15" ht="21" customHeight="1" x14ac:dyDescent="0.25">
      <c r="B990" s="39">
        <v>1927</v>
      </c>
      <c r="C990" s="20">
        <v>46106</v>
      </c>
      <c r="D990" s="40" t="s">
        <v>769</v>
      </c>
      <c r="E990" s="37" t="str">
        <f>IFERROR(VLOOKUP(D990,CLIENTES!$B$12:$G$2602,2,FALSE),"")</f>
        <v>SOCIEDAD DE SERVICIOS, ADMINISTRACIÃ“N Y LOGÃSTICA HOLVOET LIMITADA</v>
      </c>
      <c r="F990" s="31">
        <v>4999</v>
      </c>
      <c r="G990" s="41" t="s">
        <v>101</v>
      </c>
      <c r="H990" s="26">
        <v>0</v>
      </c>
      <c r="I990" s="21" t="str">
        <f t="shared" si="150"/>
        <v>Contado</v>
      </c>
      <c r="J990" s="22">
        <f t="shared" si="151"/>
        <v>46106</v>
      </c>
      <c r="K990" s="27">
        <f t="shared" ca="1" si="152"/>
        <v>0</v>
      </c>
      <c r="L990" s="23" t="str">
        <f t="shared" si="153"/>
        <v>Pagado</v>
      </c>
      <c r="M990" s="36">
        <f>SUMIFS(Tabla_Pagos[IMPORTE ABONADO],Tabla_Pagos[FECHA DE ABONO],"&gt;0",Tabla_Pagos[NRO DOC],B990)</f>
        <v>4999</v>
      </c>
      <c r="N990" s="36">
        <f t="shared" si="154"/>
        <v>0</v>
      </c>
      <c r="O990" s="22" cm="1">
        <f t="array" ref="O990">MAX(IF((Tabla_Pagos[NRO DOC]=B990)*(Tabla_Pagos[IMPORTE ABONADO]&gt;0),Tabla_Pagos[FECHA DE ABONO]))</f>
        <v>46106</v>
      </c>
    </row>
    <row r="991" spans="2:15" ht="21" customHeight="1" x14ac:dyDescent="0.25">
      <c r="B991" s="39">
        <v>1928</v>
      </c>
      <c r="C991" s="20">
        <v>46106</v>
      </c>
      <c r="D991" s="40" t="s">
        <v>770</v>
      </c>
      <c r="E991" s="37" t="str">
        <f>IFERROR(VLOOKUP(D991,CLIENTES!$B$12:$G$2602,2,FALSE),"")</f>
        <v>ATACAMA DUNE SPA</v>
      </c>
      <c r="F991" s="31">
        <v>33320</v>
      </c>
      <c r="G991" s="41" t="s">
        <v>101</v>
      </c>
      <c r="H991" s="26">
        <v>0</v>
      </c>
      <c r="I991" s="21" t="str">
        <f t="shared" si="150"/>
        <v>Contado</v>
      </c>
      <c r="J991" s="22">
        <f t="shared" si="151"/>
        <v>46106</v>
      </c>
      <c r="K991" s="27">
        <f t="shared" ca="1" si="152"/>
        <v>0</v>
      </c>
      <c r="L991" s="23" t="str">
        <f t="shared" si="153"/>
        <v>Pagado</v>
      </c>
      <c r="M991" s="36">
        <f>SUMIFS(Tabla_Pagos[IMPORTE ABONADO],Tabla_Pagos[FECHA DE ABONO],"&gt;0",Tabla_Pagos[NRO DOC],B991)</f>
        <v>33320</v>
      </c>
      <c r="N991" s="36">
        <f t="shared" si="154"/>
        <v>0</v>
      </c>
      <c r="O991" s="22" cm="1">
        <f t="array" ref="O991">MAX(IF((Tabla_Pagos[NRO DOC]=B991)*(Tabla_Pagos[IMPORTE ABONADO]&gt;0),Tabla_Pagos[FECHA DE ABONO]))</f>
        <v>46106</v>
      </c>
    </row>
    <row r="992" spans="2:15" ht="21" customHeight="1" x14ac:dyDescent="0.25">
      <c r="B992" s="39">
        <v>1929</v>
      </c>
      <c r="C992" s="20">
        <v>46106</v>
      </c>
      <c r="D992" s="40" t="s">
        <v>538</v>
      </c>
      <c r="E992" s="37" t="str">
        <f>IFERROR(VLOOKUP(D992,CLIENTES!$B$12:$G$2602,2,FALSE),"")</f>
        <v>ATACAMA TECH SPA</v>
      </c>
      <c r="F992" s="31">
        <v>108290</v>
      </c>
      <c r="G992" s="41" t="s">
        <v>101</v>
      </c>
      <c r="H992" s="26">
        <v>30</v>
      </c>
      <c r="I992" s="21" t="str">
        <f t="shared" si="150"/>
        <v>Crédito</v>
      </c>
      <c r="J992" s="22">
        <f t="shared" si="151"/>
        <v>46136</v>
      </c>
      <c r="K992" s="27">
        <f t="shared" ca="1" si="152"/>
        <v>-42</v>
      </c>
      <c r="L992" s="23" t="str">
        <f t="shared" ca="1" si="153"/>
        <v>Vencido</v>
      </c>
      <c r="M992" s="36">
        <f>SUMIFS(Tabla_Pagos[IMPORTE ABONADO],Tabla_Pagos[FECHA DE ABONO],"&gt;0",Tabla_Pagos[NRO DOC],B992)</f>
        <v>0</v>
      </c>
      <c r="N992" s="36">
        <f t="shared" si="154"/>
        <v>108290</v>
      </c>
      <c r="O992" s="22" cm="1">
        <f t="array" ref="O992">MAX(IF((Tabla_Pagos[NRO DOC]=B992)*(Tabla_Pagos[IMPORTE ABONADO]&gt;0),Tabla_Pagos[FECHA DE ABONO]))</f>
        <v>0</v>
      </c>
    </row>
    <row r="993" spans="2:15" ht="21" customHeight="1" x14ac:dyDescent="0.25">
      <c r="B993" s="39">
        <v>1930</v>
      </c>
      <c r="C993" s="20">
        <v>46106</v>
      </c>
      <c r="D993" s="40" t="s">
        <v>31</v>
      </c>
      <c r="E993" s="37" t="str">
        <f>IFERROR(VLOOKUP(D993,CLIENTES!$B$12:$G$2602,2,FALSE),"")</f>
        <v>KAUFMANN SA VEHICULOS MOTORIZADOS</v>
      </c>
      <c r="F993" s="31">
        <v>22610</v>
      </c>
      <c r="G993" s="41" t="s">
        <v>101</v>
      </c>
      <c r="H993" s="26">
        <v>30</v>
      </c>
      <c r="I993" s="21" t="str">
        <f t="shared" si="150"/>
        <v>Crédito</v>
      </c>
      <c r="J993" s="22">
        <f t="shared" si="151"/>
        <v>46136</v>
      </c>
      <c r="K993" s="27">
        <f t="shared" ca="1" si="152"/>
        <v>0</v>
      </c>
      <c r="L993" s="23" t="str">
        <f t="shared" si="153"/>
        <v>Pagado</v>
      </c>
      <c r="M993" s="36">
        <f>SUMIFS(Tabla_Pagos[IMPORTE ABONADO],Tabla_Pagos[FECHA DE ABONO],"&gt;0",Tabla_Pagos[NRO DOC],B993)</f>
        <v>22610</v>
      </c>
      <c r="N993" s="36">
        <f t="shared" si="154"/>
        <v>0</v>
      </c>
      <c r="O993" s="22" cm="1">
        <f t="array" ref="O993">MAX(IF((Tabla_Pagos[NRO DOC]=B993)*(Tabla_Pagos[IMPORTE ABONADO]&gt;0),Tabla_Pagos[FECHA DE ABONO]))</f>
        <v>46136</v>
      </c>
    </row>
    <row r="994" spans="2:15" ht="21" customHeight="1" x14ac:dyDescent="0.25">
      <c r="B994" s="39">
        <v>1931</v>
      </c>
      <c r="C994" s="20">
        <v>46107</v>
      </c>
      <c r="D994" s="40" t="s">
        <v>37</v>
      </c>
      <c r="E994" s="37" t="str">
        <f>IFERROR(VLOOKUP(D994,CLIENTES!$B$12:$G$2602,2,FALSE),"")</f>
        <v>AILUV SPA</v>
      </c>
      <c r="F994" s="31">
        <v>249900</v>
      </c>
      <c r="G994" s="41" t="s">
        <v>101</v>
      </c>
      <c r="H994" s="26">
        <v>0</v>
      </c>
      <c r="I994" s="21" t="str">
        <f t="shared" si="150"/>
        <v>Contado</v>
      </c>
      <c r="J994" s="22">
        <f t="shared" si="151"/>
        <v>46107</v>
      </c>
      <c r="K994" s="27">
        <f t="shared" ca="1" si="152"/>
        <v>0</v>
      </c>
      <c r="L994" s="23" t="str">
        <f t="shared" si="153"/>
        <v>Pagado</v>
      </c>
      <c r="M994" s="36">
        <f>SUMIFS(Tabla_Pagos[IMPORTE ABONADO],Tabla_Pagos[FECHA DE ABONO],"&gt;0",Tabla_Pagos[NRO DOC],B994)</f>
        <v>249900</v>
      </c>
      <c r="N994" s="36">
        <f t="shared" si="154"/>
        <v>0</v>
      </c>
      <c r="O994" s="22" cm="1">
        <f t="array" ref="O994">MAX(IF((Tabla_Pagos[NRO DOC]=B994)*(Tabla_Pagos[IMPORTE ABONADO]&gt;0),Tabla_Pagos[FECHA DE ABONO]))</f>
        <v>46107</v>
      </c>
    </row>
    <row r="995" spans="2:15" ht="21" customHeight="1" x14ac:dyDescent="0.25">
      <c r="B995" s="39">
        <v>1932</v>
      </c>
      <c r="C995" s="20">
        <v>46108</v>
      </c>
      <c r="D995" s="40" t="s">
        <v>771</v>
      </c>
      <c r="E995" s="37" t="str">
        <f>IFERROR(VLOOKUP(D995,CLIENTES!$B$12:$G$2602,2,FALSE),"")</f>
        <v>BOGGIONI  BOGGIONI LIMITADA</v>
      </c>
      <c r="F995" s="31">
        <v>19999</v>
      </c>
      <c r="G995" s="41" t="s">
        <v>101</v>
      </c>
      <c r="H995" s="26">
        <v>0</v>
      </c>
      <c r="I995" s="21" t="str">
        <f t="shared" si="150"/>
        <v>Contado</v>
      </c>
      <c r="J995" s="22">
        <f t="shared" si="151"/>
        <v>46108</v>
      </c>
      <c r="K995" s="27">
        <f t="shared" ca="1" si="152"/>
        <v>0</v>
      </c>
      <c r="L995" s="23" t="str">
        <f t="shared" si="153"/>
        <v>Pagado</v>
      </c>
      <c r="M995" s="36">
        <f>SUMIFS(Tabla_Pagos[IMPORTE ABONADO],Tabla_Pagos[FECHA DE ABONO],"&gt;0",Tabla_Pagos[NRO DOC],B995)</f>
        <v>19999</v>
      </c>
      <c r="N995" s="36">
        <f t="shared" si="154"/>
        <v>0</v>
      </c>
      <c r="O995" s="22" cm="1">
        <f t="array" ref="O995">MAX(IF((Tabla_Pagos[NRO DOC]=B995)*(Tabla_Pagos[IMPORTE ABONADO]&gt;0),Tabla_Pagos[FECHA DE ABONO]))</f>
        <v>46108</v>
      </c>
    </row>
    <row r="996" spans="2:15" ht="21" customHeight="1" x14ac:dyDescent="0.25">
      <c r="B996" s="39">
        <v>1933</v>
      </c>
      <c r="C996" s="20">
        <v>46108</v>
      </c>
      <c r="D996" s="40" t="s">
        <v>770</v>
      </c>
      <c r="E996" s="37" t="str">
        <f>IFERROR(VLOOKUP(D996,CLIENTES!$B$12:$G$2602,2,FALSE),"")</f>
        <v>ATACAMA DUNE SPA</v>
      </c>
      <c r="F996" s="31">
        <v>8925</v>
      </c>
      <c r="G996" s="41" t="s">
        <v>101</v>
      </c>
      <c r="H996" s="26">
        <v>0</v>
      </c>
      <c r="I996" s="21" t="str">
        <f t="shared" si="150"/>
        <v>Contado</v>
      </c>
      <c r="J996" s="22">
        <f t="shared" si="151"/>
        <v>46108</v>
      </c>
      <c r="K996" s="27">
        <f t="shared" ca="1" si="152"/>
        <v>0</v>
      </c>
      <c r="L996" s="23" t="str">
        <f t="shared" si="153"/>
        <v>Pagado</v>
      </c>
      <c r="M996" s="36">
        <f>SUMIFS(Tabla_Pagos[IMPORTE ABONADO],Tabla_Pagos[FECHA DE ABONO],"&gt;0",Tabla_Pagos[NRO DOC],B996)</f>
        <v>8925</v>
      </c>
      <c r="N996" s="36">
        <f t="shared" si="154"/>
        <v>0</v>
      </c>
      <c r="O996" s="22" cm="1">
        <f t="array" ref="O996">MAX(IF((Tabla_Pagos[NRO DOC]=B996)*(Tabla_Pagos[IMPORTE ABONADO]&gt;0),Tabla_Pagos[FECHA DE ABONO]))</f>
        <v>46108</v>
      </c>
    </row>
    <row r="997" spans="2:15" ht="21" customHeight="1" x14ac:dyDescent="0.25">
      <c r="B997" s="39">
        <v>1934</v>
      </c>
      <c r="C997" s="20">
        <v>46108</v>
      </c>
      <c r="D997" s="40" t="s">
        <v>772</v>
      </c>
      <c r="E997" s="37" t="str">
        <f>IFERROR(VLOOKUP(D997,CLIENTES!$B$12:$G$2602,2,FALSE),"")</f>
        <v>SOCIEDAD DE TRANSPORTES LJ HERMANOS  LIMITADA</v>
      </c>
      <c r="F997" s="31">
        <v>226100</v>
      </c>
      <c r="G997" s="41" t="s">
        <v>101</v>
      </c>
      <c r="H997" s="26">
        <v>0</v>
      </c>
      <c r="I997" s="21" t="str">
        <f t="shared" si="150"/>
        <v>Contado</v>
      </c>
      <c r="J997" s="22">
        <f t="shared" si="151"/>
        <v>46108</v>
      </c>
      <c r="K997" s="27">
        <f t="shared" ca="1" si="152"/>
        <v>0</v>
      </c>
      <c r="L997" s="23" t="str">
        <f t="shared" si="153"/>
        <v>Pagado</v>
      </c>
      <c r="M997" s="36">
        <f>SUMIFS(Tabla_Pagos[IMPORTE ABONADO],Tabla_Pagos[FECHA DE ABONO],"&gt;0",Tabla_Pagos[NRO DOC],B997)</f>
        <v>226100</v>
      </c>
      <c r="N997" s="36">
        <f t="shared" si="154"/>
        <v>0</v>
      </c>
      <c r="O997" s="22" cm="1">
        <f t="array" ref="O997">MAX(IF((Tabla_Pagos[NRO DOC]=B997)*(Tabla_Pagos[IMPORTE ABONADO]&gt;0),Tabla_Pagos[FECHA DE ABONO]))</f>
        <v>46108</v>
      </c>
    </row>
    <row r="998" spans="2:15" ht="21" customHeight="1" x14ac:dyDescent="0.25">
      <c r="B998" s="39">
        <v>1935</v>
      </c>
      <c r="C998" s="20">
        <v>46108</v>
      </c>
      <c r="D998" s="40" t="s">
        <v>388</v>
      </c>
      <c r="E998" s="37" t="str">
        <f>IFERROR(VLOOKUP(D998,CLIENTES!$B$12:$G$2602,2,FALSE),"")</f>
        <v>JEAN MAURICIO OLIVARES TOLEDO</v>
      </c>
      <c r="F998" s="31">
        <v>21500</v>
      </c>
      <c r="G998" s="41" t="s">
        <v>101</v>
      </c>
      <c r="H998" s="26">
        <v>0</v>
      </c>
      <c r="I998" s="21" t="str">
        <f t="shared" si="150"/>
        <v>Contado</v>
      </c>
      <c r="J998" s="22">
        <f t="shared" si="151"/>
        <v>46108</v>
      </c>
      <c r="K998" s="27">
        <f t="shared" ca="1" si="152"/>
        <v>0</v>
      </c>
      <c r="L998" s="23" t="str">
        <f t="shared" si="153"/>
        <v>Pagado</v>
      </c>
      <c r="M998" s="36">
        <f>SUMIFS(Tabla_Pagos[IMPORTE ABONADO],Tabla_Pagos[FECHA DE ABONO],"&gt;0",Tabla_Pagos[NRO DOC],B998)</f>
        <v>21500</v>
      </c>
      <c r="N998" s="36">
        <f t="shared" si="154"/>
        <v>0</v>
      </c>
      <c r="O998" s="22" cm="1">
        <f t="array" ref="O998">MAX(IF((Tabla_Pagos[NRO DOC]=B998)*(Tabla_Pagos[IMPORTE ABONADO]&gt;0),Tabla_Pagos[FECHA DE ABONO]))</f>
        <v>46108</v>
      </c>
    </row>
    <row r="999" spans="2:15" ht="21" customHeight="1" x14ac:dyDescent="0.25">
      <c r="B999" s="39">
        <v>1936</v>
      </c>
      <c r="C999" s="20">
        <v>46108</v>
      </c>
      <c r="D999" s="40" t="s">
        <v>773</v>
      </c>
      <c r="E999" s="37" t="str">
        <f>IFERROR(VLOOKUP(D999,CLIENTES!$B$12:$G$2602,2,FALSE),"")</f>
        <v>TRANSPORTES Y TURISMOS ALVARO ANIBAL TAMBLAY FABREGA E.I.R.L.</v>
      </c>
      <c r="F999" s="31">
        <v>142800</v>
      </c>
      <c r="G999" s="41" t="s">
        <v>101</v>
      </c>
      <c r="H999" s="26">
        <v>0</v>
      </c>
      <c r="I999" s="21" t="str">
        <f t="shared" si="150"/>
        <v>Contado</v>
      </c>
      <c r="J999" s="22">
        <f t="shared" si="151"/>
        <v>46108</v>
      </c>
      <c r="K999" s="27">
        <f t="shared" ca="1" si="152"/>
        <v>0</v>
      </c>
      <c r="L999" s="23" t="str">
        <f t="shared" si="153"/>
        <v>Pagado</v>
      </c>
      <c r="M999" s="36">
        <f>SUMIFS(Tabla_Pagos[IMPORTE ABONADO],Tabla_Pagos[FECHA DE ABONO],"&gt;0",Tabla_Pagos[NRO DOC],B999)</f>
        <v>142800</v>
      </c>
      <c r="N999" s="36">
        <f t="shared" si="154"/>
        <v>0</v>
      </c>
      <c r="O999" s="22" cm="1">
        <f t="array" ref="O999">MAX(IF((Tabla_Pagos[NRO DOC]=B999)*(Tabla_Pagos[IMPORTE ABONADO]&gt;0),Tabla_Pagos[FECHA DE ABONO]))</f>
        <v>46108</v>
      </c>
    </row>
    <row r="1000" spans="2:15" ht="21" customHeight="1" x14ac:dyDescent="0.25">
      <c r="B1000" s="39">
        <v>1937</v>
      </c>
      <c r="C1000" s="20">
        <v>46111</v>
      </c>
      <c r="D1000" s="40" t="s">
        <v>774</v>
      </c>
      <c r="E1000" s="37" t="str">
        <f>IFERROR(VLOOKUP(D1000,CLIENTES!$B$12:$G$2602,2,FALSE),"")</f>
        <v>SOC CONSULTORA EXPRO SOCIEDAD ANONIMA</v>
      </c>
      <c r="F1000" s="31">
        <v>179999</v>
      </c>
      <c r="G1000" s="41" t="s">
        <v>101</v>
      </c>
      <c r="H1000" s="26">
        <v>0</v>
      </c>
      <c r="I1000" s="21" t="str">
        <f t="shared" si="150"/>
        <v>Contado</v>
      </c>
      <c r="J1000" s="22">
        <f t="shared" si="151"/>
        <v>46111</v>
      </c>
      <c r="K1000" s="27">
        <f t="shared" ca="1" si="152"/>
        <v>0</v>
      </c>
      <c r="L1000" s="23" t="str">
        <f t="shared" si="153"/>
        <v>Pagado</v>
      </c>
      <c r="M1000" s="36">
        <f>SUMIFS(Tabla_Pagos[IMPORTE ABONADO],Tabla_Pagos[FECHA DE ABONO],"&gt;0",Tabla_Pagos[NRO DOC],B1000)</f>
        <v>179999</v>
      </c>
      <c r="N1000" s="36">
        <f t="shared" si="154"/>
        <v>0</v>
      </c>
      <c r="O1000" s="22" cm="1">
        <f t="array" ref="O1000">MAX(IF((Tabla_Pagos[NRO DOC]=B1000)*(Tabla_Pagos[IMPORTE ABONADO]&gt;0),Tabla_Pagos[FECHA DE ABONO]))</f>
        <v>46111</v>
      </c>
    </row>
    <row r="1001" spans="2:15" ht="21" customHeight="1" x14ac:dyDescent="0.25">
      <c r="B1001" s="39">
        <v>1938</v>
      </c>
      <c r="C1001" s="20">
        <v>46111</v>
      </c>
      <c r="D1001" s="40" t="s">
        <v>775</v>
      </c>
      <c r="E1001" s="37" t="str">
        <f>IFERROR(VLOOKUP(D1001,CLIENTES!$B$12:$G$2602,2,FALSE),"")</f>
        <v>SOLUCIONES TECNOLOGICAS E INDUSTRIALES FACYMAR SPA</v>
      </c>
      <c r="F1001" s="31">
        <v>3856195</v>
      </c>
      <c r="G1001" s="41" t="s">
        <v>101</v>
      </c>
      <c r="H1001" s="26">
        <v>30</v>
      </c>
      <c r="I1001" s="21" t="str">
        <f t="shared" si="150"/>
        <v>Crédito</v>
      </c>
      <c r="J1001" s="22">
        <f t="shared" si="151"/>
        <v>46141</v>
      </c>
      <c r="K1001" s="27">
        <f t="shared" ca="1" si="152"/>
        <v>-37</v>
      </c>
      <c r="L1001" s="23" t="str">
        <f t="shared" ca="1" si="153"/>
        <v>Vencido</v>
      </c>
      <c r="M1001" s="36">
        <f>SUMIFS(Tabla_Pagos[IMPORTE ABONADO],Tabla_Pagos[FECHA DE ABONO],"&gt;0",Tabla_Pagos[NRO DOC],B1001)</f>
        <v>0</v>
      </c>
      <c r="N1001" s="36">
        <f t="shared" si="154"/>
        <v>3856195</v>
      </c>
      <c r="O1001" s="22" cm="1">
        <f t="array" ref="O1001">MAX(IF((Tabla_Pagos[NRO DOC]=B1001)*(Tabla_Pagos[IMPORTE ABONADO]&gt;0),Tabla_Pagos[FECHA DE ABONO]))</f>
        <v>0</v>
      </c>
    </row>
    <row r="1002" spans="2:15" ht="21" customHeight="1" x14ac:dyDescent="0.25">
      <c r="B1002" s="39">
        <v>1939</v>
      </c>
      <c r="C1002" s="20">
        <v>46112</v>
      </c>
      <c r="D1002" s="40" t="s">
        <v>776</v>
      </c>
      <c r="E1002" s="37" t="str">
        <f>IFERROR(VLOOKUP(D1002,CLIENTES!$B$12:$G$2602,2,FALSE),"")</f>
        <v>SERVICIOS IRIARTE SPA</v>
      </c>
      <c r="F1002" s="31">
        <v>23800</v>
      </c>
      <c r="G1002" s="41" t="s">
        <v>101</v>
      </c>
      <c r="H1002" s="26">
        <v>0</v>
      </c>
      <c r="I1002" s="21" t="str">
        <f t="shared" si="150"/>
        <v>Contado</v>
      </c>
      <c r="J1002" s="22">
        <f t="shared" si="151"/>
        <v>46112</v>
      </c>
      <c r="K1002" s="27">
        <f t="shared" ca="1" si="152"/>
        <v>0</v>
      </c>
      <c r="L1002" s="23" t="str">
        <f t="shared" si="153"/>
        <v>Pagado</v>
      </c>
      <c r="M1002" s="36">
        <f>SUMIFS(Tabla_Pagos[IMPORTE ABONADO],Tabla_Pagos[FECHA DE ABONO],"&gt;0",Tabla_Pagos[NRO DOC],B1002)</f>
        <v>23800</v>
      </c>
      <c r="N1002" s="36">
        <f t="shared" si="154"/>
        <v>0</v>
      </c>
      <c r="O1002" s="22" cm="1">
        <f t="array" ref="O1002">MAX(IF((Tabla_Pagos[NRO DOC]=B1002)*(Tabla_Pagos[IMPORTE ABONADO]&gt;0),Tabla_Pagos[FECHA DE ABONO]))</f>
        <v>46112</v>
      </c>
    </row>
    <row r="1003" spans="2:15" ht="21" customHeight="1" x14ac:dyDescent="0.25">
      <c r="B1003" s="39">
        <v>1940</v>
      </c>
      <c r="C1003" s="20">
        <v>46112</v>
      </c>
      <c r="D1003" s="40" t="s">
        <v>626</v>
      </c>
      <c r="E1003" s="37" t="str">
        <f>IFERROR(VLOOKUP(D1003,CLIENTES!$B$12:$G$2602,2,FALSE),"")</f>
        <v>GREEN PEST CONTROL SPA</v>
      </c>
      <c r="F1003" s="31">
        <v>23800</v>
      </c>
      <c r="G1003" s="41" t="s">
        <v>101</v>
      </c>
      <c r="H1003" s="26">
        <v>0</v>
      </c>
      <c r="I1003" s="21" t="str">
        <f t="shared" si="150"/>
        <v>Contado</v>
      </c>
      <c r="J1003" s="22">
        <f t="shared" si="151"/>
        <v>46112</v>
      </c>
      <c r="K1003" s="27">
        <f t="shared" ca="1" si="152"/>
        <v>0</v>
      </c>
      <c r="L1003" s="23" t="str">
        <f t="shared" si="153"/>
        <v>Pagado</v>
      </c>
      <c r="M1003" s="36">
        <f>SUMIFS(Tabla_Pagos[IMPORTE ABONADO],Tabla_Pagos[FECHA DE ABONO],"&gt;0",Tabla_Pagos[NRO DOC],B1003)</f>
        <v>23800</v>
      </c>
      <c r="N1003" s="36">
        <f t="shared" si="154"/>
        <v>0</v>
      </c>
      <c r="O1003" s="22" cm="1">
        <f t="array" ref="O1003">MAX(IF((Tabla_Pagos[NRO DOC]=B1003)*(Tabla_Pagos[IMPORTE ABONADO]&gt;0),Tabla_Pagos[FECHA DE ABONO]))</f>
        <v>46112</v>
      </c>
    </row>
    <row r="1004" spans="2:15" ht="21" customHeight="1" x14ac:dyDescent="0.25">
      <c r="B1004" s="39">
        <v>1941</v>
      </c>
      <c r="C1004" s="20">
        <v>46113</v>
      </c>
      <c r="D1004" s="40" t="s">
        <v>105</v>
      </c>
      <c r="E1004" s="37" t="str">
        <f>IFERROR(VLOOKUP(D1004,CLIENTES!$B$12:$G$2602,2,FALSE),"")</f>
        <v>INGENIERIA C Y G LIMITADA</v>
      </c>
      <c r="F1004" s="31">
        <v>77350</v>
      </c>
      <c r="G1004" s="41" t="s">
        <v>101</v>
      </c>
      <c r="H1004" s="26">
        <v>0</v>
      </c>
      <c r="I1004" s="21" t="str">
        <f>IF(H1004="","",IF(H1004=0,"Contado","Crédito"))</f>
        <v>Contado</v>
      </c>
      <c r="J1004" s="22">
        <f>IF(I1004="","",C1004+H1004)</f>
        <v>46113</v>
      </c>
      <c r="K1004" s="27">
        <f ca="1">IFERROR(IF(B1004="","",IF(N1004=0,0,J1004-TODAY())),"")</f>
        <v>0</v>
      </c>
      <c r="L1004" s="23" t="str">
        <f>IF(I1004="","",IF(N1004=0,"Pagado",IF(K1004&lt;0,"Vencido","No vencido")))</f>
        <v>Pagado</v>
      </c>
      <c r="M1004" s="36">
        <f>SUMIFS(Tabla_Pagos[IMPORTE ABONADO],Tabla_Pagos[FECHA DE ABONO],"&gt;0",Tabla_Pagos[NRO DOC],B1004)</f>
        <v>77350</v>
      </c>
      <c r="N1004" s="36">
        <f>F1004-M1004</f>
        <v>0</v>
      </c>
      <c r="O1004" s="22" cm="1">
        <f t="array" ref="O1004">MAX(IF((Tabla_Pagos[NRO DOC]=B1004)*(Tabla_Pagos[IMPORTE ABONADO]&gt;0),Tabla_Pagos[FECHA DE ABONO]))</f>
        <v>46113</v>
      </c>
    </row>
    <row r="1005" spans="2:15" ht="21" customHeight="1" x14ac:dyDescent="0.25">
      <c r="B1005" s="39">
        <v>1942</v>
      </c>
      <c r="C1005" s="20">
        <v>46113</v>
      </c>
      <c r="D1005" s="40" t="s">
        <v>106</v>
      </c>
      <c r="E1005" s="37" t="str">
        <f>IFERROR(VLOOKUP(D1005,CLIENTES!$B$12:$G$2602,2,FALSE),"")</f>
        <v>COMERCIAL SERPAN SPA</v>
      </c>
      <c r="F1005" s="31">
        <v>13090</v>
      </c>
      <c r="G1005" s="41" t="s">
        <v>101</v>
      </c>
      <c r="H1005" s="26">
        <v>30</v>
      </c>
      <c r="I1005" s="21" t="str">
        <f t="shared" ref="I1005:I1021" si="155">IF(H1005="","",IF(H1005=0,"Contado","Crédito"))</f>
        <v>Crédito</v>
      </c>
      <c r="J1005" s="22">
        <f t="shared" ref="J1005:J1021" si="156">IF(I1005="","",C1005+H1005)</f>
        <v>46143</v>
      </c>
      <c r="K1005" s="27">
        <f t="shared" ref="K1005:K1021" ca="1" si="157">IFERROR(IF(B1005="","",IF(N1005=0,0,J1005-TODAY())),"")</f>
        <v>0</v>
      </c>
      <c r="L1005" s="23" t="str">
        <f t="shared" ref="L1005:L1021" si="158">IF(I1005="","",IF(N1005=0,"Pagado",IF(K1005&lt;0,"Vencido","No vencido")))</f>
        <v>Pagado</v>
      </c>
      <c r="M1005" s="36">
        <f>SUMIFS(Tabla_Pagos[IMPORTE ABONADO],Tabla_Pagos[FECHA DE ABONO],"&gt;0",Tabla_Pagos[NRO DOC],B1005)</f>
        <v>13090</v>
      </c>
      <c r="N1005" s="36">
        <f t="shared" ref="N1005:N1021" si="159">F1005-M1005</f>
        <v>0</v>
      </c>
      <c r="O1005" s="22" cm="1">
        <f t="array" ref="O1005">MAX(IF((Tabla_Pagos[NRO DOC]=B1005)*(Tabla_Pagos[IMPORTE ABONADO]&gt;0),Tabla_Pagos[FECHA DE ABONO]))</f>
        <v>46113</v>
      </c>
    </row>
    <row r="1006" spans="2:15" ht="21" customHeight="1" x14ac:dyDescent="0.25">
      <c r="B1006" s="39">
        <v>1943</v>
      </c>
      <c r="C1006" s="20">
        <v>46113</v>
      </c>
      <c r="D1006" s="40" t="s">
        <v>715</v>
      </c>
      <c r="E1006" s="37" t="str">
        <f>IFERROR(VLOOKUP(D1006,CLIENTES!$B$12:$G$2602,2,FALSE),"")</f>
        <v>MPF INGENIERÃA CIVIL SPA</v>
      </c>
      <c r="F1006" s="31">
        <v>95200</v>
      </c>
      <c r="G1006" s="41" t="s">
        <v>101</v>
      </c>
      <c r="H1006" s="26">
        <v>0</v>
      </c>
      <c r="I1006" s="21" t="str">
        <f t="shared" si="155"/>
        <v>Contado</v>
      </c>
      <c r="J1006" s="22">
        <f t="shared" si="156"/>
        <v>46113</v>
      </c>
      <c r="K1006" s="27">
        <f t="shared" ca="1" si="157"/>
        <v>0</v>
      </c>
      <c r="L1006" s="23" t="str">
        <f t="shared" si="158"/>
        <v>Pagado</v>
      </c>
      <c r="M1006" s="36">
        <f>SUMIFS(Tabla_Pagos[IMPORTE ABONADO],Tabla_Pagos[FECHA DE ABONO],"&gt;0",Tabla_Pagos[NRO DOC],B1006)</f>
        <v>95200</v>
      </c>
      <c r="N1006" s="36">
        <f t="shared" si="159"/>
        <v>0</v>
      </c>
      <c r="O1006" s="22" cm="1">
        <f t="array" ref="O1006">MAX(IF((Tabla_Pagos[NRO DOC]=B1006)*(Tabla_Pagos[IMPORTE ABONADO]&gt;0),Tabla_Pagos[FECHA DE ABONO]))</f>
        <v>46113</v>
      </c>
    </row>
    <row r="1007" spans="2:15" ht="21" customHeight="1" x14ac:dyDescent="0.25">
      <c r="B1007" s="39">
        <v>1944</v>
      </c>
      <c r="C1007" s="20">
        <v>46113</v>
      </c>
      <c r="D1007" s="40" t="s">
        <v>729</v>
      </c>
      <c r="E1007" s="37" t="str">
        <f>IFERROR(VLOOKUP(D1007,CLIENTES!$B$12:$G$2602,2,FALSE),"")</f>
        <v>EMPRESA DE TRANSPORTES DE PASAJEROS NUEVA COPIAPO 1 SPA</v>
      </c>
      <c r="F1007" s="31">
        <v>437563</v>
      </c>
      <c r="G1007" s="41" t="s">
        <v>101</v>
      </c>
      <c r="H1007" s="26">
        <v>0</v>
      </c>
      <c r="I1007" s="21" t="str">
        <f t="shared" si="155"/>
        <v>Contado</v>
      </c>
      <c r="J1007" s="22">
        <f t="shared" si="156"/>
        <v>46113</v>
      </c>
      <c r="K1007" s="27">
        <f t="shared" ca="1" si="157"/>
        <v>0</v>
      </c>
      <c r="L1007" s="23" t="str">
        <f t="shared" si="158"/>
        <v>Pagado</v>
      </c>
      <c r="M1007" s="36">
        <f>SUMIFS(Tabla_Pagos[IMPORTE ABONADO],Tabla_Pagos[FECHA DE ABONO],"&gt;0",Tabla_Pagos[NRO DOC],B1007)</f>
        <v>437563</v>
      </c>
      <c r="N1007" s="36">
        <f t="shared" si="159"/>
        <v>0</v>
      </c>
      <c r="O1007" s="22" cm="1">
        <f t="array" ref="O1007">MAX(IF((Tabla_Pagos[NRO DOC]=B1007)*(Tabla_Pagos[IMPORTE ABONADO]&gt;0),Tabla_Pagos[FECHA DE ABONO]))</f>
        <v>46113</v>
      </c>
    </row>
    <row r="1008" spans="2:15" ht="21" customHeight="1" x14ac:dyDescent="0.25">
      <c r="B1008" s="39">
        <v>1945</v>
      </c>
      <c r="C1008" s="20">
        <v>46113</v>
      </c>
      <c r="D1008" s="40" t="s">
        <v>37</v>
      </c>
      <c r="E1008" s="37" t="str">
        <f>IFERROR(VLOOKUP(D1008,CLIENTES!$B$12:$G$2602,2,FALSE),"")</f>
        <v>AILUV SPA</v>
      </c>
      <c r="F1008" s="31">
        <v>267750</v>
      </c>
      <c r="G1008" s="41" t="s">
        <v>101</v>
      </c>
      <c r="H1008" s="26">
        <v>0</v>
      </c>
      <c r="I1008" s="21" t="str">
        <f t="shared" si="155"/>
        <v>Contado</v>
      </c>
      <c r="J1008" s="22">
        <f t="shared" si="156"/>
        <v>46113</v>
      </c>
      <c r="K1008" s="27">
        <f t="shared" ca="1" si="157"/>
        <v>0</v>
      </c>
      <c r="L1008" s="23" t="str">
        <f t="shared" si="158"/>
        <v>Pagado</v>
      </c>
      <c r="M1008" s="36">
        <f>SUMIFS(Tabla_Pagos[IMPORTE ABONADO],Tabla_Pagos[FECHA DE ABONO],"&gt;0",Tabla_Pagos[NRO DOC],B1008)</f>
        <v>267750</v>
      </c>
      <c r="N1008" s="36">
        <f t="shared" si="159"/>
        <v>0</v>
      </c>
      <c r="O1008" s="22" cm="1">
        <f t="array" ref="O1008">MAX(IF((Tabla_Pagos[NRO DOC]=B1008)*(Tabla_Pagos[IMPORTE ABONADO]&gt;0),Tabla_Pagos[FECHA DE ABONO]))</f>
        <v>46113</v>
      </c>
    </row>
    <row r="1009" spans="2:15" ht="21" customHeight="1" x14ac:dyDescent="0.25">
      <c r="B1009" s="39">
        <v>1946</v>
      </c>
      <c r="C1009" s="20">
        <v>46114</v>
      </c>
      <c r="D1009" s="40" t="s">
        <v>586</v>
      </c>
      <c r="E1009" s="37" t="str">
        <f>IFERROR(VLOOKUP(D1009,CLIENTES!$B$12:$G$2602,2,FALSE),"")</f>
        <v>SOLYSERV SPA</v>
      </c>
      <c r="F1009" s="31">
        <v>35700</v>
      </c>
      <c r="G1009" s="41" t="s">
        <v>101</v>
      </c>
      <c r="H1009" s="26">
        <v>0</v>
      </c>
      <c r="I1009" s="21" t="str">
        <f t="shared" si="155"/>
        <v>Contado</v>
      </c>
      <c r="J1009" s="22">
        <f t="shared" si="156"/>
        <v>46114</v>
      </c>
      <c r="K1009" s="27">
        <f t="shared" ca="1" si="157"/>
        <v>0</v>
      </c>
      <c r="L1009" s="23" t="str">
        <f t="shared" si="158"/>
        <v>Pagado</v>
      </c>
      <c r="M1009" s="36">
        <f>SUMIFS(Tabla_Pagos[IMPORTE ABONADO],Tabla_Pagos[FECHA DE ABONO],"&gt;0",Tabla_Pagos[NRO DOC],B1009)</f>
        <v>35700</v>
      </c>
      <c r="N1009" s="36">
        <f t="shared" si="159"/>
        <v>0</v>
      </c>
      <c r="O1009" s="22" cm="1">
        <f t="array" ref="O1009">MAX(IF((Tabla_Pagos[NRO DOC]=B1009)*(Tabla_Pagos[IMPORTE ABONADO]&gt;0),Tabla_Pagos[FECHA DE ABONO]))</f>
        <v>46114</v>
      </c>
    </row>
    <row r="1010" spans="2:15" ht="21" customHeight="1" x14ac:dyDescent="0.25">
      <c r="B1010" s="39">
        <v>1947</v>
      </c>
      <c r="C1010" s="20">
        <v>46118</v>
      </c>
      <c r="D1010" s="40" t="s">
        <v>205</v>
      </c>
      <c r="E1010" s="37" t="str">
        <f>IFERROR(VLOOKUP(D1010,CLIENTES!$B$12:$G$2602,2,FALSE),"")</f>
        <v>CONSTRUCTORA DE PAVIMENTOS ASFALTICOS BITUMIX S.A</v>
      </c>
      <c r="F1010" s="31">
        <v>178500</v>
      </c>
      <c r="G1010" s="41" t="s">
        <v>101</v>
      </c>
      <c r="H1010" s="26">
        <v>30</v>
      </c>
      <c r="I1010" s="21" t="str">
        <f t="shared" si="155"/>
        <v>Crédito</v>
      </c>
      <c r="J1010" s="22">
        <f t="shared" si="156"/>
        <v>46148</v>
      </c>
      <c r="K1010" s="27">
        <f t="shared" ca="1" si="157"/>
        <v>0</v>
      </c>
      <c r="L1010" s="23" t="str">
        <f t="shared" si="158"/>
        <v>Pagado</v>
      </c>
      <c r="M1010" s="36">
        <f>SUMIFS(Tabla_Pagos[IMPORTE ABONADO],Tabla_Pagos[FECHA DE ABONO],"&gt;0",Tabla_Pagos[NRO DOC],B1010)</f>
        <v>178500</v>
      </c>
      <c r="N1010" s="36">
        <f t="shared" si="159"/>
        <v>0</v>
      </c>
      <c r="O1010" s="22" cm="1">
        <f t="array" ref="O1010">MAX(IF((Tabla_Pagos[NRO DOC]=B1010)*(Tabla_Pagos[IMPORTE ABONADO]&gt;0),Tabla_Pagos[FECHA DE ABONO]))</f>
        <v>46164</v>
      </c>
    </row>
    <row r="1011" spans="2:15" ht="21" customHeight="1" x14ac:dyDescent="0.25">
      <c r="B1011" s="39">
        <v>1948</v>
      </c>
      <c r="C1011" s="20">
        <v>46118</v>
      </c>
      <c r="D1011" s="40" t="s">
        <v>438</v>
      </c>
      <c r="E1011" s="37" t="str">
        <f>IFERROR(VLOOKUP(D1011,CLIENTES!$B$12:$G$2602,2,FALSE),"")</f>
        <v>MENDOZA CAZ  SPA</v>
      </c>
      <c r="F1011" s="31">
        <v>23800</v>
      </c>
      <c r="G1011" s="41" t="s">
        <v>101</v>
      </c>
      <c r="H1011" s="26">
        <v>0</v>
      </c>
      <c r="I1011" s="21" t="str">
        <f t="shared" si="155"/>
        <v>Contado</v>
      </c>
      <c r="J1011" s="22">
        <f t="shared" si="156"/>
        <v>46118</v>
      </c>
      <c r="K1011" s="27">
        <f t="shared" ca="1" si="157"/>
        <v>0</v>
      </c>
      <c r="L1011" s="23" t="str">
        <f t="shared" si="158"/>
        <v>Pagado</v>
      </c>
      <c r="M1011" s="36">
        <f>SUMIFS(Tabla_Pagos[IMPORTE ABONADO],Tabla_Pagos[FECHA DE ABONO],"&gt;0",Tabla_Pagos[NRO DOC],B1011)</f>
        <v>23800</v>
      </c>
      <c r="N1011" s="36">
        <f t="shared" si="159"/>
        <v>0</v>
      </c>
      <c r="O1011" s="22" cm="1">
        <f t="array" ref="O1011">MAX(IF((Tabla_Pagos[NRO DOC]=B1011)*(Tabla_Pagos[IMPORTE ABONADO]&gt;0),Tabla_Pagos[FECHA DE ABONO]))</f>
        <v>46118</v>
      </c>
    </row>
    <row r="1012" spans="2:15" ht="21" customHeight="1" x14ac:dyDescent="0.25">
      <c r="B1012" s="39">
        <v>1949</v>
      </c>
      <c r="C1012" s="20">
        <v>46118</v>
      </c>
      <c r="D1012" s="40" t="s">
        <v>53</v>
      </c>
      <c r="E1012" s="37" t="str">
        <f>IFERROR(VLOOKUP(D1012,CLIENTES!$B$12:$G$2602,2,FALSE),"")</f>
        <v>SODIMAC S.A.</v>
      </c>
      <c r="F1012" s="31">
        <v>1663620</v>
      </c>
      <c r="G1012" s="41" t="s">
        <v>101</v>
      </c>
      <c r="H1012" s="26">
        <v>0</v>
      </c>
      <c r="I1012" s="21" t="str">
        <f t="shared" si="155"/>
        <v>Contado</v>
      </c>
      <c r="J1012" s="22">
        <f t="shared" si="156"/>
        <v>46118</v>
      </c>
      <c r="K1012" s="27">
        <f t="shared" ca="1" si="157"/>
        <v>0</v>
      </c>
      <c r="L1012" s="23" t="str">
        <f t="shared" si="158"/>
        <v>Pagado</v>
      </c>
      <c r="M1012" s="36">
        <f>SUMIFS(Tabla_Pagos[IMPORTE ABONADO],Tabla_Pagos[FECHA DE ABONO],"&gt;0",Tabla_Pagos[NRO DOC],B1012)</f>
        <v>1663620</v>
      </c>
      <c r="N1012" s="36">
        <f t="shared" si="159"/>
        <v>0</v>
      </c>
      <c r="O1012" s="22" cm="1">
        <f t="array" ref="O1012">MAX(IF((Tabla_Pagos[NRO DOC]=B1012)*(Tabla_Pagos[IMPORTE ABONADO]&gt;0),Tabla_Pagos[FECHA DE ABONO]))</f>
        <v>46118</v>
      </c>
    </row>
    <row r="1013" spans="2:15" ht="21" customHeight="1" x14ac:dyDescent="0.25">
      <c r="B1013" s="39">
        <v>1950</v>
      </c>
      <c r="C1013" s="20">
        <v>46118</v>
      </c>
      <c r="D1013" s="40" t="s">
        <v>53</v>
      </c>
      <c r="E1013" s="37" t="str">
        <f>IFERROR(VLOOKUP(D1013,CLIENTES!$B$12:$G$2602,2,FALSE),"")</f>
        <v>SODIMAC S.A.</v>
      </c>
      <c r="F1013" s="31">
        <v>1663620</v>
      </c>
      <c r="G1013" s="41" t="s">
        <v>101</v>
      </c>
      <c r="H1013" s="26">
        <v>30</v>
      </c>
      <c r="I1013" s="21" t="str">
        <f t="shared" si="155"/>
        <v>Crédito</v>
      </c>
      <c r="J1013" s="22">
        <f t="shared" si="156"/>
        <v>46148</v>
      </c>
      <c r="K1013" s="27">
        <f t="shared" ca="1" si="157"/>
        <v>0</v>
      </c>
      <c r="L1013" s="23" t="str">
        <f t="shared" si="158"/>
        <v>Pagado</v>
      </c>
      <c r="M1013" s="36">
        <f>SUMIFS(Tabla_Pagos[IMPORTE ABONADO],Tabla_Pagos[FECHA DE ABONO],"&gt;0",Tabla_Pagos[NRO DOC],B1013)</f>
        <v>1663620</v>
      </c>
      <c r="N1013" s="36">
        <f t="shared" si="159"/>
        <v>0</v>
      </c>
      <c r="O1013" s="22" cm="1">
        <f t="array" ref="O1013">MAX(IF((Tabla_Pagos[NRO DOC]=B1013)*(Tabla_Pagos[IMPORTE ABONADO]&gt;0),Tabla_Pagos[FECHA DE ABONO]))</f>
        <v>46147</v>
      </c>
    </row>
    <row r="1014" spans="2:15" ht="21" customHeight="1" x14ac:dyDescent="0.25">
      <c r="B1014" s="39">
        <v>1951</v>
      </c>
      <c r="C1014" s="20">
        <v>46119</v>
      </c>
      <c r="D1014" s="40" t="s">
        <v>198</v>
      </c>
      <c r="E1014" s="37" t="str">
        <f>IFERROR(VLOOKUP(D1014,CLIENTES!$B$12:$G$2602,2,FALSE),"")</f>
        <v>INVERSIONES RÃO BIO BIO SPA</v>
      </c>
      <c r="F1014" s="31">
        <v>261800</v>
      </c>
      <c r="G1014" s="41" t="s">
        <v>101</v>
      </c>
      <c r="H1014" s="26">
        <v>0</v>
      </c>
      <c r="I1014" s="21" t="str">
        <f t="shared" si="155"/>
        <v>Contado</v>
      </c>
      <c r="J1014" s="22">
        <f t="shared" si="156"/>
        <v>46119</v>
      </c>
      <c r="K1014" s="27">
        <f t="shared" ca="1" si="157"/>
        <v>0</v>
      </c>
      <c r="L1014" s="23" t="str">
        <f t="shared" si="158"/>
        <v>Pagado</v>
      </c>
      <c r="M1014" s="36">
        <f>SUMIFS(Tabla_Pagos[IMPORTE ABONADO],Tabla_Pagos[FECHA DE ABONO],"&gt;0",Tabla_Pagos[NRO DOC],B1014)</f>
        <v>261800</v>
      </c>
      <c r="N1014" s="36">
        <f t="shared" si="159"/>
        <v>0</v>
      </c>
      <c r="O1014" s="22" cm="1">
        <f t="array" ref="O1014">MAX(IF((Tabla_Pagos[NRO DOC]=B1014)*(Tabla_Pagos[IMPORTE ABONADO]&gt;0),Tabla_Pagos[FECHA DE ABONO]))</f>
        <v>46119</v>
      </c>
    </row>
    <row r="1015" spans="2:15" ht="21" customHeight="1" x14ac:dyDescent="0.25">
      <c r="B1015" s="39">
        <v>1952</v>
      </c>
      <c r="C1015" s="20">
        <v>46119</v>
      </c>
      <c r="D1015" s="40" t="s">
        <v>772</v>
      </c>
      <c r="E1015" s="37" t="str">
        <f>IFERROR(VLOOKUP(D1015,CLIENTES!$B$12:$G$2602,2,FALSE),"")</f>
        <v>SOCIEDAD DE TRANSPORTES LJ HERMANOS  LIMITADA</v>
      </c>
      <c r="F1015" s="31">
        <v>48790</v>
      </c>
      <c r="G1015" s="41" t="s">
        <v>101</v>
      </c>
      <c r="H1015" s="26">
        <v>0</v>
      </c>
      <c r="I1015" s="21" t="str">
        <f t="shared" si="155"/>
        <v>Contado</v>
      </c>
      <c r="J1015" s="22">
        <f t="shared" si="156"/>
        <v>46119</v>
      </c>
      <c r="K1015" s="27">
        <f t="shared" ca="1" si="157"/>
        <v>0</v>
      </c>
      <c r="L1015" s="23" t="str">
        <f t="shared" si="158"/>
        <v>Pagado</v>
      </c>
      <c r="M1015" s="36">
        <f>SUMIFS(Tabla_Pagos[IMPORTE ABONADO],Tabla_Pagos[FECHA DE ABONO],"&gt;0",Tabla_Pagos[NRO DOC],B1015)</f>
        <v>48790</v>
      </c>
      <c r="N1015" s="36">
        <f t="shared" si="159"/>
        <v>0</v>
      </c>
      <c r="O1015" s="22" cm="1">
        <f t="array" ref="O1015">MAX(IF((Tabla_Pagos[NRO DOC]=B1015)*(Tabla_Pagos[IMPORTE ABONADO]&gt;0),Tabla_Pagos[FECHA DE ABONO]))</f>
        <v>46119</v>
      </c>
    </row>
    <row r="1016" spans="2:15" ht="21" customHeight="1" x14ac:dyDescent="0.25">
      <c r="B1016" s="39">
        <v>1953</v>
      </c>
      <c r="C1016" s="20">
        <v>46119</v>
      </c>
      <c r="D1016" s="40" t="s">
        <v>105</v>
      </c>
      <c r="E1016" s="37" t="str">
        <f>IFERROR(VLOOKUP(D1016,CLIENTES!$B$12:$G$2602,2,FALSE),"")</f>
        <v>INGENIERIA C Y G LIMITADA</v>
      </c>
      <c r="F1016" s="31">
        <v>132090</v>
      </c>
      <c r="G1016" s="41" t="s">
        <v>101</v>
      </c>
      <c r="H1016" s="26">
        <v>0</v>
      </c>
      <c r="I1016" s="21" t="str">
        <f t="shared" si="155"/>
        <v>Contado</v>
      </c>
      <c r="J1016" s="22">
        <f t="shared" si="156"/>
        <v>46119</v>
      </c>
      <c r="K1016" s="27">
        <f t="shared" ca="1" si="157"/>
        <v>0</v>
      </c>
      <c r="L1016" s="23" t="str">
        <f t="shared" si="158"/>
        <v>Pagado</v>
      </c>
      <c r="M1016" s="36">
        <f>SUMIFS(Tabla_Pagos[IMPORTE ABONADO],Tabla_Pagos[FECHA DE ABONO],"&gt;0",Tabla_Pagos[NRO DOC],B1016)</f>
        <v>132090</v>
      </c>
      <c r="N1016" s="36">
        <f t="shared" si="159"/>
        <v>0</v>
      </c>
      <c r="O1016" s="22" cm="1">
        <f t="array" ref="O1016">MAX(IF((Tabla_Pagos[NRO DOC]=B1016)*(Tabla_Pagos[IMPORTE ABONADO]&gt;0),Tabla_Pagos[FECHA DE ABONO]))</f>
        <v>46119</v>
      </c>
    </row>
    <row r="1017" spans="2:15" ht="21" customHeight="1" x14ac:dyDescent="0.25">
      <c r="B1017" s="39">
        <v>1954</v>
      </c>
      <c r="C1017" s="20">
        <v>46119</v>
      </c>
      <c r="D1017" s="40" t="s">
        <v>586</v>
      </c>
      <c r="E1017" s="37" t="str">
        <f>IFERROR(VLOOKUP(D1017,CLIENTES!$B$12:$G$2602,2,FALSE),"")</f>
        <v>SOLYSERV SPA</v>
      </c>
      <c r="F1017" s="31">
        <v>50575</v>
      </c>
      <c r="G1017" s="41" t="s">
        <v>101</v>
      </c>
      <c r="H1017" s="26">
        <v>0</v>
      </c>
      <c r="I1017" s="21" t="str">
        <f t="shared" si="155"/>
        <v>Contado</v>
      </c>
      <c r="J1017" s="22">
        <f t="shared" si="156"/>
        <v>46119</v>
      </c>
      <c r="K1017" s="27">
        <f t="shared" ca="1" si="157"/>
        <v>0</v>
      </c>
      <c r="L1017" s="23" t="str">
        <f t="shared" si="158"/>
        <v>Pagado</v>
      </c>
      <c r="M1017" s="36">
        <f>SUMIFS(Tabla_Pagos[IMPORTE ABONADO],Tabla_Pagos[FECHA DE ABONO],"&gt;0",Tabla_Pagos[NRO DOC],B1017)</f>
        <v>50575</v>
      </c>
      <c r="N1017" s="36">
        <f t="shared" si="159"/>
        <v>0</v>
      </c>
      <c r="O1017" s="22" cm="1">
        <f t="array" ref="O1017">MAX(IF((Tabla_Pagos[NRO DOC]=B1017)*(Tabla_Pagos[IMPORTE ABONADO]&gt;0),Tabla_Pagos[FECHA DE ABONO]))</f>
        <v>46119</v>
      </c>
    </row>
    <row r="1018" spans="2:15" ht="21" customHeight="1" x14ac:dyDescent="0.25">
      <c r="B1018" s="39">
        <v>1955</v>
      </c>
      <c r="C1018" s="20">
        <v>46120</v>
      </c>
      <c r="D1018" s="40" t="s">
        <v>687</v>
      </c>
      <c r="E1018" s="37" t="str">
        <f>IFERROR(VLOOKUP(D1018,CLIENTES!$B$12:$G$2602,2,FALSE),"")</f>
        <v>SOCIEDAD COMERCIAL ROMSA SERVICIOS SPA</v>
      </c>
      <c r="F1018" s="31">
        <v>23800</v>
      </c>
      <c r="G1018" s="41" t="s">
        <v>101</v>
      </c>
      <c r="H1018" s="26">
        <v>0</v>
      </c>
      <c r="I1018" s="21" t="str">
        <f t="shared" si="155"/>
        <v>Contado</v>
      </c>
      <c r="J1018" s="22">
        <f t="shared" si="156"/>
        <v>46120</v>
      </c>
      <c r="K1018" s="27">
        <f t="shared" ca="1" si="157"/>
        <v>0</v>
      </c>
      <c r="L1018" s="23" t="str">
        <f t="shared" si="158"/>
        <v>Pagado</v>
      </c>
      <c r="M1018" s="36">
        <f>SUMIFS(Tabla_Pagos[IMPORTE ABONADO],Tabla_Pagos[FECHA DE ABONO],"&gt;0",Tabla_Pagos[NRO DOC],B1018)</f>
        <v>23800</v>
      </c>
      <c r="N1018" s="36">
        <f t="shared" si="159"/>
        <v>0</v>
      </c>
      <c r="O1018" s="22" cm="1">
        <f t="array" ref="O1018">MAX(IF((Tabla_Pagos[NRO DOC]=B1018)*(Tabla_Pagos[IMPORTE ABONADO]&gt;0),Tabla_Pagos[FECHA DE ABONO]))</f>
        <v>46120</v>
      </c>
    </row>
    <row r="1019" spans="2:15" ht="21" customHeight="1" x14ac:dyDescent="0.25">
      <c r="B1019" s="39">
        <v>1956</v>
      </c>
      <c r="C1019" s="20">
        <v>46120</v>
      </c>
      <c r="D1019" s="40" t="s">
        <v>485</v>
      </c>
      <c r="E1019" s="37" t="str">
        <f>IFERROR(VLOOKUP(D1019,CLIENTES!$B$12:$G$2602,2,FALSE),"")</f>
        <v>SAN RAFAEL INGENIERIA Y  SERVICIOS LIMITADA</v>
      </c>
      <c r="F1019" s="31">
        <v>586872</v>
      </c>
      <c r="G1019" s="41" t="s">
        <v>101</v>
      </c>
      <c r="H1019" s="26">
        <v>30</v>
      </c>
      <c r="I1019" s="21" t="str">
        <f t="shared" si="155"/>
        <v>Crédito</v>
      </c>
      <c r="J1019" s="22">
        <f t="shared" si="156"/>
        <v>46150</v>
      </c>
      <c r="K1019" s="27">
        <f t="shared" ca="1" si="157"/>
        <v>0</v>
      </c>
      <c r="L1019" s="23" t="str">
        <f t="shared" si="158"/>
        <v>Pagado</v>
      </c>
      <c r="M1019" s="36">
        <f>SUMIFS(Tabla_Pagos[IMPORTE ABONADO],Tabla_Pagos[FECHA DE ABONO],"&gt;0",Tabla_Pagos[NRO DOC],B1019)</f>
        <v>586872</v>
      </c>
      <c r="N1019" s="36">
        <f t="shared" si="159"/>
        <v>0</v>
      </c>
      <c r="O1019" s="22" cm="1">
        <f t="array" ref="O1019">MAX(IF((Tabla_Pagos[NRO DOC]=B1019)*(Tabla_Pagos[IMPORTE ABONADO]&gt;0),Tabla_Pagos[FECHA DE ABONO]))</f>
        <v>46148</v>
      </c>
    </row>
    <row r="1020" spans="2:15" ht="21" customHeight="1" x14ac:dyDescent="0.25">
      <c r="B1020" s="39">
        <v>1957</v>
      </c>
      <c r="C1020" s="20">
        <v>46120</v>
      </c>
      <c r="D1020" s="40" t="s">
        <v>485</v>
      </c>
      <c r="E1020" s="37" t="str">
        <f>IFERROR(VLOOKUP(D1020,CLIENTES!$B$12:$G$2602,2,FALSE),"")</f>
        <v>SAN RAFAEL INGENIERIA Y  SERVICIOS LIMITADA</v>
      </c>
      <c r="F1020" s="31">
        <v>284886</v>
      </c>
      <c r="G1020" s="41" t="s">
        <v>101</v>
      </c>
      <c r="H1020" s="26">
        <v>30</v>
      </c>
      <c r="I1020" s="21" t="str">
        <f t="shared" si="155"/>
        <v>Crédito</v>
      </c>
      <c r="J1020" s="22">
        <f t="shared" si="156"/>
        <v>46150</v>
      </c>
      <c r="K1020" s="27">
        <f t="shared" ca="1" si="157"/>
        <v>0</v>
      </c>
      <c r="L1020" s="23" t="str">
        <f t="shared" si="158"/>
        <v>Pagado</v>
      </c>
      <c r="M1020" s="36">
        <f>SUMIFS(Tabla_Pagos[IMPORTE ABONADO],Tabla_Pagos[FECHA DE ABONO],"&gt;0",Tabla_Pagos[NRO DOC],B1020)</f>
        <v>284886</v>
      </c>
      <c r="N1020" s="36">
        <f t="shared" si="159"/>
        <v>0</v>
      </c>
      <c r="O1020" s="22" cm="1">
        <f t="array" ref="O1020">MAX(IF((Tabla_Pagos[NRO DOC]=B1020)*(Tabla_Pagos[IMPORTE ABONADO]&gt;0),Tabla_Pagos[FECHA DE ABONO]))</f>
        <v>46148</v>
      </c>
    </row>
    <row r="1021" spans="2:15" ht="21" customHeight="1" x14ac:dyDescent="0.25">
      <c r="B1021" s="39">
        <v>1958</v>
      </c>
      <c r="C1021" s="20">
        <v>46121</v>
      </c>
      <c r="D1021" s="40" t="s">
        <v>49</v>
      </c>
      <c r="E1021" s="37" t="str">
        <f>IFERROR(VLOOKUP(D1021,CLIENTES!$B$12:$G$2602,2,FALSE),"")</f>
        <v>MOINCO INGENIERIA SPA</v>
      </c>
      <c r="F1021" s="31">
        <v>1492736</v>
      </c>
      <c r="G1021" s="41" t="s">
        <v>101</v>
      </c>
      <c r="H1021" s="26">
        <v>0</v>
      </c>
      <c r="I1021" s="21" t="str">
        <f t="shared" si="155"/>
        <v>Contado</v>
      </c>
      <c r="J1021" s="22">
        <f t="shared" si="156"/>
        <v>46121</v>
      </c>
      <c r="K1021" s="27">
        <f t="shared" ca="1" si="157"/>
        <v>0</v>
      </c>
      <c r="L1021" s="23" t="str">
        <f t="shared" si="158"/>
        <v>Pagado</v>
      </c>
      <c r="M1021" s="36">
        <f>SUMIFS(Tabla_Pagos[IMPORTE ABONADO],Tabla_Pagos[FECHA DE ABONO],"&gt;0",Tabla_Pagos[NRO DOC],B1021)</f>
        <v>1492736</v>
      </c>
      <c r="N1021" s="36">
        <f t="shared" si="159"/>
        <v>0</v>
      </c>
      <c r="O1021" s="22" cm="1">
        <f t="array" ref="O1021">MAX(IF((Tabla_Pagos[NRO DOC]=B1021)*(Tabla_Pagos[IMPORTE ABONADO]&gt;0),Tabla_Pagos[FECHA DE ABONO]))</f>
        <v>46121</v>
      </c>
    </row>
    <row r="1022" spans="2:15" ht="21" customHeight="1" x14ac:dyDescent="0.25">
      <c r="B1022" s="39">
        <v>1959</v>
      </c>
      <c r="C1022" s="20">
        <v>46121</v>
      </c>
      <c r="D1022" s="40" t="s">
        <v>106</v>
      </c>
      <c r="E1022" s="37" t="str">
        <f>IFERROR(VLOOKUP(D1022,CLIENTES!$B$12:$G$2602,2,FALSE),"")</f>
        <v>COMERCIAL SERPAN SPA</v>
      </c>
      <c r="F1022" s="31">
        <v>13090</v>
      </c>
      <c r="G1022" s="41" t="s">
        <v>101</v>
      </c>
      <c r="H1022" s="26">
        <v>30</v>
      </c>
      <c r="I1022" s="21" t="str">
        <f>IF(H1022="","",IF(H1022=0,"Contado","Crédito"))</f>
        <v>Crédito</v>
      </c>
      <c r="J1022" s="22">
        <f>IF(I1022="","",C1022+H1022)</f>
        <v>46151</v>
      </c>
      <c r="K1022" s="27">
        <f ca="1">IFERROR(IF(B1022="","",IF(N1022=0,0,J1022-TODAY())),"")</f>
        <v>-27</v>
      </c>
      <c r="L1022" s="23" t="str">
        <f ca="1">IF(I1022="","",IF(N1022=0,"Pagado",IF(K1022&lt;0,"Vencido","No vencido")))</f>
        <v>Vencido</v>
      </c>
      <c r="M1022" s="36">
        <f>SUMIFS(Tabla_Pagos[IMPORTE ABONADO],Tabla_Pagos[FECHA DE ABONO],"&gt;0",Tabla_Pagos[NRO DOC],B1022)</f>
        <v>0</v>
      </c>
      <c r="N1022" s="36">
        <f>F1022-M1022</f>
        <v>13090</v>
      </c>
      <c r="O1022" s="22" cm="1">
        <f t="array" ref="O1022">MAX(IF((Tabla_Pagos[NRO DOC]=B1022)*(Tabla_Pagos[IMPORTE ABONADO]&gt;0),Tabla_Pagos[FECHA DE ABONO]))</f>
        <v>0</v>
      </c>
    </row>
    <row r="1023" spans="2:15" ht="21" customHeight="1" x14ac:dyDescent="0.25">
      <c r="B1023" s="39">
        <v>1960</v>
      </c>
      <c r="C1023" s="20">
        <v>46121</v>
      </c>
      <c r="D1023" s="40" t="s">
        <v>63</v>
      </c>
      <c r="E1023" s="37" t="str">
        <f>IFERROR(VLOOKUP(D1023,CLIENTES!$B$12:$G$2602,2,FALSE),"")</f>
        <v>MULTISERVICIOS SANABRIA SPA</v>
      </c>
      <c r="F1023" s="31">
        <v>89250</v>
      </c>
      <c r="G1023" s="41" t="s">
        <v>101</v>
      </c>
      <c r="H1023" s="26">
        <v>0</v>
      </c>
      <c r="I1023" s="21" t="str">
        <f t="shared" ref="I1023:I1052" si="160">IF(H1023="","",IF(H1023=0,"Contado","Crédito"))</f>
        <v>Contado</v>
      </c>
      <c r="J1023" s="22">
        <f t="shared" ref="J1023:J1052" si="161">IF(I1023="","",C1023+H1023)</f>
        <v>46121</v>
      </c>
      <c r="K1023" s="27">
        <f t="shared" ref="K1023:K1052" ca="1" si="162">IFERROR(IF(B1023="","",IF(N1023=0,0,J1023-TODAY())),"")</f>
        <v>0</v>
      </c>
      <c r="L1023" s="23" t="str">
        <f t="shared" ref="L1023:L1052" si="163">IF(I1023="","",IF(N1023=0,"Pagado",IF(K1023&lt;0,"Vencido","No vencido")))</f>
        <v>Pagado</v>
      </c>
      <c r="M1023" s="36">
        <f>SUMIFS(Tabla_Pagos[IMPORTE ABONADO],Tabla_Pagos[FECHA DE ABONO],"&gt;0",Tabla_Pagos[NRO DOC],B1023)</f>
        <v>89250</v>
      </c>
      <c r="N1023" s="36">
        <f t="shared" ref="N1023:N1052" si="164">F1023-M1023</f>
        <v>0</v>
      </c>
      <c r="O1023" s="22" cm="1">
        <f t="array" ref="O1023">MAX(IF((Tabla_Pagos[NRO DOC]=B1023)*(Tabla_Pagos[IMPORTE ABONADO]&gt;0),Tabla_Pagos[FECHA DE ABONO]))</f>
        <v>46121</v>
      </c>
    </row>
    <row r="1024" spans="2:15" ht="21" customHeight="1" x14ac:dyDescent="0.25">
      <c r="B1024" s="39">
        <v>1961</v>
      </c>
      <c r="C1024" s="20">
        <v>46121</v>
      </c>
      <c r="D1024" s="40" t="s">
        <v>355</v>
      </c>
      <c r="E1024" s="37" t="str">
        <f>IFERROR(VLOOKUP(D1024,CLIENTES!$B$12:$G$2602,2,FALSE),"")</f>
        <v>TRANSPORTES NORTE TRUCKS SPA</v>
      </c>
      <c r="F1024" s="31">
        <v>30000</v>
      </c>
      <c r="G1024" s="41" t="s">
        <v>101</v>
      </c>
      <c r="H1024" s="26">
        <v>0</v>
      </c>
      <c r="I1024" s="21" t="str">
        <f t="shared" si="160"/>
        <v>Contado</v>
      </c>
      <c r="J1024" s="22">
        <f t="shared" si="161"/>
        <v>46121</v>
      </c>
      <c r="K1024" s="27">
        <f t="shared" ca="1" si="162"/>
        <v>0</v>
      </c>
      <c r="L1024" s="23" t="str">
        <f t="shared" si="163"/>
        <v>Pagado</v>
      </c>
      <c r="M1024" s="36">
        <f>SUMIFS(Tabla_Pagos[IMPORTE ABONADO],Tabla_Pagos[FECHA DE ABONO],"&gt;0",Tabla_Pagos[NRO DOC],B1024)</f>
        <v>30000</v>
      </c>
      <c r="N1024" s="36">
        <f t="shared" si="164"/>
        <v>0</v>
      </c>
      <c r="O1024" s="22" cm="1">
        <f t="array" ref="O1024">MAX(IF((Tabla_Pagos[NRO DOC]=B1024)*(Tabla_Pagos[IMPORTE ABONADO]&gt;0),Tabla_Pagos[FECHA DE ABONO]))</f>
        <v>46121</v>
      </c>
    </row>
    <row r="1025" spans="2:15" ht="21" customHeight="1" x14ac:dyDescent="0.25">
      <c r="B1025" s="39">
        <v>1962</v>
      </c>
      <c r="C1025" s="20">
        <v>46121</v>
      </c>
      <c r="D1025" s="40" t="s">
        <v>445</v>
      </c>
      <c r="E1025" s="37" t="str">
        <f>IFERROR(VLOOKUP(D1025,CLIENTES!$B$12:$G$2602,2,FALSE),"")</f>
        <v>ZONA DE CARABINEROS ATACAMA</v>
      </c>
      <c r="F1025" s="31">
        <v>940100</v>
      </c>
      <c r="G1025" s="41" t="s">
        <v>101</v>
      </c>
      <c r="H1025" s="26">
        <v>30</v>
      </c>
      <c r="I1025" s="21" t="str">
        <f t="shared" si="160"/>
        <v>Crédito</v>
      </c>
      <c r="J1025" s="22">
        <f t="shared" si="161"/>
        <v>46151</v>
      </c>
      <c r="K1025" s="27">
        <f t="shared" ca="1" si="162"/>
        <v>-27</v>
      </c>
      <c r="L1025" s="23" t="str">
        <f t="shared" ca="1" si="163"/>
        <v>Vencido</v>
      </c>
      <c r="M1025" s="36">
        <f>SUMIFS(Tabla_Pagos[IMPORTE ABONADO],Tabla_Pagos[FECHA DE ABONO],"&gt;0",Tabla_Pagos[NRO DOC],B1025)</f>
        <v>0</v>
      </c>
      <c r="N1025" s="36">
        <f t="shared" si="164"/>
        <v>940100</v>
      </c>
      <c r="O1025" s="22" cm="1">
        <f t="array" ref="O1025">MAX(IF((Tabla_Pagos[NRO DOC]=B1025)*(Tabla_Pagos[IMPORTE ABONADO]&gt;0),Tabla_Pagos[FECHA DE ABONO]))</f>
        <v>0</v>
      </c>
    </row>
    <row r="1026" spans="2:15" ht="21" customHeight="1" x14ac:dyDescent="0.25">
      <c r="B1026" s="39">
        <v>1963</v>
      </c>
      <c r="C1026" s="20">
        <v>46122</v>
      </c>
      <c r="D1026" s="40" t="s">
        <v>471</v>
      </c>
      <c r="E1026" s="37" t="str">
        <f>IFERROR(VLOOKUP(D1026,CLIENTES!$B$12:$G$2602,2,FALSE),"")</f>
        <v>MARIO HERNAN CASTILLO FUENTES</v>
      </c>
      <c r="F1026" s="31">
        <v>35700</v>
      </c>
      <c r="G1026" s="41" t="s">
        <v>101</v>
      </c>
      <c r="H1026" s="26">
        <v>0</v>
      </c>
      <c r="I1026" s="21" t="str">
        <f t="shared" si="160"/>
        <v>Contado</v>
      </c>
      <c r="J1026" s="22">
        <f t="shared" si="161"/>
        <v>46122</v>
      </c>
      <c r="K1026" s="27">
        <f t="shared" ca="1" si="162"/>
        <v>0</v>
      </c>
      <c r="L1026" s="23" t="str">
        <f t="shared" si="163"/>
        <v>Pagado</v>
      </c>
      <c r="M1026" s="36">
        <f>SUMIFS(Tabla_Pagos[IMPORTE ABONADO],Tabla_Pagos[FECHA DE ABONO],"&gt;0",Tabla_Pagos[NRO DOC],B1026)</f>
        <v>35700</v>
      </c>
      <c r="N1026" s="36">
        <f t="shared" si="164"/>
        <v>0</v>
      </c>
      <c r="O1026" s="22" cm="1">
        <f t="array" ref="O1026">MAX(IF((Tabla_Pagos[NRO DOC]=B1026)*(Tabla_Pagos[IMPORTE ABONADO]&gt;0),Tabla_Pagos[FECHA DE ABONO]))</f>
        <v>46122</v>
      </c>
    </row>
    <row r="1027" spans="2:15" ht="21" customHeight="1" x14ac:dyDescent="0.25">
      <c r="B1027" s="39">
        <v>1964</v>
      </c>
      <c r="C1027" s="20">
        <v>46125</v>
      </c>
      <c r="D1027" s="40" t="s">
        <v>31</v>
      </c>
      <c r="E1027" s="37" t="str">
        <f>IFERROR(VLOOKUP(D1027,CLIENTES!$B$12:$G$2602,2,FALSE),"")</f>
        <v>KAUFMANN SA VEHICULOS MOTORIZADOS</v>
      </c>
      <c r="F1027" s="31">
        <v>649026</v>
      </c>
      <c r="G1027" s="41" t="s">
        <v>101</v>
      </c>
      <c r="H1027" s="26">
        <v>30</v>
      </c>
      <c r="I1027" s="21" t="str">
        <f t="shared" si="160"/>
        <v>Crédito</v>
      </c>
      <c r="J1027" s="22">
        <f t="shared" si="161"/>
        <v>46155</v>
      </c>
      <c r="K1027" s="27">
        <f t="shared" ca="1" si="162"/>
        <v>-23</v>
      </c>
      <c r="L1027" s="23" t="str">
        <f t="shared" ca="1" si="163"/>
        <v>Vencido</v>
      </c>
      <c r="M1027" s="36">
        <f>SUMIFS(Tabla_Pagos[IMPORTE ABONADO],Tabla_Pagos[FECHA DE ABONO],"&gt;0",Tabla_Pagos[NRO DOC],B1027)</f>
        <v>0</v>
      </c>
      <c r="N1027" s="36">
        <f t="shared" si="164"/>
        <v>649026</v>
      </c>
      <c r="O1027" s="22" cm="1">
        <f t="array" ref="O1027">MAX(IF((Tabla_Pagos[NRO DOC]=B1027)*(Tabla_Pagos[IMPORTE ABONADO]&gt;0),Tabla_Pagos[FECHA DE ABONO]))</f>
        <v>0</v>
      </c>
    </row>
    <row r="1028" spans="2:15" ht="21" customHeight="1" x14ac:dyDescent="0.25">
      <c r="B1028" s="39">
        <v>1965</v>
      </c>
      <c r="C1028" s="20">
        <v>46125</v>
      </c>
      <c r="D1028" s="40" t="s">
        <v>470</v>
      </c>
      <c r="E1028" s="37" t="str">
        <f>IFERROR(VLOOKUP(D1028,CLIENTES!$B$12:$G$2602,2,FALSE),"")</f>
        <v>INVERSIONES SAFUMAR LIMITADA</v>
      </c>
      <c r="F1028" s="31">
        <v>210630</v>
      </c>
      <c r="G1028" s="41" t="s">
        <v>101</v>
      </c>
      <c r="H1028" s="26">
        <v>30</v>
      </c>
      <c r="I1028" s="21" t="str">
        <f t="shared" si="160"/>
        <v>Crédito</v>
      </c>
      <c r="J1028" s="22">
        <f t="shared" si="161"/>
        <v>46155</v>
      </c>
      <c r="K1028" s="27">
        <f t="shared" ca="1" si="162"/>
        <v>-23</v>
      </c>
      <c r="L1028" s="23" t="str">
        <f t="shared" ca="1" si="163"/>
        <v>Vencido</v>
      </c>
      <c r="M1028" s="36">
        <f>SUMIFS(Tabla_Pagos[IMPORTE ABONADO],Tabla_Pagos[FECHA DE ABONO],"&gt;0",Tabla_Pagos[NRO DOC],B1028)</f>
        <v>0</v>
      </c>
      <c r="N1028" s="36">
        <f t="shared" si="164"/>
        <v>210630</v>
      </c>
      <c r="O1028" s="22" cm="1">
        <f t="array" ref="O1028">MAX(IF((Tabla_Pagos[NRO DOC]=B1028)*(Tabla_Pagos[IMPORTE ABONADO]&gt;0),Tabla_Pagos[FECHA DE ABONO]))</f>
        <v>0</v>
      </c>
    </row>
    <row r="1029" spans="2:15" ht="21" customHeight="1" x14ac:dyDescent="0.25">
      <c r="B1029" s="39">
        <v>1966</v>
      </c>
      <c r="C1029" s="20">
        <v>46125</v>
      </c>
      <c r="D1029" s="40" t="s">
        <v>44</v>
      </c>
      <c r="E1029" s="37" t="str">
        <f>IFERROR(VLOOKUP(D1029,CLIENTES!$B$12:$G$2602,2,FALSE),"")</f>
        <v>SKC RED SPA</v>
      </c>
      <c r="F1029" s="31">
        <v>345100</v>
      </c>
      <c r="G1029" s="41" t="s">
        <v>101</v>
      </c>
      <c r="H1029" s="26">
        <v>30</v>
      </c>
      <c r="I1029" s="21" t="str">
        <f t="shared" si="160"/>
        <v>Crédito</v>
      </c>
      <c r="J1029" s="22">
        <f t="shared" si="161"/>
        <v>46155</v>
      </c>
      <c r="K1029" s="27">
        <f t="shared" ca="1" si="162"/>
        <v>-23</v>
      </c>
      <c r="L1029" s="23" t="str">
        <f t="shared" ca="1" si="163"/>
        <v>Vencido</v>
      </c>
      <c r="M1029" s="36">
        <f>SUMIFS(Tabla_Pagos[IMPORTE ABONADO],Tabla_Pagos[FECHA DE ABONO],"&gt;0",Tabla_Pagos[NRO DOC],B1029)</f>
        <v>0</v>
      </c>
      <c r="N1029" s="36">
        <f t="shared" si="164"/>
        <v>345100</v>
      </c>
      <c r="O1029" s="22" cm="1">
        <f t="array" ref="O1029">MAX(IF((Tabla_Pagos[NRO DOC]=B1029)*(Tabla_Pagos[IMPORTE ABONADO]&gt;0),Tabla_Pagos[FECHA DE ABONO]))</f>
        <v>0</v>
      </c>
    </row>
    <row r="1030" spans="2:15" ht="21" customHeight="1" x14ac:dyDescent="0.25">
      <c r="B1030" s="39">
        <v>1968</v>
      </c>
      <c r="C1030" s="20">
        <v>46125</v>
      </c>
      <c r="D1030" s="40" t="s">
        <v>211</v>
      </c>
      <c r="E1030" s="37" t="str">
        <f>IFERROR(VLOOKUP(D1030,CLIENTES!$B$12:$G$2602,2,FALSE),"")</f>
        <v>CONSTRUCTORA, REPARACIONES, APLICACIONES E INSTALACIONES GRUPO ATADURA</v>
      </c>
      <c r="F1030" s="31">
        <v>257040</v>
      </c>
      <c r="G1030" s="41" t="s">
        <v>101</v>
      </c>
      <c r="H1030" s="26">
        <v>0</v>
      </c>
      <c r="I1030" s="21" t="str">
        <f t="shared" si="160"/>
        <v>Contado</v>
      </c>
      <c r="J1030" s="22">
        <f t="shared" si="161"/>
        <v>46125</v>
      </c>
      <c r="K1030" s="27">
        <f t="shared" ca="1" si="162"/>
        <v>0</v>
      </c>
      <c r="L1030" s="23" t="str">
        <f t="shared" si="163"/>
        <v>Pagado</v>
      </c>
      <c r="M1030" s="36">
        <f>SUMIFS(Tabla_Pagos[IMPORTE ABONADO],Tabla_Pagos[FECHA DE ABONO],"&gt;0",Tabla_Pagos[NRO DOC],B1030)</f>
        <v>257040</v>
      </c>
      <c r="N1030" s="36">
        <f t="shared" si="164"/>
        <v>0</v>
      </c>
      <c r="O1030" s="22" cm="1">
        <f t="array" ref="O1030">MAX(IF((Tabla_Pagos[NRO DOC]=B1030)*(Tabla_Pagos[IMPORTE ABONADO]&gt;0),Tabla_Pagos[FECHA DE ABONO]))</f>
        <v>46125</v>
      </c>
    </row>
    <row r="1031" spans="2:15" ht="21" customHeight="1" x14ac:dyDescent="0.25">
      <c r="B1031" s="39">
        <v>1969</v>
      </c>
      <c r="C1031" s="20">
        <v>46126</v>
      </c>
      <c r="D1031" s="40" t="s">
        <v>735</v>
      </c>
      <c r="E1031" s="37" t="str">
        <f>IFERROR(VLOOKUP(D1031,CLIENTES!$B$12:$G$2602,2,FALSE),"")</f>
        <v>FVP MINING  INDUSTRY SPA</v>
      </c>
      <c r="F1031" s="31">
        <v>476000</v>
      </c>
      <c r="G1031" s="41" t="s">
        <v>101</v>
      </c>
      <c r="H1031" s="26">
        <v>0</v>
      </c>
      <c r="I1031" s="21" t="str">
        <f t="shared" si="160"/>
        <v>Contado</v>
      </c>
      <c r="J1031" s="22">
        <f t="shared" si="161"/>
        <v>46126</v>
      </c>
      <c r="K1031" s="27">
        <f t="shared" ca="1" si="162"/>
        <v>0</v>
      </c>
      <c r="L1031" s="23" t="str">
        <f t="shared" si="163"/>
        <v>Pagado</v>
      </c>
      <c r="M1031" s="36">
        <f>SUMIFS(Tabla_Pagos[IMPORTE ABONADO],Tabla_Pagos[FECHA DE ABONO],"&gt;0",Tabla_Pagos[NRO DOC],B1031)</f>
        <v>476000</v>
      </c>
      <c r="N1031" s="36">
        <f t="shared" si="164"/>
        <v>0</v>
      </c>
      <c r="O1031" s="22" cm="1">
        <f t="array" ref="O1031">MAX(IF((Tabla_Pagos[NRO DOC]=B1031)*(Tabla_Pagos[IMPORTE ABONADO]&gt;0),Tabla_Pagos[FECHA DE ABONO]))</f>
        <v>46126</v>
      </c>
    </row>
    <row r="1032" spans="2:15" ht="21" customHeight="1" x14ac:dyDescent="0.25">
      <c r="B1032" s="39">
        <v>1970</v>
      </c>
      <c r="C1032" s="20">
        <v>46126</v>
      </c>
      <c r="D1032" s="40" t="s">
        <v>245</v>
      </c>
      <c r="E1032" s="37" t="str">
        <f>IFERROR(VLOOKUP(D1032,CLIENTES!$B$12:$G$2602,2,FALSE),"")</f>
        <v>SERVICIOS MONTENEGRO SPA</v>
      </c>
      <c r="F1032" s="31">
        <v>630700</v>
      </c>
      <c r="G1032" s="41" t="s">
        <v>101</v>
      </c>
      <c r="H1032" s="26">
        <v>0</v>
      </c>
      <c r="I1032" s="21" t="str">
        <f t="shared" si="160"/>
        <v>Contado</v>
      </c>
      <c r="J1032" s="22">
        <f t="shared" si="161"/>
        <v>46126</v>
      </c>
      <c r="K1032" s="27">
        <f t="shared" ca="1" si="162"/>
        <v>0</v>
      </c>
      <c r="L1032" s="23" t="str">
        <f t="shared" si="163"/>
        <v>Pagado</v>
      </c>
      <c r="M1032" s="36">
        <f>SUMIFS(Tabla_Pagos[IMPORTE ABONADO],Tabla_Pagos[FECHA DE ABONO],"&gt;0",Tabla_Pagos[NRO DOC],B1032)</f>
        <v>630700</v>
      </c>
      <c r="N1032" s="36">
        <f t="shared" si="164"/>
        <v>0</v>
      </c>
      <c r="O1032" s="22" cm="1">
        <f t="array" ref="O1032">MAX(IF((Tabla_Pagos[NRO DOC]=B1032)*(Tabla_Pagos[IMPORTE ABONADO]&gt;0),Tabla_Pagos[FECHA DE ABONO]))</f>
        <v>46126</v>
      </c>
    </row>
    <row r="1033" spans="2:15" ht="21" customHeight="1" x14ac:dyDescent="0.25">
      <c r="B1033" s="39">
        <v>1971</v>
      </c>
      <c r="C1033" s="20">
        <v>46126</v>
      </c>
      <c r="D1033" s="40" t="s">
        <v>245</v>
      </c>
      <c r="E1033" s="37" t="str">
        <f>IFERROR(VLOOKUP(D1033,CLIENTES!$B$12:$G$2602,2,FALSE),"")</f>
        <v>SERVICIOS MONTENEGRO SPA</v>
      </c>
      <c r="F1033" s="31">
        <v>226000</v>
      </c>
      <c r="G1033" s="41" t="s">
        <v>101</v>
      </c>
      <c r="H1033" s="26">
        <v>0</v>
      </c>
      <c r="I1033" s="21" t="str">
        <f t="shared" si="160"/>
        <v>Contado</v>
      </c>
      <c r="J1033" s="22">
        <f t="shared" si="161"/>
        <v>46126</v>
      </c>
      <c r="K1033" s="27">
        <f t="shared" ca="1" si="162"/>
        <v>0</v>
      </c>
      <c r="L1033" s="23" t="str">
        <f t="shared" si="163"/>
        <v>Pagado</v>
      </c>
      <c r="M1033" s="36">
        <f>SUMIFS(Tabla_Pagos[IMPORTE ABONADO],Tabla_Pagos[FECHA DE ABONO],"&gt;0",Tabla_Pagos[NRO DOC],B1033)</f>
        <v>226000</v>
      </c>
      <c r="N1033" s="36">
        <f t="shared" si="164"/>
        <v>0</v>
      </c>
      <c r="O1033" s="22" cm="1">
        <f t="array" ref="O1033">MAX(IF((Tabla_Pagos[NRO DOC]=B1033)*(Tabla_Pagos[IMPORTE ABONADO]&gt;0),Tabla_Pagos[FECHA DE ABONO]))</f>
        <v>46126</v>
      </c>
    </row>
    <row r="1034" spans="2:15" ht="21" customHeight="1" x14ac:dyDescent="0.25">
      <c r="B1034" s="39">
        <v>1972</v>
      </c>
      <c r="C1034" s="20">
        <v>46126</v>
      </c>
      <c r="D1034" s="40" t="s">
        <v>170</v>
      </c>
      <c r="E1034" s="37" t="str">
        <f>IFERROR(VLOOKUP(D1034,CLIENTES!$B$12:$G$2602,2,FALSE),"")</f>
        <v>RAMON ANGEL RIQUELME OLIVARES</v>
      </c>
      <c r="F1034" s="31">
        <v>416500</v>
      </c>
      <c r="G1034" s="41" t="s">
        <v>101</v>
      </c>
      <c r="H1034" s="26">
        <v>0</v>
      </c>
      <c r="I1034" s="21" t="str">
        <f t="shared" si="160"/>
        <v>Contado</v>
      </c>
      <c r="J1034" s="22">
        <f t="shared" si="161"/>
        <v>46126</v>
      </c>
      <c r="K1034" s="27">
        <f t="shared" ca="1" si="162"/>
        <v>0</v>
      </c>
      <c r="L1034" s="23" t="str">
        <f t="shared" si="163"/>
        <v>Pagado</v>
      </c>
      <c r="M1034" s="36">
        <f>SUMIFS(Tabla_Pagos[IMPORTE ABONADO],Tabla_Pagos[FECHA DE ABONO],"&gt;0",Tabla_Pagos[NRO DOC],B1034)</f>
        <v>416500</v>
      </c>
      <c r="N1034" s="36">
        <f t="shared" si="164"/>
        <v>0</v>
      </c>
      <c r="O1034" s="22" cm="1">
        <f t="array" ref="O1034">MAX(IF((Tabla_Pagos[NRO DOC]=B1034)*(Tabla_Pagos[IMPORTE ABONADO]&gt;0),Tabla_Pagos[FECHA DE ABONO]))</f>
        <v>46126</v>
      </c>
    </row>
    <row r="1035" spans="2:15" ht="21" customHeight="1" x14ac:dyDescent="0.25">
      <c r="B1035" s="39">
        <v>1973</v>
      </c>
      <c r="C1035" s="20">
        <v>46126</v>
      </c>
      <c r="D1035" s="40" t="s">
        <v>688</v>
      </c>
      <c r="E1035" s="37" t="str">
        <f>IFERROR(VLOOKUP(D1035,CLIENTES!$B$12:$G$2602,2,FALSE),"")</f>
        <v>COMPANIA DE SERVICIOS INDUSTRIALES LIMITADA</v>
      </c>
      <c r="F1035" s="31">
        <v>618800</v>
      </c>
      <c r="G1035" s="41" t="s">
        <v>101</v>
      </c>
      <c r="H1035" s="26">
        <v>30</v>
      </c>
      <c r="I1035" s="21" t="str">
        <f t="shared" si="160"/>
        <v>Crédito</v>
      </c>
      <c r="J1035" s="22">
        <f t="shared" si="161"/>
        <v>46156</v>
      </c>
      <c r="K1035" s="27">
        <f t="shared" ca="1" si="162"/>
        <v>-22</v>
      </c>
      <c r="L1035" s="23" t="str">
        <f t="shared" ca="1" si="163"/>
        <v>Vencido</v>
      </c>
      <c r="M1035" s="36">
        <f>SUMIFS(Tabla_Pagos[IMPORTE ABONADO],Tabla_Pagos[FECHA DE ABONO],"&gt;0",Tabla_Pagos[NRO DOC],B1035)</f>
        <v>0</v>
      </c>
      <c r="N1035" s="36">
        <f t="shared" si="164"/>
        <v>618800</v>
      </c>
      <c r="O1035" s="22" cm="1">
        <f t="array" ref="O1035">MAX(IF((Tabla_Pagos[NRO DOC]=B1035)*(Tabla_Pagos[IMPORTE ABONADO]&gt;0),Tabla_Pagos[FECHA DE ABONO]))</f>
        <v>0</v>
      </c>
    </row>
    <row r="1036" spans="2:15" ht="21" customHeight="1" x14ac:dyDescent="0.25">
      <c r="B1036" s="39">
        <v>1974</v>
      </c>
      <c r="C1036" s="20">
        <v>46127</v>
      </c>
      <c r="D1036" s="40" t="s">
        <v>205</v>
      </c>
      <c r="E1036" s="37" t="str">
        <f>IFERROR(VLOOKUP(D1036,CLIENTES!$B$12:$G$2602,2,FALSE),"")</f>
        <v>CONSTRUCTORA DE PAVIMENTOS ASFALTICOS BITUMIX S.A</v>
      </c>
      <c r="F1036" s="31">
        <v>1021020</v>
      </c>
      <c r="G1036" s="41" t="s">
        <v>101</v>
      </c>
      <c r="H1036" s="26">
        <v>30</v>
      </c>
      <c r="I1036" s="21" t="str">
        <f t="shared" si="160"/>
        <v>Crédito</v>
      </c>
      <c r="J1036" s="22">
        <f t="shared" si="161"/>
        <v>46157</v>
      </c>
      <c r="K1036" s="27">
        <f t="shared" ca="1" si="162"/>
        <v>0</v>
      </c>
      <c r="L1036" s="23" t="str">
        <f t="shared" si="163"/>
        <v>Pagado</v>
      </c>
      <c r="M1036" s="36">
        <f>SUMIFS(Tabla_Pagos[IMPORTE ABONADO],Tabla_Pagos[FECHA DE ABONO],"&gt;0",Tabla_Pagos[NRO DOC],B1036)</f>
        <v>1021020</v>
      </c>
      <c r="N1036" s="36">
        <f t="shared" si="164"/>
        <v>0</v>
      </c>
      <c r="O1036" s="22" cm="1">
        <f t="array" ref="O1036">MAX(IF((Tabla_Pagos[NRO DOC]=B1036)*(Tabla_Pagos[IMPORTE ABONADO]&gt;0),Tabla_Pagos[FECHA DE ABONO]))</f>
        <v>46164</v>
      </c>
    </row>
    <row r="1037" spans="2:15" ht="21" customHeight="1" x14ac:dyDescent="0.25">
      <c r="B1037" s="39">
        <v>1975</v>
      </c>
      <c r="C1037" s="20">
        <v>46127</v>
      </c>
      <c r="D1037" s="40" t="s">
        <v>773</v>
      </c>
      <c r="E1037" s="37" t="str">
        <f>IFERROR(VLOOKUP(D1037,CLIENTES!$B$12:$G$2602,2,FALSE),"")</f>
        <v>TRANSPORTES Y TURISMOS ALVARO ANIBAL TAMBLAY FABREGA E.I.R.L.</v>
      </c>
      <c r="F1037" s="31">
        <v>95200</v>
      </c>
      <c r="G1037" s="41" t="s">
        <v>101</v>
      </c>
      <c r="H1037" s="26">
        <v>0</v>
      </c>
      <c r="I1037" s="21" t="str">
        <f t="shared" si="160"/>
        <v>Contado</v>
      </c>
      <c r="J1037" s="22">
        <f t="shared" si="161"/>
        <v>46127</v>
      </c>
      <c r="K1037" s="27">
        <f t="shared" ca="1" si="162"/>
        <v>0</v>
      </c>
      <c r="L1037" s="23" t="str">
        <f t="shared" si="163"/>
        <v>Pagado</v>
      </c>
      <c r="M1037" s="36">
        <f>SUMIFS(Tabla_Pagos[IMPORTE ABONADO],Tabla_Pagos[FECHA DE ABONO],"&gt;0",Tabla_Pagos[NRO DOC],B1037)</f>
        <v>95200</v>
      </c>
      <c r="N1037" s="36">
        <f t="shared" si="164"/>
        <v>0</v>
      </c>
      <c r="O1037" s="22" cm="1">
        <f t="array" ref="O1037">MAX(IF((Tabla_Pagos[NRO DOC]=B1037)*(Tabla_Pagos[IMPORTE ABONADO]&gt;0),Tabla_Pagos[FECHA DE ABONO]))</f>
        <v>46127</v>
      </c>
    </row>
    <row r="1038" spans="2:15" ht="21" customHeight="1" x14ac:dyDescent="0.25">
      <c r="B1038" s="39">
        <v>1976</v>
      </c>
      <c r="C1038" s="20">
        <v>46127</v>
      </c>
      <c r="D1038" s="40" t="s">
        <v>773</v>
      </c>
      <c r="E1038" s="37" t="str">
        <f>IFERROR(VLOOKUP(D1038,CLIENTES!$B$12:$G$2602,2,FALSE),"")</f>
        <v>TRANSPORTES Y TURISMOS ALVARO ANIBAL TAMBLAY FABREGA E.I.R.L.</v>
      </c>
      <c r="F1038" s="31">
        <v>166600</v>
      </c>
      <c r="G1038" s="41" t="s">
        <v>101</v>
      </c>
      <c r="H1038" s="26">
        <v>0</v>
      </c>
      <c r="I1038" s="21" t="str">
        <f t="shared" si="160"/>
        <v>Contado</v>
      </c>
      <c r="J1038" s="22">
        <f t="shared" si="161"/>
        <v>46127</v>
      </c>
      <c r="K1038" s="27">
        <f t="shared" ca="1" si="162"/>
        <v>0</v>
      </c>
      <c r="L1038" s="23" t="str">
        <f t="shared" si="163"/>
        <v>Pagado</v>
      </c>
      <c r="M1038" s="36">
        <f>SUMIFS(Tabla_Pagos[IMPORTE ABONADO],Tabla_Pagos[FECHA DE ABONO],"&gt;0",Tabla_Pagos[NRO DOC],B1038)</f>
        <v>166600</v>
      </c>
      <c r="N1038" s="36">
        <f t="shared" si="164"/>
        <v>0</v>
      </c>
      <c r="O1038" s="22" cm="1">
        <f t="array" ref="O1038">MAX(IF((Tabla_Pagos[NRO DOC]=B1038)*(Tabla_Pagos[IMPORTE ABONADO]&gt;0),Tabla_Pagos[FECHA DE ABONO]))</f>
        <v>46127</v>
      </c>
    </row>
    <row r="1039" spans="2:15" ht="21" customHeight="1" x14ac:dyDescent="0.25">
      <c r="B1039" s="39">
        <v>1977</v>
      </c>
      <c r="C1039" s="20">
        <v>46127</v>
      </c>
      <c r="D1039" s="40" t="s">
        <v>445</v>
      </c>
      <c r="E1039" s="37" t="str">
        <f>IFERROR(VLOOKUP(D1039,CLIENTES!$B$12:$G$2602,2,FALSE),"")</f>
        <v>ZONA DE CARABINEROS ATACAMA</v>
      </c>
      <c r="F1039" s="31">
        <v>214200</v>
      </c>
      <c r="G1039" s="41" t="s">
        <v>101</v>
      </c>
      <c r="H1039" s="26">
        <v>30</v>
      </c>
      <c r="I1039" s="21" t="str">
        <f t="shared" si="160"/>
        <v>Crédito</v>
      </c>
      <c r="J1039" s="22">
        <f t="shared" si="161"/>
        <v>46157</v>
      </c>
      <c r="K1039" s="27">
        <f t="shared" ca="1" si="162"/>
        <v>-21</v>
      </c>
      <c r="L1039" s="23" t="str">
        <f t="shared" ca="1" si="163"/>
        <v>Vencido</v>
      </c>
      <c r="M1039" s="36">
        <f>SUMIFS(Tabla_Pagos[IMPORTE ABONADO],Tabla_Pagos[FECHA DE ABONO],"&gt;0",Tabla_Pagos[NRO DOC],B1039)</f>
        <v>0</v>
      </c>
      <c r="N1039" s="36">
        <f t="shared" si="164"/>
        <v>214200</v>
      </c>
      <c r="O1039" s="22" cm="1">
        <f t="array" ref="O1039">MAX(IF((Tabla_Pagos[NRO DOC]=B1039)*(Tabla_Pagos[IMPORTE ABONADO]&gt;0),Tabla_Pagos[FECHA DE ABONO]))</f>
        <v>0</v>
      </c>
    </row>
    <row r="1040" spans="2:15" ht="21" customHeight="1" x14ac:dyDescent="0.25">
      <c r="B1040" s="39">
        <v>1978</v>
      </c>
      <c r="C1040" s="20">
        <v>46128</v>
      </c>
      <c r="D1040" s="40" t="s">
        <v>787</v>
      </c>
      <c r="E1040" s="37" t="str">
        <f>IFERROR(VLOOKUP(D1040,CLIENTES!$B$12:$G$2602,2,FALSE),"")</f>
        <v>JRVA INGENIERIA  SERVICIOS SPA</v>
      </c>
      <c r="F1040" s="31">
        <v>309400</v>
      </c>
      <c r="G1040" s="41" t="s">
        <v>101</v>
      </c>
      <c r="H1040" s="26">
        <v>0</v>
      </c>
      <c r="I1040" s="21" t="str">
        <f t="shared" si="160"/>
        <v>Contado</v>
      </c>
      <c r="J1040" s="22">
        <f t="shared" si="161"/>
        <v>46128</v>
      </c>
      <c r="K1040" s="27">
        <f t="shared" ca="1" si="162"/>
        <v>0</v>
      </c>
      <c r="L1040" s="23" t="str">
        <f t="shared" si="163"/>
        <v>Pagado</v>
      </c>
      <c r="M1040" s="36">
        <f>SUMIFS(Tabla_Pagos[IMPORTE ABONADO],Tabla_Pagos[FECHA DE ABONO],"&gt;0",Tabla_Pagos[NRO DOC],B1040)</f>
        <v>309400</v>
      </c>
      <c r="N1040" s="36">
        <f t="shared" si="164"/>
        <v>0</v>
      </c>
      <c r="O1040" s="22" cm="1">
        <f t="array" ref="O1040">MAX(IF((Tabla_Pagos[NRO DOC]=B1040)*(Tabla_Pagos[IMPORTE ABONADO]&gt;0),Tabla_Pagos[FECHA DE ABONO]))</f>
        <v>46128</v>
      </c>
    </row>
    <row r="1041" spans="2:15" ht="21" customHeight="1" x14ac:dyDescent="0.25">
      <c r="B1041" s="39">
        <v>1979</v>
      </c>
      <c r="C1041" s="20">
        <v>46129</v>
      </c>
      <c r="D1041" s="40" t="s">
        <v>788</v>
      </c>
      <c r="E1041" s="37" t="str">
        <f>IFERROR(VLOOKUP(D1041,CLIENTES!$B$12:$G$2602,2,FALSE),"")</f>
        <v>SERVICIOS LEIVA  Y LEIVA  SPA</v>
      </c>
      <c r="F1041" s="31">
        <v>49999</v>
      </c>
      <c r="G1041" s="41" t="s">
        <v>101</v>
      </c>
      <c r="H1041" s="26">
        <v>0</v>
      </c>
      <c r="I1041" s="21" t="str">
        <f t="shared" si="160"/>
        <v>Contado</v>
      </c>
      <c r="J1041" s="22">
        <f t="shared" si="161"/>
        <v>46129</v>
      </c>
      <c r="K1041" s="27">
        <f t="shared" ca="1" si="162"/>
        <v>0</v>
      </c>
      <c r="L1041" s="23" t="str">
        <f t="shared" si="163"/>
        <v>Pagado</v>
      </c>
      <c r="M1041" s="36">
        <f>SUMIFS(Tabla_Pagos[IMPORTE ABONADO],Tabla_Pagos[FECHA DE ABONO],"&gt;0",Tabla_Pagos[NRO DOC],B1041)</f>
        <v>49999</v>
      </c>
      <c r="N1041" s="36">
        <f t="shared" si="164"/>
        <v>0</v>
      </c>
      <c r="O1041" s="22" cm="1">
        <f t="array" ref="O1041">MAX(IF((Tabla_Pagos[NRO DOC]=B1041)*(Tabla_Pagos[IMPORTE ABONADO]&gt;0),Tabla_Pagos[FECHA DE ABONO]))</f>
        <v>46129</v>
      </c>
    </row>
    <row r="1042" spans="2:15" ht="21" customHeight="1" x14ac:dyDescent="0.25">
      <c r="B1042" s="39">
        <v>1980</v>
      </c>
      <c r="C1042" s="20">
        <v>46129</v>
      </c>
      <c r="D1042" s="40" t="s">
        <v>660</v>
      </c>
      <c r="E1042" s="37" t="str">
        <f>IFERROR(VLOOKUP(D1042,CLIENTES!$B$12:$G$2602,2,FALSE),"")</f>
        <v>INGENIERIA, PROYECTOS Y MONTAJES PROPAMAT SPA</v>
      </c>
      <c r="F1042" s="31">
        <v>35700</v>
      </c>
      <c r="G1042" s="41" t="s">
        <v>101</v>
      </c>
      <c r="H1042" s="26">
        <v>0</v>
      </c>
      <c r="I1042" s="21" t="str">
        <f t="shared" si="160"/>
        <v>Contado</v>
      </c>
      <c r="J1042" s="22">
        <f t="shared" si="161"/>
        <v>46129</v>
      </c>
      <c r="K1042" s="27">
        <f t="shared" ca="1" si="162"/>
        <v>0</v>
      </c>
      <c r="L1042" s="23" t="str">
        <f t="shared" si="163"/>
        <v>Pagado</v>
      </c>
      <c r="M1042" s="36">
        <f>SUMIFS(Tabla_Pagos[IMPORTE ABONADO],Tabla_Pagos[FECHA DE ABONO],"&gt;0",Tabla_Pagos[NRO DOC],B1042)</f>
        <v>35700</v>
      </c>
      <c r="N1042" s="36">
        <f t="shared" si="164"/>
        <v>0</v>
      </c>
      <c r="O1042" s="22" cm="1">
        <f t="array" ref="O1042">MAX(IF((Tabla_Pagos[NRO DOC]=B1042)*(Tabla_Pagos[IMPORTE ABONADO]&gt;0),Tabla_Pagos[FECHA DE ABONO]))</f>
        <v>46129</v>
      </c>
    </row>
    <row r="1043" spans="2:15" ht="21" customHeight="1" x14ac:dyDescent="0.25">
      <c r="B1043" s="39">
        <v>1981</v>
      </c>
      <c r="C1043" s="20">
        <v>46132</v>
      </c>
      <c r="D1043" s="40" t="s">
        <v>789</v>
      </c>
      <c r="E1043" s="37" t="str">
        <f>IFERROR(VLOOKUP(D1043,CLIENTES!$B$12:$G$2602,2,FALSE),"")</f>
        <v>JOCELYN STYLIST SPA</v>
      </c>
      <c r="F1043" s="31">
        <v>321300</v>
      </c>
      <c r="G1043" s="41" t="s">
        <v>101</v>
      </c>
      <c r="H1043" s="26">
        <v>0</v>
      </c>
      <c r="I1043" s="21" t="str">
        <f t="shared" si="160"/>
        <v>Contado</v>
      </c>
      <c r="J1043" s="22">
        <f t="shared" si="161"/>
        <v>46132</v>
      </c>
      <c r="K1043" s="27">
        <f t="shared" ca="1" si="162"/>
        <v>0</v>
      </c>
      <c r="L1043" s="23" t="str">
        <f t="shared" si="163"/>
        <v>Pagado</v>
      </c>
      <c r="M1043" s="36">
        <f>SUMIFS(Tabla_Pagos[IMPORTE ABONADO],Tabla_Pagos[FECHA DE ABONO],"&gt;0",Tabla_Pagos[NRO DOC],B1043)</f>
        <v>321300</v>
      </c>
      <c r="N1043" s="36">
        <f t="shared" si="164"/>
        <v>0</v>
      </c>
      <c r="O1043" s="22" cm="1">
        <f t="array" ref="O1043">MAX(IF((Tabla_Pagos[NRO DOC]=B1043)*(Tabla_Pagos[IMPORTE ABONADO]&gt;0),Tabla_Pagos[FECHA DE ABONO]))</f>
        <v>46132</v>
      </c>
    </row>
    <row r="1044" spans="2:15" ht="21" customHeight="1" x14ac:dyDescent="0.25">
      <c r="B1044" s="39">
        <v>1982</v>
      </c>
      <c r="C1044" s="20">
        <v>46132</v>
      </c>
      <c r="D1044" s="40" t="s">
        <v>485</v>
      </c>
      <c r="E1044" s="37" t="str">
        <f>IFERROR(VLOOKUP(D1044,CLIENTES!$B$12:$G$2602,2,FALSE),"")</f>
        <v>SAN RAFAEL INGENIERIA Y  SERVICIOS LIMITADA</v>
      </c>
      <c r="F1044" s="31">
        <v>685440</v>
      </c>
      <c r="G1044" s="41" t="s">
        <v>101</v>
      </c>
      <c r="H1044" s="26">
        <v>30</v>
      </c>
      <c r="I1044" s="21" t="str">
        <f t="shared" si="160"/>
        <v>Crédito</v>
      </c>
      <c r="J1044" s="22">
        <f t="shared" si="161"/>
        <v>46162</v>
      </c>
      <c r="K1044" s="27">
        <f t="shared" ca="1" si="162"/>
        <v>0</v>
      </c>
      <c r="L1044" s="23" t="str">
        <f t="shared" si="163"/>
        <v>Pagado</v>
      </c>
      <c r="M1044" s="36">
        <f>SUMIFS(Tabla_Pagos[IMPORTE ABONADO],Tabla_Pagos[FECHA DE ABONO],"&gt;0",Tabla_Pagos[NRO DOC],B1044)</f>
        <v>685440</v>
      </c>
      <c r="N1044" s="36">
        <f t="shared" si="164"/>
        <v>0</v>
      </c>
      <c r="O1044" s="22" cm="1">
        <f t="array" ref="O1044">MAX(IF((Tabla_Pagos[NRO DOC]=B1044)*(Tabla_Pagos[IMPORTE ABONADO]&gt;0),Tabla_Pagos[FECHA DE ABONO]))</f>
        <v>46162</v>
      </c>
    </row>
    <row r="1045" spans="2:15" ht="21" customHeight="1" x14ac:dyDescent="0.25">
      <c r="B1045" s="39">
        <v>1984</v>
      </c>
      <c r="C1045" s="20">
        <v>46134</v>
      </c>
      <c r="D1045" s="40" t="s">
        <v>485</v>
      </c>
      <c r="E1045" s="37" t="str">
        <f>IFERROR(VLOOKUP(D1045,CLIENTES!$B$12:$G$2602,2,FALSE),"")</f>
        <v>SAN RAFAEL INGENIERIA Y  SERVICIOS LIMITADA</v>
      </c>
      <c r="F1045" s="31">
        <v>59500</v>
      </c>
      <c r="G1045" s="41" t="s">
        <v>101</v>
      </c>
      <c r="H1045" s="26">
        <v>30</v>
      </c>
      <c r="I1045" s="21" t="str">
        <f t="shared" si="160"/>
        <v>Crédito</v>
      </c>
      <c r="J1045" s="22">
        <f t="shared" si="161"/>
        <v>46164</v>
      </c>
      <c r="K1045" s="27">
        <f t="shared" ca="1" si="162"/>
        <v>0</v>
      </c>
      <c r="L1045" s="23" t="str">
        <f t="shared" si="163"/>
        <v>Pagado</v>
      </c>
      <c r="M1045" s="36">
        <f>SUMIFS(Tabla_Pagos[IMPORTE ABONADO],Tabla_Pagos[FECHA DE ABONO],"&gt;0",Tabla_Pagos[NRO DOC],B1045)</f>
        <v>59500</v>
      </c>
      <c r="N1045" s="36">
        <f t="shared" si="164"/>
        <v>0</v>
      </c>
      <c r="O1045" s="22" cm="1">
        <f t="array" ref="O1045">MAX(IF((Tabla_Pagos[NRO DOC]=B1045)*(Tabla_Pagos[IMPORTE ABONADO]&gt;0),Tabla_Pagos[FECHA DE ABONO]))</f>
        <v>46162</v>
      </c>
    </row>
    <row r="1046" spans="2:15" ht="21" customHeight="1" x14ac:dyDescent="0.25">
      <c r="B1046" s="39">
        <v>1985</v>
      </c>
      <c r="C1046" s="20">
        <v>46134</v>
      </c>
      <c r="D1046" s="40" t="s">
        <v>790</v>
      </c>
      <c r="E1046" s="37" t="str">
        <f>IFERROR(VLOOKUP(D1046,CLIENTES!$B$12:$G$2602,2,FALSE),"")</f>
        <v>PAOLA RUBINA PROPIEDADES SPA</v>
      </c>
      <c r="F1046" s="31">
        <v>1671950</v>
      </c>
      <c r="G1046" s="41" t="s">
        <v>101</v>
      </c>
      <c r="H1046" s="26">
        <v>0</v>
      </c>
      <c r="I1046" s="21" t="str">
        <f t="shared" si="160"/>
        <v>Contado</v>
      </c>
      <c r="J1046" s="22">
        <f t="shared" si="161"/>
        <v>46134</v>
      </c>
      <c r="K1046" s="27">
        <f t="shared" ca="1" si="162"/>
        <v>0</v>
      </c>
      <c r="L1046" s="23" t="str">
        <f t="shared" si="163"/>
        <v>Pagado</v>
      </c>
      <c r="M1046" s="36">
        <f>SUMIFS(Tabla_Pagos[IMPORTE ABONADO],Tabla_Pagos[FECHA DE ABONO],"&gt;0",Tabla_Pagos[NRO DOC],B1046)</f>
        <v>1671950</v>
      </c>
      <c r="N1046" s="36">
        <f t="shared" si="164"/>
        <v>0</v>
      </c>
      <c r="O1046" s="22" cm="1">
        <f t="array" ref="O1046">MAX(IF((Tabla_Pagos[NRO DOC]=B1046)*(Tabla_Pagos[IMPORTE ABONADO]&gt;0),Tabla_Pagos[FECHA DE ABONO]))</f>
        <v>46134</v>
      </c>
    </row>
    <row r="1047" spans="2:15" ht="21" customHeight="1" x14ac:dyDescent="0.25">
      <c r="B1047" s="39">
        <v>1986</v>
      </c>
      <c r="C1047" s="20">
        <v>46134</v>
      </c>
      <c r="D1047" s="40" t="s">
        <v>485</v>
      </c>
      <c r="E1047" s="37" t="str">
        <f>IFERROR(VLOOKUP(D1047,CLIENTES!$B$12:$G$2602,2,FALSE),"")</f>
        <v>SAN RAFAEL INGENIERIA Y  SERVICIOS LIMITADA</v>
      </c>
      <c r="F1047" s="31">
        <v>29750</v>
      </c>
      <c r="G1047" s="41" t="s">
        <v>101</v>
      </c>
      <c r="H1047" s="26">
        <v>30</v>
      </c>
      <c r="I1047" s="21" t="str">
        <f t="shared" si="160"/>
        <v>Crédito</v>
      </c>
      <c r="J1047" s="22">
        <f t="shared" si="161"/>
        <v>46164</v>
      </c>
      <c r="K1047" s="27">
        <f t="shared" ca="1" si="162"/>
        <v>0</v>
      </c>
      <c r="L1047" s="23" t="str">
        <f t="shared" si="163"/>
        <v>Pagado</v>
      </c>
      <c r="M1047" s="36">
        <f>SUMIFS(Tabla_Pagos[IMPORTE ABONADO],Tabla_Pagos[FECHA DE ABONO],"&gt;0",Tabla_Pagos[NRO DOC],B1047)</f>
        <v>29750</v>
      </c>
      <c r="N1047" s="36">
        <f t="shared" si="164"/>
        <v>0</v>
      </c>
      <c r="O1047" s="22" cm="1">
        <f t="array" ref="O1047">MAX(IF((Tabla_Pagos[NRO DOC]=B1047)*(Tabla_Pagos[IMPORTE ABONADO]&gt;0),Tabla_Pagos[FECHA DE ABONO]))</f>
        <v>46162</v>
      </c>
    </row>
    <row r="1048" spans="2:15" ht="21" customHeight="1" x14ac:dyDescent="0.25">
      <c r="B1048" s="39">
        <v>1987</v>
      </c>
      <c r="C1048" s="20">
        <v>46135</v>
      </c>
      <c r="D1048" s="40" t="s">
        <v>735</v>
      </c>
      <c r="E1048" s="37" t="str">
        <f>IFERROR(VLOOKUP(D1048,CLIENTES!$B$12:$G$2602,2,FALSE),"")</f>
        <v>FVP MINING  INDUSTRY SPA</v>
      </c>
      <c r="F1048" s="31">
        <v>787780</v>
      </c>
      <c r="G1048" s="41" t="s">
        <v>101</v>
      </c>
      <c r="H1048" s="26">
        <v>30</v>
      </c>
      <c r="I1048" s="21" t="str">
        <f t="shared" si="160"/>
        <v>Crédito</v>
      </c>
      <c r="J1048" s="22">
        <f t="shared" si="161"/>
        <v>46165</v>
      </c>
      <c r="K1048" s="27">
        <f t="shared" ca="1" si="162"/>
        <v>-13</v>
      </c>
      <c r="L1048" s="23" t="str">
        <f t="shared" ca="1" si="163"/>
        <v>Vencido</v>
      </c>
      <c r="M1048" s="36">
        <f>SUMIFS(Tabla_Pagos[IMPORTE ABONADO],Tabla_Pagos[FECHA DE ABONO],"&gt;0",Tabla_Pagos[NRO DOC],B1048)</f>
        <v>0</v>
      </c>
      <c r="N1048" s="36">
        <f t="shared" si="164"/>
        <v>787780</v>
      </c>
      <c r="O1048" s="22" cm="1">
        <f t="array" ref="O1048">MAX(IF((Tabla_Pagos[NRO DOC]=B1048)*(Tabla_Pagos[IMPORTE ABONADO]&gt;0),Tabla_Pagos[FECHA DE ABONO]))</f>
        <v>0</v>
      </c>
    </row>
    <row r="1049" spans="2:15" ht="21" customHeight="1" x14ac:dyDescent="0.25">
      <c r="B1049" s="39">
        <v>1988</v>
      </c>
      <c r="C1049" s="20">
        <v>46135</v>
      </c>
      <c r="D1049" s="40" t="s">
        <v>791</v>
      </c>
      <c r="E1049" s="37" t="str">
        <f>IFERROR(VLOOKUP(D1049,CLIENTES!$B$12:$G$2602,2,FALSE),"")</f>
        <v>INVERSIONES Y SERVICIOS ANAIS SPA</v>
      </c>
      <c r="F1049" s="31">
        <v>71400</v>
      </c>
      <c r="G1049" s="41" t="s">
        <v>101</v>
      </c>
      <c r="H1049" s="26">
        <v>0</v>
      </c>
      <c r="I1049" s="21" t="str">
        <f t="shared" si="160"/>
        <v>Contado</v>
      </c>
      <c r="J1049" s="22">
        <f t="shared" si="161"/>
        <v>46135</v>
      </c>
      <c r="K1049" s="27">
        <f t="shared" ca="1" si="162"/>
        <v>0</v>
      </c>
      <c r="L1049" s="23" t="str">
        <f t="shared" si="163"/>
        <v>Pagado</v>
      </c>
      <c r="M1049" s="36">
        <f>SUMIFS(Tabla_Pagos[IMPORTE ABONADO],Tabla_Pagos[FECHA DE ABONO],"&gt;0",Tabla_Pagos[NRO DOC],B1049)</f>
        <v>71400</v>
      </c>
      <c r="N1049" s="36">
        <f t="shared" si="164"/>
        <v>0</v>
      </c>
      <c r="O1049" s="22" cm="1">
        <f t="array" ref="O1049">MAX(IF((Tabla_Pagos[NRO DOC]=B1049)*(Tabla_Pagos[IMPORTE ABONADO]&gt;0),Tabla_Pagos[FECHA DE ABONO]))</f>
        <v>46135</v>
      </c>
    </row>
    <row r="1050" spans="2:15" ht="21" customHeight="1" x14ac:dyDescent="0.25">
      <c r="B1050" s="39">
        <v>1989</v>
      </c>
      <c r="C1050" s="20">
        <v>46135</v>
      </c>
      <c r="D1050" s="40" t="s">
        <v>792</v>
      </c>
      <c r="E1050" s="37" t="str">
        <f>IFERROR(VLOOKUP(D1050,CLIENTES!$B$12:$G$2602,2,FALSE),"")</f>
        <v>CONSTRUCTORA BOL SPA</v>
      </c>
      <c r="F1050" s="31">
        <v>717808</v>
      </c>
      <c r="G1050" s="41" t="s">
        <v>101</v>
      </c>
      <c r="H1050" s="26">
        <v>0</v>
      </c>
      <c r="I1050" s="21" t="str">
        <f t="shared" si="160"/>
        <v>Contado</v>
      </c>
      <c r="J1050" s="22">
        <f t="shared" si="161"/>
        <v>46135</v>
      </c>
      <c r="K1050" s="27">
        <f t="shared" ca="1" si="162"/>
        <v>0</v>
      </c>
      <c r="L1050" s="23" t="str">
        <f t="shared" si="163"/>
        <v>Pagado</v>
      </c>
      <c r="M1050" s="36">
        <f>SUMIFS(Tabla_Pagos[IMPORTE ABONADO],Tabla_Pagos[FECHA DE ABONO],"&gt;0",Tabla_Pagos[NRO DOC],B1050)</f>
        <v>717808</v>
      </c>
      <c r="N1050" s="36">
        <f t="shared" si="164"/>
        <v>0</v>
      </c>
      <c r="O1050" s="22" cm="1">
        <f t="array" ref="O1050">MAX(IF((Tabla_Pagos[NRO DOC]=B1050)*(Tabla_Pagos[IMPORTE ABONADO]&gt;0),Tabla_Pagos[FECHA DE ABONO]))</f>
        <v>46135</v>
      </c>
    </row>
    <row r="1051" spans="2:15" ht="21" customHeight="1" x14ac:dyDescent="0.25">
      <c r="B1051" s="39">
        <v>1990</v>
      </c>
      <c r="C1051" s="20">
        <v>46135</v>
      </c>
      <c r="D1051" s="40" t="s">
        <v>205</v>
      </c>
      <c r="E1051" s="37" t="str">
        <f>IFERROR(VLOOKUP(D1051,CLIENTES!$B$12:$G$2602,2,FALSE),"")</f>
        <v>CONSTRUCTORA DE PAVIMENTOS ASFALTICOS BITUMIX S.A</v>
      </c>
      <c r="F1051" s="31">
        <v>2832200</v>
      </c>
      <c r="G1051" s="41" t="s">
        <v>101</v>
      </c>
      <c r="H1051" s="26">
        <v>30</v>
      </c>
      <c r="I1051" s="21" t="str">
        <f t="shared" si="160"/>
        <v>Crédito</v>
      </c>
      <c r="J1051" s="22">
        <f t="shared" si="161"/>
        <v>46165</v>
      </c>
      <c r="K1051" s="27">
        <f t="shared" ca="1" si="162"/>
        <v>0</v>
      </c>
      <c r="L1051" s="23" t="str">
        <f t="shared" si="163"/>
        <v>Pagado</v>
      </c>
      <c r="M1051" s="36">
        <f>SUMIFS(Tabla_Pagos[IMPORTE ABONADO],Tabla_Pagos[FECHA DE ABONO],"&gt;0",Tabla_Pagos[NRO DOC],B1051)</f>
        <v>2832200</v>
      </c>
      <c r="N1051" s="36">
        <f t="shared" si="164"/>
        <v>0</v>
      </c>
      <c r="O1051" s="22" cm="1">
        <f t="array" ref="O1051">MAX(IF((Tabla_Pagos[NRO DOC]=B1051)*(Tabla_Pagos[IMPORTE ABONADO]&gt;0),Tabla_Pagos[FECHA DE ABONO]))</f>
        <v>46170</v>
      </c>
    </row>
    <row r="1052" spans="2:15" ht="21" customHeight="1" x14ac:dyDescent="0.25">
      <c r="B1052" s="39">
        <v>1991</v>
      </c>
      <c r="C1052" s="20">
        <v>46135</v>
      </c>
      <c r="D1052" s="40" t="s">
        <v>254</v>
      </c>
      <c r="E1052" s="37" t="str">
        <f>IFERROR(VLOOKUP(D1052,CLIENTES!$B$12:$G$2602,2,FALSE),"")</f>
        <v>KRADE SPA</v>
      </c>
      <c r="F1052" s="31">
        <v>724710</v>
      </c>
      <c r="G1052" s="41" t="s">
        <v>101</v>
      </c>
      <c r="H1052" s="26">
        <v>30</v>
      </c>
      <c r="I1052" s="21" t="str">
        <f t="shared" si="160"/>
        <v>Crédito</v>
      </c>
      <c r="J1052" s="22">
        <f t="shared" si="161"/>
        <v>46165</v>
      </c>
      <c r="K1052" s="27">
        <f t="shared" ca="1" si="162"/>
        <v>-13</v>
      </c>
      <c r="L1052" s="23" t="str">
        <f t="shared" ca="1" si="163"/>
        <v>Vencido</v>
      </c>
      <c r="M1052" s="36">
        <f>SUMIFS(Tabla_Pagos[IMPORTE ABONADO],Tabla_Pagos[FECHA DE ABONO],"&gt;0",Tabla_Pagos[NRO DOC],B1052)</f>
        <v>0</v>
      </c>
      <c r="N1052" s="36">
        <f t="shared" si="164"/>
        <v>724710</v>
      </c>
      <c r="O1052" s="22" cm="1">
        <f t="array" ref="O1052">MAX(IF((Tabla_Pagos[NRO DOC]=B1052)*(Tabla_Pagos[IMPORTE ABONADO]&gt;0),Tabla_Pagos[FECHA DE ABONO]))</f>
        <v>0</v>
      </c>
    </row>
    <row r="1053" spans="2:15" ht="21" customHeight="1" x14ac:dyDescent="0.25">
      <c r="B1053" s="39">
        <v>1992</v>
      </c>
      <c r="C1053" s="20">
        <v>46136</v>
      </c>
      <c r="D1053" s="40" t="s">
        <v>799</v>
      </c>
      <c r="E1053" s="37" t="str">
        <f>IFERROR(VLOOKUP(D1053,CLIENTES!$B$12:$G$2602,2,FALSE),"")</f>
        <v>COMERCIAL PIETRAMONTE SPA</v>
      </c>
      <c r="F1053" s="31">
        <v>297500</v>
      </c>
      <c r="G1053" s="41" t="s">
        <v>101</v>
      </c>
      <c r="H1053" s="26">
        <v>0</v>
      </c>
      <c r="I1053" s="21" t="str">
        <f>IF(H1053="","",IF(H1053=0,"Contado","Crédito"))</f>
        <v>Contado</v>
      </c>
      <c r="J1053" s="22">
        <f>IF(I1053="","",C1053+H1053)</f>
        <v>46136</v>
      </c>
      <c r="K1053" s="27">
        <f ca="1">IFERROR(IF(B1053="","",IF(N1053=0,0,J1053-TODAY())),"")</f>
        <v>-42</v>
      </c>
      <c r="L1053" s="23" t="str">
        <f ca="1">IF(I1053="","",IF(N1053=0,"Pagado",IF(K1053&lt;0,"Vencido","No vencido")))</f>
        <v>Vencido</v>
      </c>
      <c r="M1053" s="36">
        <f>SUMIFS(Tabla_Pagos[IMPORTE ABONADO],Tabla_Pagos[FECHA DE ABONO],"&gt;0",Tabla_Pagos[NRO DOC],B1053)</f>
        <v>0</v>
      </c>
      <c r="N1053" s="36">
        <f>F1053-M1053</f>
        <v>297500</v>
      </c>
      <c r="O1053" s="22" cm="1">
        <f t="array" ref="O1053">MAX(IF((Tabla_Pagos[NRO DOC]=B1053)*(Tabla_Pagos[IMPORTE ABONADO]&gt;0),Tabla_Pagos[FECHA DE ABONO]))</f>
        <v>0</v>
      </c>
    </row>
    <row r="1054" spans="2:15" ht="21" customHeight="1" x14ac:dyDescent="0.25">
      <c r="B1054" s="39">
        <v>1993</v>
      </c>
      <c r="C1054" s="20">
        <v>46136</v>
      </c>
      <c r="D1054" s="40" t="s">
        <v>401</v>
      </c>
      <c r="E1054" s="37" t="str">
        <f>IFERROR(VLOOKUP(D1054,CLIENTES!$B$12:$G$2602,2,FALSE),"")</f>
        <v>INVERSIONES SANTA LUISA LIMITADA</v>
      </c>
      <c r="F1054" s="31">
        <v>35700</v>
      </c>
      <c r="G1054" s="41" t="s">
        <v>101</v>
      </c>
      <c r="H1054" s="26">
        <v>0</v>
      </c>
      <c r="I1054" s="21" t="str">
        <f t="shared" ref="I1054:I1065" si="165">IF(H1054="","",IF(H1054=0,"Contado","Crédito"))</f>
        <v>Contado</v>
      </c>
      <c r="J1054" s="22">
        <f t="shared" ref="J1054:J1065" si="166">IF(I1054="","",C1054+H1054)</f>
        <v>46136</v>
      </c>
      <c r="K1054" s="27">
        <f t="shared" ref="K1054:K1065" ca="1" si="167">IFERROR(IF(B1054="","",IF(N1054=0,0,J1054-TODAY())),"")</f>
        <v>-42</v>
      </c>
      <c r="L1054" s="23" t="str">
        <f t="shared" ref="L1054:L1065" ca="1" si="168">IF(I1054="","",IF(N1054=0,"Pagado",IF(K1054&lt;0,"Vencido","No vencido")))</f>
        <v>Vencido</v>
      </c>
      <c r="M1054" s="36">
        <f>SUMIFS(Tabla_Pagos[IMPORTE ABONADO],Tabla_Pagos[FECHA DE ABONO],"&gt;0",Tabla_Pagos[NRO DOC],B1054)</f>
        <v>0</v>
      </c>
      <c r="N1054" s="36">
        <f t="shared" ref="N1054:N1065" si="169">F1054-M1054</f>
        <v>35700</v>
      </c>
      <c r="O1054" s="22" cm="1">
        <f t="array" ref="O1054">MAX(IF((Tabla_Pagos[NRO DOC]=B1054)*(Tabla_Pagos[IMPORTE ABONADO]&gt;0),Tabla_Pagos[FECHA DE ABONO]))</f>
        <v>0</v>
      </c>
    </row>
    <row r="1055" spans="2:15" ht="21" customHeight="1" x14ac:dyDescent="0.25">
      <c r="B1055" s="39">
        <v>1994</v>
      </c>
      <c r="C1055" s="20">
        <v>46136</v>
      </c>
      <c r="D1055" s="40" t="s">
        <v>800</v>
      </c>
      <c r="E1055" s="37" t="str">
        <f>IFERROR(VLOOKUP(D1055,CLIENTES!$B$12:$G$2602,2,FALSE),"")</f>
        <v>RAUL ERNESTO STUCKRATH BARRIA</v>
      </c>
      <c r="F1055" s="31">
        <v>59262</v>
      </c>
      <c r="G1055" s="41" t="s">
        <v>101</v>
      </c>
      <c r="H1055" s="26">
        <v>0</v>
      </c>
      <c r="I1055" s="21" t="str">
        <f t="shared" si="165"/>
        <v>Contado</v>
      </c>
      <c r="J1055" s="22">
        <f t="shared" si="166"/>
        <v>46136</v>
      </c>
      <c r="K1055" s="27">
        <f t="shared" ca="1" si="167"/>
        <v>-42</v>
      </c>
      <c r="L1055" s="23" t="str">
        <f t="shared" ca="1" si="168"/>
        <v>Vencido</v>
      </c>
      <c r="M1055" s="36">
        <f>SUMIFS(Tabla_Pagos[IMPORTE ABONADO],Tabla_Pagos[FECHA DE ABONO],"&gt;0",Tabla_Pagos[NRO DOC],B1055)</f>
        <v>0</v>
      </c>
      <c r="N1055" s="36">
        <f t="shared" si="169"/>
        <v>59262</v>
      </c>
      <c r="O1055" s="22" cm="1">
        <f t="array" ref="O1055">MAX(IF((Tabla_Pagos[NRO DOC]=B1055)*(Tabla_Pagos[IMPORTE ABONADO]&gt;0),Tabla_Pagos[FECHA DE ABONO]))</f>
        <v>0</v>
      </c>
    </row>
    <row r="1056" spans="2:15" ht="21" customHeight="1" x14ac:dyDescent="0.25">
      <c r="B1056" s="39">
        <v>1995</v>
      </c>
      <c r="C1056" s="20">
        <v>46136</v>
      </c>
      <c r="D1056" s="40" t="s">
        <v>800</v>
      </c>
      <c r="E1056" s="37" t="str">
        <f>IFERROR(VLOOKUP(D1056,CLIENTES!$B$12:$G$2602,2,FALSE),"")</f>
        <v>RAUL ERNESTO STUCKRATH BARRIA</v>
      </c>
      <c r="F1056" s="31">
        <v>59262</v>
      </c>
      <c r="G1056" s="41" t="s">
        <v>101</v>
      </c>
      <c r="H1056" s="26">
        <v>0</v>
      </c>
      <c r="I1056" s="21" t="str">
        <f t="shared" si="165"/>
        <v>Contado</v>
      </c>
      <c r="J1056" s="22">
        <f t="shared" si="166"/>
        <v>46136</v>
      </c>
      <c r="K1056" s="27">
        <f t="shared" ca="1" si="167"/>
        <v>-42</v>
      </c>
      <c r="L1056" s="23" t="str">
        <f t="shared" ca="1" si="168"/>
        <v>Vencido</v>
      </c>
      <c r="M1056" s="36">
        <f>SUMIFS(Tabla_Pagos[IMPORTE ABONADO],Tabla_Pagos[FECHA DE ABONO],"&gt;0",Tabla_Pagos[NRO DOC],B1056)</f>
        <v>0</v>
      </c>
      <c r="N1056" s="36">
        <f t="shared" si="169"/>
        <v>59262</v>
      </c>
      <c r="O1056" s="22" cm="1">
        <f t="array" ref="O1056">MAX(IF((Tabla_Pagos[NRO DOC]=B1056)*(Tabla_Pagos[IMPORTE ABONADO]&gt;0),Tabla_Pagos[FECHA DE ABONO]))</f>
        <v>0</v>
      </c>
    </row>
    <row r="1057" spans="2:15" ht="21" customHeight="1" x14ac:dyDescent="0.25">
      <c r="B1057" s="39">
        <v>1996</v>
      </c>
      <c r="C1057" s="20">
        <v>46136</v>
      </c>
      <c r="D1057" s="40" t="s">
        <v>194</v>
      </c>
      <c r="E1057" s="37" t="str">
        <f>IFERROR(VLOOKUP(D1057,CLIENTES!$B$12:$G$2602,2,FALSE),"")</f>
        <v>PRESTACION DE SERVICIOS MEDICOS JOSE LUIS GUERRA DIAZ E.I.R.L.</v>
      </c>
      <c r="F1057" s="31">
        <v>97580</v>
      </c>
      <c r="G1057" s="41" t="s">
        <v>101</v>
      </c>
      <c r="H1057" s="26">
        <v>0</v>
      </c>
      <c r="I1057" s="21" t="str">
        <f t="shared" si="165"/>
        <v>Contado</v>
      </c>
      <c r="J1057" s="22">
        <f t="shared" si="166"/>
        <v>46136</v>
      </c>
      <c r="K1057" s="27">
        <f t="shared" ca="1" si="167"/>
        <v>-42</v>
      </c>
      <c r="L1057" s="23" t="str">
        <f t="shared" ca="1" si="168"/>
        <v>Vencido</v>
      </c>
      <c r="M1057" s="36">
        <f>SUMIFS(Tabla_Pagos[IMPORTE ABONADO],Tabla_Pagos[FECHA DE ABONO],"&gt;0",Tabla_Pagos[NRO DOC],B1057)</f>
        <v>0</v>
      </c>
      <c r="N1057" s="36">
        <f t="shared" si="169"/>
        <v>97580</v>
      </c>
      <c r="O1057" s="22" cm="1">
        <f t="array" ref="O1057">MAX(IF((Tabla_Pagos[NRO DOC]=B1057)*(Tabla_Pagos[IMPORTE ABONADO]&gt;0),Tabla_Pagos[FECHA DE ABONO]))</f>
        <v>0</v>
      </c>
    </row>
    <row r="1058" spans="2:15" ht="21" customHeight="1" x14ac:dyDescent="0.25">
      <c r="B1058" s="39">
        <v>1997</v>
      </c>
      <c r="C1058" s="20">
        <v>46136</v>
      </c>
      <c r="D1058" s="40" t="s">
        <v>622</v>
      </c>
      <c r="E1058" s="37" t="str">
        <f>IFERROR(VLOOKUP(D1058,CLIENTES!$B$12:$G$2602,2,FALSE),"")</f>
        <v>RESITER S.A.</v>
      </c>
      <c r="F1058" s="31">
        <v>142800</v>
      </c>
      <c r="G1058" s="41" t="s">
        <v>101</v>
      </c>
      <c r="H1058" s="26">
        <v>0</v>
      </c>
      <c r="I1058" s="21" t="str">
        <f t="shared" si="165"/>
        <v>Contado</v>
      </c>
      <c r="J1058" s="22">
        <f t="shared" si="166"/>
        <v>46136</v>
      </c>
      <c r="K1058" s="27">
        <f t="shared" ca="1" si="167"/>
        <v>-42</v>
      </c>
      <c r="L1058" s="23" t="str">
        <f t="shared" ca="1" si="168"/>
        <v>Vencido</v>
      </c>
      <c r="M1058" s="36">
        <f>SUMIFS(Tabla_Pagos[IMPORTE ABONADO],Tabla_Pagos[FECHA DE ABONO],"&gt;0",Tabla_Pagos[NRO DOC],B1058)</f>
        <v>0</v>
      </c>
      <c r="N1058" s="36">
        <f t="shared" si="169"/>
        <v>142800</v>
      </c>
      <c r="O1058" s="22" cm="1">
        <f t="array" ref="O1058">MAX(IF((Tabla_Pagos[NRO DOC]=B1058)*(Tabla_Pagos[IMPORTE ABONADO]&gt;0),Tabla_Pagos[FECHA DE ABONO]))</f>
        <v>0</v>
      </c>
    </row>
    <row r="1059" spans="2:15" ht="21" customHeight="1" x14ac:dyDescent="0.25">
      <c r="B1059" s="39">
        <v>1999</v>
      </c>
      <c r="C1059" s="20">
        <v>46137</v>
      </c>
      <c r="D1059" s="40" t="s">
        <v>801</v>
      </c>
      <c r="E1059" s="37" t="str">
        <f>IFERROR(VLOOKUP(D1059,CLIENTES!$B$12:$G$2602,2,FALSE),"")</f>
        <v>NOVACLEAN SPA</v>
      </c>
      <c r="F1059" s="31">
        <v>226100</v>
      </c>
      <c r="G1059" s="41" t="s">
        <v>101</v>
      </c>
      <c r="H1059" s="26">
        <v>0</v>
      </c>
      <c r="I1059" s="21" t="str">
        <f t="shared" si="165"/>
        <v>Contado</v>
      </c>
      <c r="J1059" s="22">
        <f t="shared" si="166"/>
        <v>46137</v>
      </c>
      <c r="K1059" s="27">
        <f t="shared" ca="1" si="167"/>
        <v>-41</v>
      </c>
      <c r="L1059" s="23" t="str">
        <f t="shared" ca="1" si="168"/>
        <v>Vencido</v>
      </c>
      <c r="M1059" s="36">
        <f>SUMIFS(Tabla_Pagos[IMPORTE ABONADO],Tabla_Pagos[FECHA DE ABONO],"&gt;0",Tabla_Pagos[NRO DOC],B1059)</f>
        <v>0</v>
      </c>
      <c r="N1059" s="36">
        <f t="shared" si="169"/>
        <v>226100</v>
      </c>
      <c r="O1059" s="22" cm="1">
        <f t="array" ref="O1059">MAX(IF((Tabla_Pagos[NRO DOC]=B1059)*(Tabla_Pagos[IMPORTE ABONADO]&gt;0),Tabla_Pagos[FECHA DE ABONO]))</f>
        <v>0</v>
      </c>
    </row>
    <row r="1060" spans="2:15" ht="21" customHeight="1" x14ac:dyDescent="0.25">
      <c r="B1060" s="39">
        <v>2000</v>
      </c>
      <c r="C1060" s="20">
        <v>46139</v>
      </c>
      <c r="D1060" s="40" t="s">
        <v>199</v>
      </c>
      <c r="E1060" s="37" t="str">
        <f>IFERROR(VLOOKUP(D1060,CLIENTES!$B$12:$G$2602,2,FALSE),"")</f>
        <v>SOCIEDAD DE INVERSIONES E INMOBILIARIA ASEGEN PROPIEDADES LIMITADA</v>
      </c>
      <c r="F1060" s="31">
        <v>1580000</v>
      </c>
      <c r="G1060" s="41" t="s">
        <v>101</v>
      </c>
      <c r="H1060" s="26">
        <v>0</v>
      </c>
      <c r="I1060" s="21" t="str">
        <f t="shared" si="165"/>
        <v>Contado</v>
      </c>
      <c r="J1060" s="22">
        <f t="shared" si="166"/>
        <v>46139</v>
      </c>
      <c r="K1060" s="27">
        <f t="shared" ca="1" si="167"/>
        <v>-39</v>
      </c>
      <c r="L1060" s="23" t="str">
        <f t="shared" ca="1" si="168"/>
        <v>Vencido</v>
      </c>
      <c r="M1060" s="36">
        <f>SUMIFS(Tabla_Pagos[IMPORTE ABONADO],Tabla_Pagos[FECHA DE ABONO],"&gt;0",Tabla_Pagos[NRO DOC],B1060)</f>
        <v>0</v>
      </c>
      <c r="N1060" s="36">
        <f t="shared" si="169"/>
        <v>1580000</v>
      </c>
      <c r="O1060" s="22" cm="1">
        <f t="array" ref="O1060">MAX(IF((Tabla_Pagos[NRO DOC]=B1060)*(Tabla_Pagos[IMPORTE ABONADO]&gt;0),Tabla_Pagos[FECHA DE ABONO]))</f>
        <v>0</v>
      </c>
    </row>
    <row r="1061" spans="2:15" ht="21" customHeight="1" x14ac:dyDescent="0.25">
      <c r="B1061" s="39">
        <v>2001</v>
      </c>
      <c r="C1061" s="20">
        <v>46139</v>
      </c>
      <c r="D1061" s="40" t="s">
        <v>626</v>
      </c>
      <c r="E1061" s="37" t="str">
        <f>IFERROR(VLOOKUP(D1061,CLIENTES!$B$12:$G$2602,2,FALSE),"")</f>
        <v>GREEN PEST CONTROL SPA</v>
      </c>
      <c r="F1061" s="31">
        <v>142800</v>
      </c>
      <c r="G1061" s="41" t="s">
        <v>101</v>
      </c>
      <c r="H1061" s="26">
        <v>0</v>
      </c>
      <c r="I1061" s="21" t="str">
        <f t="shared" si="165"/>
        <v>Contado</v>
      </c>
      <c r="J1061" s="22">
        <f t="shared" si="166"/>
        <v>46139</v>
      </c>
      <c r="K1061" s="27">
        <f t="shared" ca="1" si="167"/>
        <v>-39</v>
      </c>
      <c r="L1061" s="23" t="str">
        <f t="shared" ca="1" si="168"/>
        <v>Vencido</v>
      </c>
      <c r="M1061" s="36">
        <f>SUMIFS(Tabla_Pagos[IMPORTE ABONADO],Tabla_Pagos[FECHA DE ABONO],"&gt;0",Tabla_Pagos[NRO DOC],B1061)</f>
        <v>0</v>
      </c>
      <c r="N1061" s="36">
        <f t="shared" si="169"/>
        <v>142800</v>
      </c>
      <c r="O1061" s="22" cm="1">
        <f t="array" ref="O1061">MAX(IF((Tabla_Pagos[NRO DOC]=B1061)*(Tabla_Pagos[IMPORTE ABONADO]&gt;0),Tabla_Pagos[FECHA DE ABONO]))</f>
        <v>0</v>
      </c>
    </row>
    <row r="1062" spans="2:15" ht="21" customHeight="1" x14ac:dyDescent="0.25">
      <c r="B1062" s="39">
        <v>2002</v>
      </c>
      <c r="C1062" s="20">
        <v>46140</v>
      </c>
      <c r="D1062" s="40" t="s">
        <v>485</v>
      </c>
      <c r="E1062" s="37" t="str">
        <f>IFERROR(VLOOKUP(D1062,CLIENTES!$B$12:$G$2602,2,FALSE),"")</f>
        <v>SAN RAFAEL INGENIERIA Y  SERVICIOS LIMITADA</v>
      </c>
      <c r="F1062" s="31">
        <v>30940</v>
      </c>
      <c r="G1062" s="41" t="s">
        <v>101</v>
      </c>
      <c r="H1062" s="26">
        <v>30</v>
      </c>
      <c r="I1062" s="21" t="str">
        <f t="shared" si="165"/>
        <v>Crédito</v>
      </c>
      <c r="J1062" s="22">
        <f t="shared" si="166"/>
        <v>46170</v>
      </c>
      <c r="K1062" s="27">
        <f t="shared" ca="1" si="167"/>
        <v>0</v>
      </c>
      <c r="L1062" s="23" t="str">
        <f t="shared" si="168"/>
        <v>Pagado</v>
      </c>
      <c r="M1062" s="36">
        <f>SUMIFS(Tabla_Pagos[IMPORTE ABONADO],Tabla_Pagos[FECHA DE ABONO],"&gt;0",Tabla_Pagos[NRO DOC],B1062)</f>
        <v>30940</v>
      </c>
      <c r="N1062" s="36">
        <f t="shared" si="169"/>
        <v>0</v>
      </c>
      <c r="O1062" s="22" cm="1">
        <f t="array" ref="O1062">MAX(IF((Tabla_Pagos[NRO DOC]=B1062)*(Tabla_Pagos[IMPORTE ABONADO]&gt;0),Tabla_Pagos[FECHA DE ABONO]))</f>
        <v>46170</v>
      </c>
    </row>
    <row r="1063" spans="2:15" ht="21" customHeight="1" x14ac:dyDescent="0.25">
      <c r="B1063" s="39">
        <v>2003</v>
      </c>
      <c r="C1063" s="20">
        <v>46142</v>
      </c>
      <c r="D1063" s="40" t="s">
        <v>802</v>
      </c>
      <c r="E1063" s="37" t="str">
        <f>IFERROR(VLOOKUP(D1063,CLIENTES!$B$12:$G$2602,2,FALSE),"")</f>
        <v>COMERCIAL VAS LIMITADA</v>
      </c>
      <c r="F1063" s="31">
        <v>280000</v>
      </c>
      <c r="G1063" s="41" t="s">
        <v>101</v>
      </c>
      <c r="H1063" s="26">
        <v>0</v>
      </c>
      <c r="I1063" s="21" t="str">
        <f t="shared" si="165"/>
        <v>Contado</v>
      </c>
      <c r="J1063" s="22">
        <f t="shared" si="166"/>
        <v>46142</v>
      </c>
      <c r="K1063" s="27">
        <f t="shared" ca="1" si="167"/>
        <v>-36</v>
      </c>
      <c r="L1063" s="23" t="str">
        <f t="shared" ca="1" si="168"/>
        <v>Vencido</v>
      </c>
      <c r="M1063" s="36">
        <f>SUMIFS(Tabla_Pagos[IMPORTE ABONADO],Tabla_Pagos[FECHA DE ABONO],"&gt;0",Tabla_Pagos[NRO DOC],B1063)</f>
        <v>0</v>
      </c>
      <c r="N1063" s="36">
        <f t="shared" si="169"/>
        <v>280000</v>
      </c>
      <c r="O1063" s="22" cm="1">
        <f t="array" ref="O1063">MAX(IF((Tabla_Pagos[NRO DOC]=B1063)*(Tabla_Pagos[IMPORTE ABONADO]&gt;0),Tabla_Pagos[FECHA DE ABONO]))</f>
        <v>0</v>
      </c>
    </row>
    <row r="1064" spans="2:15" ht="21" customHeight="1" x14ac:dyDescent="0.25">
      <c r="B1064" s="39">
        <v>2004</v>
      </c>
      <c r="C1064" s="20">
        <v>46142</v>
      </c>
      <c r="D1064" s="40" t="s">
        <v>803</v>
      </c>
      <c r="E1064" s="37" t="str">
        <f>IFERROR(VLOOKUP(D1064,CLIENTES!$B$12:$G$2602,2,FALSE),"")</f>
        <v>PROSSAN SPA</v>
      </c>
      <c r="F1064" s="31">
        <v>71400</v>
      </c>
      <c r="G1064" s="41" t="s">
        <v>101</v>
      </c>
      <c r="H1064" s="26">
        <v>0</v>
      </c>
      <c r="I1064" s="21" t="str">
        <f t="shared" si="165"/>
        <v>Contado</v>
      </c>
      <c r="J1064" s="22">
        <f t="shared" si="166"/>
        <v>46142</v>
      </c>
      <c r="K1064" s="27">
        <f t="shared" ca="1" si="167"/>
        <v>-36</v>
      </c>
      <c r="L1064" s="23" t="str">
        <f t="shared" ca="1" si="168"/>
        <v>Vencido</v>
      </c>
      <c r="M1064" s="36">
        <f>SUMIFS(Tabla_Pagos[IMPORTE ABONADO],Tabla_Pagos[FECHA DE ABONO],"&gt;0",Tabla_Pagos[NRO DOC],B1064)</f>
        <v>0</v>
      </c>
      <c r="N1064" s="36">
        <f t="shared" si="169"/>
        <v>71400</v>
      </c>
      <c r="O1064" s="22" cm="1">
        <f t="array" ref="O1064">MAX(IF((Tabla_Pagos[NRO DOC]=B1064)*(Tabla_Pagos[IMPORTE ABONADO]&gt;0),Tabla_Pagos[FECHA DE ABONO]))</f>
        <v>0</v>
      </c>
    </row>
    <row r="1065" spans="2:15" ht="21" customHeight="1" x14ac:dyDescent="0.25">
      <c r="B1065" s="39">
        <v>2005</v>
      </c>
      <c r="C1065" s="20">
        <v>46142</v>
      </c>
      <c r="D1065" s="40" t="s">
        <v>240</v>
      </c>
      <c r="E1065" s="37" t="str">
        <f>IFERROR(VLOOKUP(D1065,CLIENTES!$B$12:$G$2602,2,FALSE),"")</f>
        <v>SOCIEDAD DE INVERSIONES SAN ALONSO SPA</v>
      </c>
      <c r="F1065" s="31">
        <v>416500</v>
      </c>
      <c r="G1065" s="41" t="s">
        <v>101</v>
      </c>
      <c r="H1065" s="26">
        <v>0</v>
      </c>
      <c r="I1065" s="21" t="str">
        <f t="shared" si="165"/>
        <v>Contado</v>
      </c>
      <c r="J1065" s="22">
        <f t="shared" si="166"/>
        <v>46142</v>
      </c>
      <c r="K1065" s="27">
        <f t="shared" ca="1" si="167"/>
        <v>-36</v>
      </c>
      <c r="L1065" s="23" t="str">
        <f t="shared" ca="1" si="168"/>
        <v>Vencido</v>
      </c>
      <c r="M1065" s="36">
        <f>SUMIFS(Tabla_Pagos[IMPORTE ABONADO],Tabla_Pagos[FECHA DE ABONO],"&gt;0",Tabla_Pagos[NRO DOC],B1065)</f>
        <v>0</v>
      </c>
      <c r="N1065" s="36">
        <f t="shared" si="169"/>
        <v>416500</v>
      </c>
      <c r="O1065" s="22" cm="1">
        <f t="array" ref="O1065">MAX(IF((Tabla_Pagos[NRO DOC]=B1065)*(Tabla_Pagos[IMPORTE ABONADO]&gt;0),Tabla_Pagos[FECHA DE ABONO]))</f>
        <v>0</v>
      </c>
    </row>
    <row r="1066" spans="2:15" ht="21" customHeight="1" x14ac:dyDescent="0.25">
      <c r="B1066" s="39">
        <v>2006</v>
      </c>
      <c r="C1066" s="20">
        <v>46146</v>
      </c>
      <c r="D1066" s="40" t="s">
        <v>106</v>
      </c>
      <c r="E1066" s="37" t="str">
        <f>IFERROR(VLOOKUP(D1066,CLIENTES!$B$12:$G$2602,2,FALSE),"")</f>
        <v>COMERCIAL SERPAN SPA</v>
      </c>
      <c r="F1066" s="31">
        <v>94010</v>
      </c>
      <c r="G1066" s="41" t="s">
        <v>101</v>
      </c>
      <c r="H1066" s="26">
        <v>30</v>
      </c>
      <c r="I1066" s="21" t="str">
        <f>IF(H1066="","",IF(H1066=0,"Contado","Crédito"))</f>
        <v>Crédito</v>
      </c>
      <c r="J1066" s="22">
        <f>IF(I1066="","",C1066+H1066)</f>
        <v>46176</v>
      </c>
      <c r="K1066" s="27">
        <f ca="1">IFERROR(IF(B1066="","",IF(N1066=0,0,J1066-TODAY())),"")</f>
        <v>-2</v>
      </c>
      <c r="L1066" s="23" t="str">
        <f ca="1">IF(I1066="","",IF(N1066=0,"Pagado",IF(K1066&lt;0,"Vencido","No vencido")))</f>
        <v>Vencido</v>
      </c>
      <c r="M1066" s="36">
        <f>SUMIFS(Tabla_Pagos[IMPORTE ABONADO],Tabla_Pagos[FECHA DE ABONO],"&gt;0",Tabla_Pagos[NRO DOC],B1066)</f>
        <v>0</v>
      </c>
      <c r="N1066" s="36">
        <f>F1066-M1066</f>
        <v>94010</v>
      </c>
      <c r="O1066" s="22" cm="1">
        <f t="array" ref="O1066">MAX(IF((Tabla_Pagos[NRO DOC]=B1066)*(Tabla_Pagos[IMPORTE ABONADO]&gt;0),Tabla_Pagos[FECHA DE ABONO]))</f>
        <v>0</v>
      </c>
    </row>
    <row r="1067" spans="2:15" ht="21" customHeight="1" x14ac:dyDescent="0.25">
      <c r="B1067" s="39">
        <v>2007</v>
      </c>
      <c r="C1067" s="20">
        <v>46146</v>
      </c>
      <c r="D1067" s="40" t="s">
        <v>809</v>
      </c>
      <c r="E1067" s="37" t="str">
        <f>IFERROR(VLOOKUP(D1067,CLIENTES!$B$12:$G$2602,2,FALSE),"")</f>
        <v>COMERCIAL INVERCAN LIMITADA</v>
      </c>
      <c r="F1067" s="31">
        <v>53550</v>
      </c>
      <c r="G1067" s="41" t="s">
        <v>101</v>
      </c>
      <c r="H1067" s="26">
        <v>0</v>
      </c>
      <c r="I1067" s="21" t="str">
        <f t="shared" ref="I1067:I1108" si="170">IF(H1067="","",IF(H1067=0,"Contado","Crédito"))</f>
        <v>Contado</v>
      </c>
      <c r="J1067" s="22">
        <f t="shared" ref="J1067:J1108" si="171">IF(I1067="","",C1067+H1067)</f>
        <v>46146</v>
      </c>
      <c r="K1067" s="27">
        <f t="shared" ref="K1067:K1108" ca="1" si="172">IFERROR(IF(B1067="","",IF(N1067=0,0,J1067-TODAY())),"")</f>
        <v>-32</v>
      </c>
      <c r="L1067" s="23" t="str">
        <f t="shared" ref="L1067:L1108" ca="1" si="173">IF(I1067="","",IF(N1067=0,"Pagado",IF(K1067&lt;0,"Vencido","No vencido")))</f>
        <v>Vencido</v>
      </c>
      <c r="M1067" s="36">
        <f>SUMIFS(Tabla_Pagos[IMPORTE ABONADO],Tabla_Pagos[FECHA DE ABONO],"&gt;0",Tabla_Pagos[NRO DOC],B1067)</f>
        <v>0</v>
      </c>
      <c r="N1067" s="36">
        <f t="shared" ref="N1067:N1108" si="174">F1067-M1067</f>
        <v>53550</v>
      </c>
      <c r="O1067" s="22" cm="1">
        <f t="array" ref="O1067">MAX(IF((Tabla_Pagos[NRO DOC]=B1067)*(Tabla_Pagos[IMPORTE ABONADO]&gt;0),Tabla_Pagos[FECHA DE ABONO]))</f>
        <v>0</v>
      </c>
    </row>
    <row r="1068" spans="2:15" ht="21" customHeight="1" x14ac:dyDescent="0.25">
      <c r="B1068" s="39">
        <v>2008</v>
      </c>
      <c r="C1068" s="20">
        <v>46146</v>
      </c>
      <c r="D1068" s="40" t="s">
        <v>810</v>
      </c>
      <c r="E1068" s="37" t="str">
        <f>IFERROR(VLOOKUP(D1068,CLIENTES!$B$12:$G$2602,2,FALSE),"")</f>
        <v>CÃ“RDOVA INGENIERÃA SPA</v>
      </c>
      <c r="F1068" s="31">
        <v>238000</v>
      </c>
      <c r="G1068" s="41" t="s">
        <v>101</v>
      </c>
      <c r="H1068" s="26">
        <v>0</v>
      </c>
      <c r="I1068" s="21" t="str">
        <f t="shared" si="170"/>
        <v>Contado</v>
      </c>
      <c r="J1068" s="22">
        <f t="shared" si="171"/>
        <v>46146</v>
      </c>
      <c r="K1068" s="27">
        <f t="shared" ca="1" si="172"/>
        <v>-32</v>
      </c>
      <c r="L1068" s="23" t="str">
        <f t="shared" ca="1" si="173"/>
        <v>Vencido</v>
      </c>
      <c r="M1068" s="36">
        <f>SUMIFS(Tabla_Pagos[IMPORTE ABONADO],Tabla_Pagos[FECHA DE ABONO],"&gt;0",Tabla_Pagos[NRO DOC],B1068)</f>
        <v>0</v>
      </c>
      <c r="N1068" s="36">
        <f t="shared" si="174"/>
        <v>238000</v>
      </c>
      <c r="O1068" s="22" cm="1">
        <f t="array" ref="O1068">MAX(IF((Tabla_Pagos[NRO DOC]=B1068)*(Tabla_Pagos[IMPORTE ABONADO]&gt;0),Tabla_Pagos[FECHA DE ABONO]))</f>
        <v>0</v>
      </c>
    </row>
    <row r="1069" spans="2:15" ht="21" customHeight="1" x14ac:dyDescent="0.25">
      <c r="B1069" s="39">
        <v>2009</v>
      </c>
      <c r="C1069" s="20">
        <v>46147</v>
      </c>
      <c r="D1069" s="40" t="s">
        <v>811</v>
      </c>
      <c r="E1069" s="37" t="str">
        <f>IFERROR(VLOOKUP(D1069,CLIENTES!$B$12:$G$2602,2,FALSE),"")</f>
        <v>JORGE ABRAHAM HAWAS JASEN</v>
      </c>
      <c r="F1069" s="31">
        <v>20000</v>
      </c>
      <c r="G1069" s="41" t="s">
        <v>101</v>
      </c>
      <c r="H1069" s="26">
        <v>0</v>
      </c>
      <c r="I1069" s="21" t="str">
        <f t="shared" si="170"/>
        <v>Contado</v>
      </c>
      <c r="J1069" s="22">
        <f t="shared" si="171"/>
        <v>46147</v>
      </c>
      <c r="K1069" s="27">
        <f t="shared" ca="1" si="172"/>
        <v>-31</v>
      </c>
      <c r="L1069" s="23" t="str">
        <f t="shared" ca="1" si="173"/>
        <v>Vencido</v>
      </c>
      <c r="M1069" s="36">
        <f>SUMIFS(Tabla_Pagos[IMPORTE ABONADO],Tabla_Pagos[FECHA DE ABONO],"&gt;0",Tabla_Pagos[NRO DOC],B1069)</f>
        <v>0</v>
      </c>
      <c r="N1069" s="36">
        <f t="shared" si="174"/>
        <v>20000</v>
      </c>
      <c r="O1069" s="22" cm="1">
        <f t="array" ref="O1069">MAX(IF((Tabla_Pagos[NRO DOC]=B1069)*(Tabla_Pagos[IMPORTE ABONADO]&gt;0),Tabla_Pagos[FECHA DE ABONO]))</f>
        <v>0</v>
      </c>
    </row>
    <row r="1070" spans="2:15" ht="21" customHeight="1" x14ac:dyDescent="0.25">
      <c r="B1070" s="39">
        <v>2010</v>
      </c>
      <c r="C1070" s="20">
        <v>46147</v>
      </c>
      <c r="D1070" s="40" t="s">
        <v>812</v>
      </c>
      <c r="E1070" s="37" t="str">
        <f>IFERROR(VLOOKUP(D1070,CLIENTES!$B$12:$G$2602,2,FALSE),"")</f>
        <v>CLAUDIO FRANCISCO NEHME CARPANETTI</v>
      </c>
      <c r="F1070" s="31">
        <v>10000</v>
      </c>
      <c r="G1070" s="41" t="s">
        <v>101</v>
      </c>
      <c r="H1070" s="26">
        <v>0</v>
      </c>
      <c r="I1070" s="21" t="str">
        <f t="shared" si="170"/>
        <v>Contado</v>
      </c>
      <c r="J1070" s="22">
        <f t="shared" si="171"/>
        <v>46147</v>
      </c>
      <c r="K1070" s="27">
        <f t="shared" ca="1" si="172"/>
        <v>-31</v>
      </c>
      <c r="L1070" s="23" t="str">
        <f t="shared" ca="1" si="173"/>
        <v>Vencido</v>
      </c>
      <c r="M1070" s="36">
        <f>SUMIFS(Tabla_Pagos[IMPORTE ABONADO],Tabla_Pagos[FECHA DE ABONO],"&gt;0",Tabla_Pagos[NRO DOC],B1070)</f>
        <v>0</v>
      </c>
      <c r="N1070" s="36">
        <f t="shared" si="174"/>
        <v>10000</v>
      </c>
      <c r="O1070" s="22" cm="1">
        <f t="array" ref="O1070">MAX(IF((Tabla_Pagos[NRO DOC]=B1070)*(Tabla_Pagos[IMPORTE ABONADO]&gt;0),Tabla_Pagos[FECHA DE ABONO]))</f>
        <v>0</v>
      </c>
    </row>
    <row r="1071" spans="2:15" ht="21" customHeight="1" x14ac:dyDescent="0.25">
      <c r="B1071" s="39">
        <v>2011</v>
      </c>
      <c r="C1071" s="20">
        <v>46147</v>
      </c>
      <c r="D1071" s="40" t="s">
        <v>813</v>
      </c>
      <c r="E1071" s="37" t="str">
        <f>IFERROR(VLOOKUP(D1071,CLIENTES!$B$12:$G$2602,2,FALSE),"")</f>
        <v>GMT PROJECTS SPA</v>
      </c>
      <c r="F1071" s="31">
        <v>159999</v>
      </c>
      <c r="G1071" s="41" t="s">
        <v>101</v>
      </c>
      <c r="H1071" s="26">
        <v>0</v>
      </c>
      <c r="I1071" s="21" t="str">
        <f t="shared" si="170"/>
        <v>Contado</v>
      </c>
      <c r="J1071" s="22">
        <f t="shared" si="171"/>
        <v>46147</v>
      </c>
      <c r="K1071" s="27">
        <f t="shared" ca="1" si="172"/>
        <v>-31</v>
      </c>
      <c r="L1071" s="23" t="str">
        <f t="shared" ca="1" si="173"/>
        <v>Vencido</v>
      </c>
      <c r="M1071" s="36">
        <f>SUMIFS(Tabla_Pagos[IMPORTE ABONADO],Tabla_Pagos[FECHA DE ABONO],"&gt;0",Tabla_Pagos[NRO DOC],B1071)</f>
        <v>0</v>
      </c>
      <c r="N1071" s="36">
        <f t="shared" si="174"/>
        <v>159999</v>
      </c>
      <c r="O1071" s="22" cm="1">
        <f t="array" ref="O1071">MAX(IF((Tabla_Pagos[NRO DOC]=B1071)*(Tabla_Pagos[IMPORTE ABONADO]&gt;0),Tabla_Pagos[FECHA DE ABONO]))</f>
        <v>0</v>
      </c>
    </row>
    <row r="1072" spans="2:15" ht="21" customHeight="1" x14ac:dyDescent="0.25">
      <c r="B1072" s="39">
        <v>2012</v>
      </c>
      <c r="C1072" s="20">
        <v>46147</v>
      </c>
      <c r="D1072" s="40" t="s">
        <v>623</v>
      </c>
      <c r="E1072" s="37" t="str">
        <f>IFERROR(VLOOKUP(D1072,CLIENTES!$B$12:$G$2602,2,FALSE),"")</f>
        <v>MARIA CRISTINA MOLINA CASTILLO</v>
      </c>
      <c r="F1072" s="31">
        <v>1435973</v>
      </c>
      <c r="G1072" s="41" t="s">
        <v>101</v>
      </c>
      <c r="H1072" s="26">
        <v>0</v>
      </c>
      <c r="I1072" s="21" t="str">
        <f t="shared" si="170"/>
        <v>Contado</v>
      </c>
      <c r="J1072" s="22">
        <f t="shared" si="171"/>
        <v>46147</v>
      </c>
      <c r="K1072" s="27">
        <f t="shared" ca="1" si="172"/>
        <v>-31</v>
      </c>
      <c r="L1072" s="23" t="str">
        <f t="shared" ca="1" si="173"/>
        <v>Vencido</v>
      </c>
      <c r="M1072" s="36">
        <f>SUMIFS(Tabla_Pagos[IMPORTE ABONADO],Tabla_Pagos[FECHA DE ABONO],"&gt;0",Tabla_Pagos[NRO DOC],B1072)</f>
        <v>0</v>
      </c>
      <c r="N1072" s="36">
        <f t="shared" si="174"/>
        <v>1435973</v>
      </c>
      <c r="O1072" s="22" cm="1">
        <f t="array" ref="O1072">MAX(IF((Tabla_Pagos[NRO DOC]=B1072)*(Tabla_Pagos[IMPORTE ABONADO]&gt;0),Tabla_Pagos[FECHA DE ABONO]))</f>
        <v>0</v>
      </c>
    </row>
    <row r="1073" spans="2:15" ht="21" customHeight="1" x14ac:dyDescent="0.25">
      <c r="B1073" s="39">
        <v>2013</v>
      </c>
      <c r="C1073" s="20">
        <v>46147</v>
      </c>
      <c r="D1073" s="40" t="s">
        <v>485</v>
      </c>
      <c r="E1073" s="37" t="str">
        <f>IFERROR(VLOOKUP(D1073,CLIENTES!$B$12:$G$2602,2,FALSE),"")</f>
        <v>SAN RAFAEL INGENIERIA Y  SERVICIOS LIMITADA</v>
      </c>
      <c r="F1073" s="31">
        <v>41650</v>
      </c>
      <c r="G1073" s="41" t="s">
        <v>101</v>
      </c>
      <c r="H1073" s="26">
        <v>30</v>
      </c>
      <c r="I1073" s="21" t="str">
        <f t="shared" si="170"/>
        <v>Crédito</v>
      </c>
      <c r="J1073" s="22">
        <f t="shared" si="171"/>
        <v>46177</v>
      </c>
      <c r="K1073" s="27">
        <f t="shared" ca="1" si="172"/>
        <v>-1</v>
      </c>
      <c r="L1073" s="23" t="str">
        <f t="shared" ca="1" si="173"/>
        <v>Vencido</v>
      </c>
      <c r="M1073" s="36">
        <f>SUMIFS(Tabla_Pagos[IMPORTE ABONADO],Tabla_Pagos[FECHA DE ABONO],"&gt;0",Tabla_Pagos[NRO DOC],B1073)</f>
        <v>0</v>
      </c>
      <c r="N1073" s="36">
        <f t="shared" si="174"/>
        <v>41650</v>
      </c>
      <c r="O1073" s="22" cm="1">
        <f t="array" ref="O1073">MAX(IF((Tabla_Pagos[NRO DOC]=B1073)*(Tabla_Pagos[IMPORTE ABONADO]&gt;0),Tabla_Pagos[FECHA DE ABONO]))</f>
        <v>0</v>
      </c>
    </row>
    <row r="1074" spans="2:15" ht="21" customHeight="1" x14ac:dyDescent="0.25">
      <c r="B1074" s="39">
        <v>2014</v>
      </c>
      <c r="C1074" s="20">
        <v>46147</v>
      </c>
      <c r="D1074" s="40" t="s">
        <v>773</v>
      </c>
      <c r="E1074" s="37" t="str">
        <f>IFERROR(VLOOKUP(D1074,CLIENTES!$B$12:$G$2602,2,FALSE),"")</f>
        <v>TRANSPORTES Y TURISMOS ALVARO ANIBAL TAMBLAY FABREGA E.I.R.L.</v>
      </c>
      <c r="F1074" s="31">
        <v>373660</v>
      </c>
      <c r="G1074" s="41" t="s">
        <v>101</v>
      </c>
      <c r="H1074" s="26">
        <v>0</v>
      </c>
      <c r="I1074" s="21" t="str">
        <f t="shared" si="170"/>
        <v>Contado</v>
      </c>
      <c r="J1074" s="22">
        <f t="shared" si="171"/>
        <v>46147</v>
      </c>
      <c r="K1074" s="27">
        <f t="shared" ca="1" si="172"/>
        <v>-31</v>
      </c>
      <c r="L1074" s="23" t="str">
        <f t="shared" ca="1" si="173"/>
        <v>Vencido</v>
      </c>
      <c r="M1074" s="36">
        <f>SUMIFS(Tabla_Pagos[IMPORTE ABONADO],Tabla_Pagos[FECHA DE ABONO],"&gt;0",Tabla_Pagos[NRO DOC],B1074)</f>
        <v>0</v>
      </c>
      <c r="N1074" s="36">
        <f t="shared" si="174"/>
        <v>373660</v>
      </c>
      <c r="O1074" s="22" cm="1">
        <f t="array" ref="O1074">MAX(IF((Tabla_Pagos[NRO DOC]=B1074)*(Tabla_Pagos[IMPORTE ABONADO]&gt;0),Tabla_Pagos[FECHA DE ABONO]))</f>
        <v>0</v>
      </c>
    </row>
    <row r="1075" spans="2:15" ht="21" customHeight="1" x14ac:dyDescent="0.25">
      <c r="B1075" s="39">
        <v>2015</v>
      </c>
      <c r="C1075" s="20">
        <v>46147</v>
      </c>
      <c r="D1075" s="40" t="s">
        <v>814</v>
      </c>
      <c r="E1075" s="37" t="str">
        <f>IFERROR(VLOOKUP(D1075,CLIENTES!$B$12:$G$2602,2,FALSE),"")</f>
        <v>BOSSÃ“ COMUNICACIONES LIMITADA</v>
      </c>
      <c r="F1075" s="31">
        <v>226100</v>
      </c>
      <c r="G1075" s="41" t="s">
        <v>101</v>
      </c>
      <c r="H1075" s="26">
        <v>0</v>
      </c>
      <c r="I1075" s="21" t="str">
        <f t="shared" si="170"/>
        <v>Contado</v>
      </c>
      <c r="J1075" s="22">
        <f t="shared" si="171"/>
        <v>46147</v>
      </c>
      <c r="K1075" s="27">
        <f t="shared" ca="1" si="172"/>
        <v>-31</v>
      </c>
      <c r="L1075" s="23" t="str">
        <f t="shared" ca="1" si="173"/>
        <v>Vencido</v>
      </c>
      <c r="M1075" s="36">
        <f>SUMIFS(Tabla_Pagos[IMPORTE ABONADO],Tabla_Pagos[FECHA DE ABONO],"&gt;0",Tabla_Pagos[NRO DOC],B1075)</f>
        <v>0</v>
      </c>
      <c r="N1075" s="36">
        <f t="shared" si="174"/>
        <v>226100</v>
      </c>
      <c r="O1075" s="22" cm="1">
        <f t="array" ref="O1075">MAX(IF((Tabla_Pagos[NRO DOC]=B1075)*(Tabla_Pagos[IMPORTE ABONADO]&gt;0),Tabla_Pagos[FECHA DE ABONO]))</f>
        <v>0</v>
      </c>
    </row>
    <row r="1076" spans="2:15" ht="21" customHeight="1" x14ac:dyDescent="0.25">
      <c r="B1076" s="39">
        <v>2016</v>
      </c>
      <c r="C1076" s="20">
        <v>46148</v>
      </c>
      <c r="D1076" s="40" t="s">
        <v>815</v>
      </c>
      <c r="E1076" s="37" t="str">
        <f>IFERROR(VLOOKUP(D1076,CLIENTES!$B$12:$G$2602,2,FALSE),"")</f>
        <v>IT TRANSPORTES S.A.</v>
      </c>
      <c r="F1076" s="31">
        <v>357000</v>
      </c>
      <c r="G1076" s="41" t="s">
        <v>101</v>
      </c>
      <c r="H1076" s="26">
        <v>0</v>
      </c>
      <c r="I1076" s="21" t="str">
        <f t="shared" si="170"/>
        <v>Contado</v>
      </c>
      <c r="J1076" s="22">
        <f t="shared" si="171"/>
        <v>46148</v>
      </c>
      <c r="K1076" s="27">
        <f t="shared" ca="1" si="172"/>
        <v>-30</v>
      </c>
      <c r="L1076" s="23" t="str">
        <f t="shared" ca="1" si="173"/>
        <v>Vencido</v>
      </c>
      <c r="M1076" s="36">
        <f>SUMIFS(Tabla_Pagos[IMPORTE ABONADO],Tabla_Pagos[FECHA DE ABONO],"&gt;0",Tabla_Pagos[NRO DOC],B1076)</f>
        <v>0</v>
      </c>
      <c r="N1076" s="36">
        <f t="shared" si="174"/>
        <v>357000</v>
      </c>
      <c r="O1076" s="22" cm="1">
        <f t="array" ref="O1076">MAX(IF((Tabla_Pagos[NRO DOC]=B1076)*(Tabla_Pagos[IMPORTE ABONADO]&gt;0),Tabla_Pagos[FECHA DE ABONO]))</f>
        <v>0</v>
      </c>
    </row>
    <row r="1077" spans="2:15" ht="21" customHeight="1" x14ac:dyDescent="0.25">
      <c r="B1077" s="39">
        <v>2017</v>
      </c>
      <c r="C1077" s="20">
        <v>46148</v>
      </c>
      <c r="D1077" s="40" t="s">
        <v>102</v>
      </c>
      <c r="E1077" s="37" t="str">
        <f>IFERROR(VLOOKUP(D1077,CLIENTES!$B$12:$G$2602,2,FALSE),"")</f>
        <v>CONSTRUCTORA CARLOS ALBERTO ANDRES ALBISTUR REYES E.I.R.L.</v>
      </c>
      <c r="F1077" s="31">
        <v>297500</v>
      </c>
      <c r="G1077" s="41" t="s">
        <v>101</v>
      </c>
      <c r="H1077" s="26">
        <v>30</v>
      </c>
      <c r="I1077" s="21" t="str">
        <f t="shared" si="170"/>
        <v>Crédito</v>
      </c>
      <c r="J1077" s="22">
        <f t="shared" si="171"/>
        <v>46178</v>
      </c>
      <c r="K1077" s="27">
        <f t="shared" ca="1" si="172"/>
        <v>0</v>
      </c>
      <c r="L1077" s="23" t="str">
        <f t="shared" ca="1" si="173"/>
        <v>No vencido</v>
      </c>
      <c r="M1077" s="36">
        <f>SUMIFS(Tabla_Pagos[IMPORTE ABONADO],Tabla_Pagos[FECHA DE ABONO],"&gt;0",Tabla_Pagos[NRO DOC],B1077)</f>
        <v>0</v>
      </c>
      <c r="N1077" s="36">
        <f t="shared" si="174"/>
        <v>297500</v>
      </c>
      <c r="O1077" s="22" cm="1">
        <f t="array" ref="O1077">MAX(IF((Tabla_Pagos[NRO DOC]=B1077)*(Tabla_Pagos[IMPORTE ABONADO]&gt;0),Tabla_Pagos[FECHA DE ABONO]))</f>
        <v>0</v>
      </c>
    </row>
    <row r="1078" spans="2:15" ht="21" customHeight="1" x14ac:dyDescent="0.25">
      <c r="B1078" s="39">
        <v>2018</v>
      </c>
      <c r="C1078" s="20">
        <v>46149</v>
      </c>
      <c r="D1078" s="40" t="s">
        <v>537</v>
      </c>
      <c r="E1078" s="37" t="str">
        <f>IFERROR(VLOOKUP(D1078,CLIENTES!$B$12:$G$2602,2,FALSE),"")</f>
        <v>ATLAS COPCO CHILE SPA</v>
      </c>
      <c r="F1078" s="31">
        <v>226100</v>
      </c>
      <c r="G1078" s="41" t="s">
        <v>101</v>
      </c>
      <c r="H1078" s="26">
        <v>0</v>
      </c>
      <c r="I1078" s="21" t="str">
        <f t="shared" si="170"/>
        <v>Contado</v>
      </c>
      <c r="J1078" s="22">
        <f t="shared" si="171"/>
        <v>46149</v>
      </c>
      <c r="K1078" s="27">
        <f t="shared" ca="1" si="172"/>
        <v>-29</v>
      </c>
      <c r="L1078" s="23" t="str">
        <f t="shared" ca="1" si="173"/>
        <v>Vencido</v>
      </c>
      <c r="M1078" s="36">
        <f>SUMIFS(Tabla_Pagos[IMPORTE ABONADO],Tabla_Pagos[FECHA DE ABONO],"&gt;0",Tabla_Pagos[NRO DOC],B1078)</f>
        <v>0</v>
      </c>
      <c r="N1078" s="36">
        <f t="shared" si="174"/>
        <v>226100</v>
      </c>
      <c r="O1078" s="22" cm="1">
        <f t="array" ref="O1078">MAX(IF((Tabla_Pagos[NRO DOC]=B1078)*(Tabla_Pagos[IMPORTE ABONADO]&gt;0),Tabla_Pagos[FECHA DE ABONO]))</f>
        <v>0</v>
      </c>
    </row>
    <row r="1079" spans="2:15" ht="21" customHeight="1" x14ac:dyDescent="0.25">
      <c r="B1079" s="39">
        <v>2019</v>
      </c>
      <c r="C1079" s="20">
        <v>46149</v>
      </c>
      <c r="D1079" s="40" t="s">
        <v>816</v>
      </c>
      <c r="E1079" s="37" t="str">
        <f>IFERROR(VLOOKUP(D1079,CLIENTES!$B$12:$G$2602,2,FALSE),"")</f>
        <v>MARVAL SPA</v>
      </c>
      <c r="F1079" s="31">
        <v>226100</v>
      </c>
      <c r="G1079" s="41" t="s">
        <v>101</v>
      </c>
      <c r="H1079" s="26">
        <v>0</v>
      </c>
      <c r="I1079" s="21" t="str">
        <f t="shared" si="170"/>
        <v>Contado</v>
      </c>
      <c r="J1079" s="22">
        <f t="shared" si="171"/>
        <v>46149</v>
      </c>
      <c r="K1079" s="27">
        <f t="shared" ca="1" si="172"/>
        <v>-29</v>
      </c>
      <c r="L1079" s="23" t="str">
        <f t="shared" ca="1" si="173"/>
        <v>Vencido</v>
      </c>
      <c r="M1079" s="36">
        <f>SUMIFS(Tabla_Pagos[IMPORTE ABONADO],Tabla_Pagos[FECHA DE ABONO],"&gt;0",Tabla_Pagos[NRO DOC],B1079)</f>
        <v>0</v>
      </c>
      <c r="N1079" s="36">
        <f t="shared" si="174"/>
        <v>226100</v>
      </c>
      <c r="O1079" s="22" cm="1">
        <f t="array" ref="O1079">MAX(IF((Tabla_Pagos[NRO DOC]=B1079)*(Tabla_Pagos[IMPORTE ABONADO]&gt;0),Tabla_Pagos[FECHA DE ABONO]))</f>
        <v>0</v>
      </c>
    </row>
    <row r="1080" spans="2:15" ht="21" customHeight="1" x14ac:dyDescent="0.25">
      <c r="B1080" s="39">
        <v>2020</v>
      </c>
      <c r="C1080" s="20">
        <v>46153</v>
      </c>
      <c r="D1080" s="40" t="s">
        <v>817</v>
      </c>
      <c r="E1080" s="37" t="str">
        <f>IFERROR(VLOOKUP(D1080,CLIENTES!$B$12:$G$2602,2,FALSE),"")</f>
        <v>DMC MINING SERVICES CHILE SPA</v>
      </c>
      <c r="F1080" s="31">
        <v>226100</v>
      </c>
      <c r="G1080" s="41" t="s">
        <v>101</v>
      </c>
      <c r="H1080" s="26">
        <v>0</v>
      </c>
      <c r="I1080" s="21" t="str">
        <f t="shared" si="170"/>
        <v>Contado</v>
      </c>
      <c r="J1080" s="22">
        <f t="shared" si="171"/>
        <v>46153</v>
      </c>
      <c r="K1080" s="27">
        <f t="shared" ca="1" si="172"/>
        <v>-25</v>
      </c>
      <c r="L1080" s="23" t="str">
        <f t="shared" ca="1" si="173"/>
        <v>Vencido</v>
      </c>
      <c r="M1080" s="36">
        <f>SUMIFS(Tabla_Pagos[IMPORTE ABONADO],Tabla_Pagos[FECHA DE ABONO],"&gt;0",Tabla_Pagos[NRO DOC],B1080)</f>
        <v>0</v>
      </c>
      <c r="N1080" s="36">
        <f t="shared" si="174"/>
        <v>226100</v>
      </c>
      <c r="O1080" s="22" cm="1">
        <f t="array" ref="O1080">MAX(IF((Tabla_Pagos[NRO DOC]=B1080)*(Tabla_Pagos[IMPORTE ABONADO]&gt;0),Tabla_Pagos[FECHA DE ABONO]))</f>
        <v>0</v>
      </c>
    </row>
    <row r="1081" spans="2:15" ht="21" customHeight="1" x14ac:dyDescent="0.25">
      <c r="B1081" s="39">
        <v>2021</v>
      </c>
      <c r="C1081" s="20">
        <v>46154</v>
      </c>
      <c r="D1081" s="40" t="s">
        <v>485</v>
      </c>
      <c r="E1081" s="37" t="str">
        <f>IFERROR(VLOOKUP(D1081,CLIENTES!$B$12:$G$2602,2,FALSE),"")</f>
        <v>SAN RAFAEL INGENIERIA Y  SERVICIOS LIMITADA</v>
      </c>
      <c r="F1081" s="31">
        <v>454580</v>
      </c>
      <c r="G1081" s="41" t="s">
        <v>101</v>
      </c>
      <c r="H1081" s="26">
        <v>30</v>
      </c>
      <c r="I1081" s="21" t="str">
        <f t="shared" si="170"/>
        <v>Crédito</v>
      </c>
      <c r="J1081" s="22">
        <f t="shared" si="171"/>
        <v>46184</v>
      </c>
      <c r="K1081" s="27">
        <f t="shared" ca="1" si="172"/>
        <v>6</v>
      </c>
      <c r="L1081" s="23" t="str">
        <f t="shared" ca="1" si="173"/>
        <v>No vencido</v>
      </c>
      <c r="M1081" s="36">
        <f>SUMIFS(Tabla_Pagos[IMPORTE ABONADO],Tabla_Pagos[FECHA DE ABONO],"&gt;0",Tabla_Pagos[NRO DOC],B1081)</f>
        <v>0</v>
      </c>
      <c r="N1081" s="36">
        <f t="shared" si="174"/>
        <v>454580</v>
      </c>
      <c r="O1081" s="22" cm="1">
        <f t="array" ref="O1081">MAX(IF((Tabla_Pagos[NRO DOC]=B1081)*(Tabla_Pagos[IMPORTE ABONADO]&gt;0),Tabla_Pagos[FECHA DE ABONO]))</f>
        <v>0</v>
      </c>
    </row>
    <row r="1082" spans="2:15" ht="21" customHeight="1" x14ac:dyDescent="0.25">
      <c r="B1082" s="39">
        <v>2022</v>
      </c>
      <c r="C1082" s="20">
        <v>46154</v>
      </c>
      <c r="D1082" s="40" t="s">
        <v>749</v>
      </c>
      <c r="E1082" s="37" t="str">
        <f>IFERROR(VLOOKUP(D1082,CLIENTES!$B$12:$G$2602,2,FALSE),"")</f>
        <v>RODOLFO HUMBERTO TAMBLAY CAMPILLAY</v>
      </c>
      <c r="F1082" s="31">
        <v>35700</v>
      </c>
      <c r="G1082" s="41" t="s">
        <v>101</v>
      </c>
      <c r="H1082" s="26">
        <v>0</v>
      </c>
      <c r="I1082" s="21" t="str">
        <f t="shared" si="170"/>
        <v>Contado</v>
      </c>
      <c r="J1082" s="22">
        <f t="shared" si="171"/>
        <v>46154</v>
      </c>
      <c r="K1082" s="27">
        <f t="shared" ca="1" si="172"/>
        <v>-24</v>
      </c>
      <c r="L1082" s="23" t="str">
        <f t="shared" ca="1" si="173"/>
        <v>Vencido</v>
      </c>
      <c r="M1082" s="36">
        <f>SUMIFS(Tabla_Pagos[IMPORTE ABONADO],Tabla_Pagos[FECHA DE ABONO],"&gt;0",Tabla_Pagos[NRO DOC],B1082)</f>
        <v>0</v>
      </c>
      <c r="N1082" s="36">
        <f t="shared" si="174"/>
        <v>35700</v>
      </c>
      <c r="O1082" s="22" cm="1">
        <f t="array" ref="O1082">MAX(IF((Tabla_Pagos[NRO DOC]=B1082)*(Tabla_Pagos[IMPORTE ABONADO]&gt;0),Tabla_Pagos[FECHA DE ABONO]))</f>
        <v>0</v>
      </c>
    </row>
    <row r="1083" spans="2:15" ht="21" customHeight="1" x14ac:dyDescent="0.25">
      <c r="B1083" s="39">
        <v>2023</v>
      </c>
      <c r="C1083" s="20">
        <v>46154</v>
      </c>
      <c r="D1083" s="40" t="s">
        <v>818</v>
      </c>
      <c r="E1083" s="37" t="str">
        <f>IFERROR(VLOOKUP(D1083,CLIENTES!$B$12:$G$2602,2,FALSE),"")</f>
        <v>INVERSIONES NALAM SPA</v>
      </c>
      <c r="F1083" s="31">
        <v>226100</v>
      </c>
      <c r="G1083" s="41" t="s">
        <v>101</v>
      </c>
      <c r="H1083" s="26">
        <v>0</v>
      </c>
      <c r="I1083" s="21" t="str">
        <f t="shared" si="170"/>
        <v>Contado</v>
      </c>
      <c r="J1083" s="22">
        <f t="shared" si="171"/>
        <v>46154</v>
      </c>
      <c r="K1083" s="27">
        <f t="shared" ca="1" si="172"/>
        <v>-24</v>
      </c>
      <c r="L1083" s="23" t="str">
        <f t="shared" ca="1" si="173"/>
        <v>Vencido</v>
      </c>
      <c r="M1083" s="36">
        <f>SUMIFS(Tabla_Pagos[IMPORTE ABONADO],Tabla_Pagos[FECHA DE ABONO],"&gt;0",Tabla_Pagos[NRO DOC],B1083)</f>
        <v>0</v>
      </c>
      <c r="N1083" s="36">
        <f t="shared" si="174"/>
        <v>226100</v>
      </c>
      <c r="O1083" s="22" cm="1">
        <f t="array" ref="O1083">MAX(IF((Tabla_Pagos[NRO DOC]=B1083)*(Tabla_Pagos[IMPORTE ABONADO]&gt;0),Tabla_Pagos[FECHA DE ABONO]))</f>
        <v>0</v>
      </c>
    </row>
    <row r="1084" spans="2:15" ht="21" customHeight="1" x14ac:dyDescent="0.25">
      <c r="B1084" s="39">
        <v>2024</v>
      </c>
      <c r="C1084" s="20">
        <v>46154</v>
      </c>
      <c r="D1084" s="40" t="s">
        <v>103</v>
      </c>
      <c r="E1084" s="37" t="str">
        <f>IFERROR(VLOOKUP(D1084,CLIENTES!$B$12:$G$2602,2,FALSE),"")</f>
        <v>SERVICIOS,TRANSPORTE Y ARRIENDO DE MAQUINARIAS LIMITADA</v>
      </c>
      <c r="F1084" s="31">
        <v>309400</v>
      </c>
      <c r="G1084" s="41" t="s">
        <v>101</v>
      </c>
      <c r="H1084" s="26">
        <v>30</v>
      </c>
      <c r="I1084" s="21" t="str">
        <f t="shared" si="170"/>
        <v>Crédito</v>
      </c>
      <c r="J1084" s="22">
        <f t="shared" si="171"/>
        <v>46184</v>
      </c>
      <c r="K1084" s="27">
        <f t="shared" ca="1" si="172"/>
        <v>6</v>
      </c>
      <c r="L1084" s="23" t="str">
        <f t="shared" ca="1" si="173"/>
        <v>No vencido</v>
      </c>
      <c r="M1084" s="36">
        <f>SUMIFS(Tabla_Pagos[IMPORTE ABONADO],Tabla_Pagos[FECHA DE ABONO],"&gt;0",Tabla_Pagos[NRO DOC],B1084)</f>
        <v>0</v>
      </c>
      <c r="N1084" s="36">
        <f t="shared" si="174"/>
        <v>309400</v>
      </c>
      <c r="O1084" s="22" cm="1">
        <f t="array" ref="O1084">MAX(IF((Tabla_Pagos[NRO DOC]=B1084)*(Tabla_Pagos[IMPORTE ABONADO]&gt;0),Tabla_Pagos[FECHA DE ABONO]))</f>
        <v>0</v>
      </c>
    </row>
    <row r="1085" spans="2:15" ht="21" customHeight="1" x14ac:dyDescent="0.25">
      <c r="B1085" s="39">
        <v>2025</v>
      </c>
      <c r="C1085" s="20">
        <v>46154</v>
      </c>
      <c r="D1085" s="40" t="s">
        <v>792</v>
      </c>
      <c r="E1085" s="37" t="str">
        <f>IFERROR(VLOOKUP(D1085,CLIENTES!$B$12:$G$2602,2,FALSE),"")</f>
        <v>CONSTRUCTORA BOL SPA</v>
      </c>
      <c r="F1085" s="31">
        <v>58310</v>
      </c>
      <c r="G1085" s="41" t="s">
        <v>101</v>
      </c>
      <c r="H1085" s="26">
        <v>0</v>
      </c>
      <c r="I1085" s="21" t="str">
        <f t="shared" si="170"/>
        <v>Contado</v>
      </c>
      <c r="J1085" s="22">
        <f t="shared" si="171"/>
        <v>46154</v>
      </c>
      <c r="K1085" s="27">
        <f t="shared" ca="1" si="172"/>
        <v>-24</v>
      </c>
      <c r="L1085" s="23" t="str">
        <f t="shared" ca="1" si="173"/>
        <v>Vencido</v>
      </c>
      <c r="M1085" s="36">
        <f>SUMIFS(Tabla_Pagos[IMPORTE ABONADO],Tabla_Pagos[FECHA DE ABONO],"&gt;0",Tabla_Pagos[NRO DOC],B1085)</f>
        <v>0</v>
      </c>
      <c r="N1085" s="36">
        <f t="shared" si="174"/>
        <v>58310</v>
      </c>
      <c r="O1085" s="22" cm="1">
        <f t="array" ref="O1085">MAX(IF((Tabla_Pagos[NRO DOC]=B1085)*(Tabla_Pagos[IMPORTE ABONADO]&gt;0),Tabla_Pagos[FECHA DE ABONO]))</f>
        <v>0</v>
      </c>
    </row>
    <row r="1086" spans="2:15" ht="21" customHeight="1" x14ac:dyDescent="0.25">
      <c r="B1086" s="39">
        <v>2026</v>
      </c>
      <c r="C1086" s="20">
        <v>46154</v>
      </c>
      <c r="D1086" s="40" t="s">
        <v>205</v>
      </c>
      <c r="E1086" s="37" t="str">
        <f>IFERROR(VLOOKUP(D1086,CLIENTES!$B$12:$G$2602,2,FALSE),"")</f>
        <v>CONSTRUCTORA DE PAVIMENTOS ASFALTICOS BITUMIX S.A</v>
      </c>
      <c r="F1086" s="31">
        <v>714000</v>
      </c>
      <c r="G1086" s="41" t="s">
        <v>101</v>
      </c>
      <c r="H1086" s="26">
        <v>30</v>
      </c>
      <c r="I1086" s="21" t="str">
        <f t="shared" si="170"/>
        <v>Crédito</v>
      </c>
      <c r="J1086" s="22">
        <f t="shared" si="171"/>
        <v>46184</v>
      </c>
      <c r="K1086" s="27">
        <f t="shared" ca="1" si="172"/>
        <v>6</v>
      </c>
      <c r="L1086" s="23" t="str">
        <f t="shared" ca="1" si="173"/>
        <v>No vencido</v>
      </c>
      <c r="M1086" s="36">
        <f>SUMIFS(Tabla_Pagos[IMPORTE ABONADO],Tabla_Pagos[FECHA DE ABONO],"&gt;0",Tabla_Pagos[NRO DOC],B1086)</f>
        <v>0</v>
      </c>
      <c r="N1086" s="36">
        <f t="shared" si="174"/>
        <v>714000</v>
      </c>
      <c r="O1086" s="22" cm="1">
        <f t="array" ref="O1086">MAX(IF((Tabla_Pagos[NRO DOC]=B1086)*(Tabla_Pagos[IMPORTE ABONADO]&gt;0),Tabla_Pagos[FECHA DE ABONO]))</f>
        <v>0</v>
      </c>
    </row>
    <row r="1087" spans="2:15" ht="21" customHeight="1" x14ac:dyDescent="0.25">
      <c r="B1087" s="39">
        <v>2027</v>
      </c>
      <c r="C1087" s="20">
        <v>46155</v>
      </c>
      <c r="D1087" s="40" t="s">
        <v>819</v>
      </c>
      <c r="E1087" s="37" t="str">
        <f>IFERROR(VLOOKUP(D1087,CLIENTES!$B$12:$G$2602,2,FALSE),"")</f>
        <v>SOCIEDAD COMERCIAL MECANICA MAURICIO ARROYAVE ERIRA E.I.R.L.</v>
      </c>
      <c r="F1087" s="31">
        <v>90000</v>
      </c>
      <c r="G1087" s="41" t="s">
        <v>101</v>
      </c>
      <c r="H1087" s="26">
        <v>0</v>
      </c>
      <c r="I1087" s="21" t="str">
        <f t="shared" si="170"/>
        <v>Contado</v>
      </c>
      <c r="J1087" s="22">
        <f t="shared" si="171"/>
        <v>46155</v>
      </c>
      <c r="K1087" s="27">
        <f t="shared" ca="1" si="172"/>
        <v>-23</v>
      </c>
      <c r="L1087" s="23" t="str">
        <f t="shared" ca="1" si="173"/>
        <v>Vencido</v>
      </c>
      <c r="M1087" s="36">
        <f>SUMIFS(Tabla_Pagos[IMPORTE ABONADO],Tabla_Pagos[FECHA DE ABONO],"&gt;0",Tabla_Pagos[NRO DOC],B1087)</f>
        <v>0</v>
      </c>
      <c r="N1087" s="36">
        <f t="shared" si="174"/>
        <v>90000</v>
      </c>
      <c r="O1087" s="22" cm="1">
        <f t="array" ref="O1087">MAX(IF((Tabla_Pagos[NRO DOC]=B1087)*(Tabla_Pagos[IMPORTE ABONADO]&gt;0),Tabla_Pagos[FECHA DE ABONO]))</f>
        <v>0</v>
      </c>
    </row>
    <row r="1088" spans="2:15" ht="21" customHeight="1" x14ac:dyDescent="0.25">
      <c r="B1088" s="39">
        <v>2028</v>
      </c>
      <c r="C1088" s="20">
        <v>46157</v>
      </c>
      <c r="D1088" s="40" t="s">
        <v>37</v>
      </c>
      <c r="E1088" s="37" t="str">
        <f>IFERROR(VLOOKUP(D1088,CLIENTES!$B$12:$G$2602,2,FALSE),"")</f>
        <v>AILUV SPA</v>
      </c>
      <c r="F1088" s="31">
        <v>190162</v>
      </c>
      <c r="G1088" s="41" t="s">
        <v>101</v>
      </c>
      <c r="H1088" s="26">
        <v>0</v>
      </c>
      <c r="I1088" s="21" t="str">
        <f t="shared" si="170"/>
        <v>Contado</v>
      </c>
      <c r="J1088" s="22">
        <f t="shared" si="171"/>
        <v>46157</v>
      </c>
      <c r="K1088" s="27">
        <f t="shared" ca="1" si="172"/>
        <v>-21</v>
      </c>
      <c r="L1088" s="23" t="str">
        <f t="shared" ca="1" si="173"/>
        <v>Vencido</v>
      </c>
      <c r="M1088" s="36">
        <f>SUMIFS(Tabla_Pagos[IMPORTE ABONADO],Tabla_Pagos[FECHA DE ABONO],"&gt;0",Tabla_Pagos[NRO DOC],B1088)</f>
        <v>0</v>
      </c>
      <c r="N1088" s="36">
        <f t="shared" si="174"/>
        <v>190162</v>
      </c>
      <c r="O1088" s="22" cm="1">
        <f t="array" ref="O1088">MAX(IF((Tabla_Pagos[NRO DOC]=B1088)*(Tabla_Pagos[IMPORTE ABONADO]&gt;0),Tabla_Pagos[FECHA DE ABONO]))</f>
        <v>0</v>
      </c>
    </row>
    <row r="1089" spans="2:15" ht="21" customHeight="1" x14ac:dyDescent="0.25">
      <c r="B1089" s="39">
        <v>2029</v>
      </c>
      <c r="C1089" s="20">
        <v>46157</v>
      </c>
      <c r="D1089" s="40" t="s">
        <v>820</v>
      </c>
      <c r="E1089" s="37" t="str">
        <f>IFERROR(VLOOKUP(D1089,CLIENTES!$B$12:$G$2602,2,FALSE),"")</f>
        <v>CARLOS ALFONSO IRIBARREN MARIN</v>
      </c>
      <c r="F1089" s="31">
        <v>178500</v>
      </c>
      <c r="G1089" s="41" t="s">
        <v>101</v>
      </c>
      <c r="H1089" s="26">
        <v>0</v>
      </c>
      <c r="I1089" s="21" t="str">
        <f t="shared" si="170"/>
        <v>Contado</v>
      </c>
      <c r="J1089" s="22">
        <f t="shared" si="171"/>
        <v>46157</v>
      </c>
      <c r="K1089" s="27">
        <f t="shared" ca="1" si="172"/>
        <v>-21</v>
      </c>
      <c r="L1089" s="23" t="str">
        <f t="shared" ca="1" si="173"/>
        <v>Vencido</v>
      </c>
      <c r="M1089" s="36">
        <f>SUMIFS(Tabla_Pagos[IMPORTE ABONADO],Tabla_Pagos[FECHA DE ABONO],"&gt;0",Tabla_Pagos[NRO DOC],B1089)</f>
        <v>0</v>
      </c>
      <c r="N1089" s="36">
        <f t="shared" si="174"/>
        <v>178500</v>
      </c>
      <c r="O1089" s="22" cm="1">
        <f t="array" ref="O1089">MAX(IF((Tabla_Pagos[NRO DOC]=B1089)*(Tabla_Pagos[IMPORTE ABONADO]&gt;0),Tabla_Pagos[FECHA DE ABONO]))</f>
        <v>0</v>
      </c>
    </row>
    <row r="1090" spans="2:15" ht="21" customHeight="1" x14ac:dyDescent="0.25">
      <c r="B1090" s="39">
        <v>2030</v>
      </c>
      <c r="C1090" s="20">
        <v>46157</v>
      </c>
      <c r="D1090" s="40" t="s">
        <v>687</v>
      </c>
      <c r="E1090" s="37" t="str">
        <f>IFERROR(VLOOKUP(D1090,CLIENTES!$B$12:$G$2602,2,FALSE),"")</f>
        <v>SOCIEDAD COMERCIAL ROMSA SERVICIOS SPA</v>
      </c>
      <c r="F1090" s="31">
        <v>32963</v>
      </c>
      <c r="G1090" s="41" t="s">
        <v>101</v>
      </c>
      <c r="H1090" s="26">
        <v>0</v>
      </c>
      <c r="I1090" s="21" t="str">
        <f t="shared" si="170"/>
        <v>Contado</v>
      </c>
      <c r="J1090" s="22">
        <f t="shared" si="171"/>
        <v>46157</v>
      </c>
      <c r="K1090" s="27">
        <f t="shared" ca="1" si="172"/>
        <v>-21</v>
      </c>
      <c r="L1090" s="23" t="str">
        <f t="shared" ca="1" si="173"/>
        <v>Vencido</v>
      </c>
      <c r="M1090" s="36">
        <f>SUMIFS(Tabla_Pagos[IMPORTE ABONADO],Tabla_Pagos[FECHA DE ABONO],"&gt;0",Tabla_Pagos[NRO DOC],B1090)</f>
        <v>0</v>
      </c>
      <c r="N1090" s="36">
        <f t="shared" si="174"/>
        <v>32963</v>
      </c>
      <c r="O1090" s="22" cm="1">
        <f t="array" ref="O1090">MAX(IF((Tabla_Pagos[NRO DOC]=B1090)*(Tabla_Pagos[IMPORTE ABONADO]&gt;0),Tabla_Pagos[FECHA DE ABONO]))</f>
        <v>0</v>
      </c>
    </row>
    <row r="1091" spans="2:15" ht="21" customHeight="1" x14ac:dyDescent="0.25">
      <c r="B1091" s="39">
        <v>2031</v>
      </c>
      <c r="C1091" s="20">
        <v>46157</v>
      </c>
      <c r="D1091" s="40" t="s">
        <v>816</v>
      </c>
      <c r="E1091" s="37" t="str">
        <f>IFERROR(VLOOKUP(D1091,CLIENTES!$B$12:$G$2602,2,FALSE),"")</f>
        <v>MARVAL SPA</v>
      </c>
      <c r="F1091" s="31">
        <v>166600</v>
      </c>
      <c r="G1091" s="41" t="s">
        <v>101</v>
      </c>
      <c r="H1091" s="26">
        <v>30</v>
      </c>
      <c r="I1091" s="21" t="str">
        <f t="shared" si="170"/>
        <v>Crédito</v>
      </c>
      <c r="J1091" s="22">
        <f t="shared" si="171"/>
        <v>46187</v>
      </c>
      <c r="K1091" s="27">
        <f t="shared" ca="1" si="172"/>
        <v>9</v>
      </c>
      <c r="L1091" s="23" t="str">
        <f t="shared" ca="1" si="173"/>
        <v>No vencido</v>
      </c>
      <c r="M1091" s="36">
        <f>SUMIFS(Tabla_Pagos[IMPORTE ABONADO],Tabla_Pagos[FECHA DE ABONO],"&gt;0",Tabla_Pagos[NRO DOC],B1091)</f>
        <v>0</v>
      </c>
      <c r="N1091" s="36">
        <f t="shared" si="174"/>
        <v>166600</v>
      </c>
      <c r="O1091" s="22" cm="1">
        <f t="array" ref="O1091">MAX(IF((Tabla_Pagos[NRO DOC]=B1091)*(Tabla_Pagos[IMPORTE ABONADO]&gt;0),Tabla_Pagos[FECHA DE ABONO]))</f>
        <v>0</v>
      </c>
    </row>
    <row r="1092" spans="2:15" ht="21" customHeight="1" x14ac:dyDescent="0.25">
      <c r="B1092" s="39">
        <v>2032</v>
      </c>
      <c r="C1092" s="20">
        <v>46157</v>
      </c>
      <c r="D1092" s="40" t="s">
        <v>49</v>
      </c>
      <c r="E1092" s="37" t="str">
        <f>IFERROR(VLOOKUP(D1092,CLIENTES!$B$12:$G$2602,2,FALSE),"")</f>
        <v>MOINCO INGENIERIA SPA</v>
      </c>
      <c r="F1092" s="31">
        <v>5928580</v>
      </c>
      <c r="G1092" s="41" t="s">
        <v>101</v>
      </c>
      <c r="H1092" s="26">
        <v>0</v>
      </c>
      <c r="I1092" s="21" t="str">
        <f t="shared" si="170"/>
        <v>Contado</v>
      </c>
      <c r="J1092" s="22">
        <f t="shared" si="171"/>
        <v>46157</v>
      </c>
      <c r="K1092" s="27">
        <f t="shared" ca="1" si="172"/>
        <v>-21</v>
      </c>
      <c r="L1092" s="23" t="str">
        <f t="shared" ca="1" si="173"/>
        <v>Vencido</v>
      </c>
      <c r="M1092" s="36">
        <f>SUMIFS(Tabla_Pagos[IMPORTE ABONADO],Tabla_Pagos[FECHA DE ABONO],"&gt;0",Tabla_Pagos[NRO DOC],B1092)</f>
        <v>0</v>
      </c>
      <c r="N1092" s="36">
        <f t="shared" si="174"/>
        <v>5928580</v>
      </c>
      <c r="O1092" s="22" cm="1">
        <f t="array" ref="O1092">MAX(IF((Tabla_Pagos[NRO DOC]=B1092)*(Tabla_Pagos[IMPORTE ABONADO]&gt;0),Tabla_Pagos[FECHA DE ABONO]))</f>
        <v>0</v>
      </c>
    </row>
    <row r="1093" spans="2:15" ht="21" customHeight="1" x14ac:dyDescent="0.25">
      <c r="B1093" s="39">
        <v>2033</v>
      </c>
      <c r="C1093" s="20">
        <v>46157</v>
      </c>
      <c r="D1093" s="40" t="s">
        <v>688</v>
      </c>
      <c r="E1093" s="37" t="str">
        <f>IFERROR(VLOOKUP(D1093,CLIENTES!$B$12:$G$2602,2,FALSE),"")</f>
        <v>COMPANIA DE SERVICIOS INDUSTRIALES LIMITADA</v>
      </c>
      <c r="F1093" s="31">
        <v>15232</v>
      </c>
      <c r="G1093" s="41" t="s">
        <v>101</v>
      </c>
      <c r="H1093" s="26">
        <v>30</v>
      </c>
      <c r="I1093" s="21" t="str">
        <f t="shared" si="170"/>
        <v>Crédito</v>
      </c>
      <c r="J1093" s="22">
        <f t="shared" si="171"/>
        <v>46187</v>
      </c>
      <c r="K1093" s="27">
        <f t="shared" ca="1" si="172"/>
        <v>9</v>
      </c>
      <c r="L1093" s="23" t="str">
        <f t="shared" ca="1" si="173"/>
        <v>No vencido</v>
      </c>
      <c r="M1093" s="36">
        <f>SUMIFS(Tabla_Pagos[IMPORTE ABONADO],Tabla_Pagos[FECHA DE ABONO],"&gt;0",Tabla_Pagos[NRO DOC],B1093)</f>
        <v>0</v>
      </c>
      <c r="N1093" s="36">
        <f t="shared" si="174"/>
        <v>15232</v>
      </c>
      <c r="O1093" s="22" cm="1">
        <f t="array" ref="O1093">MAX(IF((Tabla_Pagos[NRO DOC]=B1093)*(Tabla_Pagos[IMPORTE ABONADO]&gt;0),Tabla_Pagos[FECHA DE ABONO]))</f>
        <v>0</v>
      </c>
    </row>
    <row r="1094" spans="2:15" ht="21" customHeight="1" x14ac:dyDescent="0.25">
      <c r="B1094" s="39">
        <v>2034</v>
      </c>
      <c r="C1094" s="20">
        <v>46157</v>
      </c>
      <c r="D1094" s="40" t="s">
        <v>821</v>
      </c>
      <c r="E1094" s="37" t="str">
        <f>IFERROR(VLOOKUP(D1094,CLIENTES!$B$12:$G$2602,2,FALSE),"")</f>
        <v>MINISTERIO PUBLICO</v>
      </c>
      <c r="F1094" s="31">
        <v>1237600</v>
      </c>
      <c r="G1094" s="41" t="s">
        <v>101</v>
      </c>
      <c r="H1094" s="26">
        <v>30</v>
      </c>
      <c r="I1094" s="21" t="str">
        <f t="shared" si="170"/>
        <v>Crédito</v>
      </c>
      <c r="J1094" s="22">
        <f t="shared" si="171"/>
        <v>46187</v>
      </c>
      <c r="K1094" s="27">
        <f t="shared" ca="1" si="172"/>
        <v>0</v>
      </c>
      <c r="L1094" s="23" t="str">
        <f t="shared" si="173"/>
        <v>Pagado</v>
      </c>
      <c r="M1094" s="36">
        <f>SUMIFS(Tabla_Pagos[IMPORTE ABONADO],Tabla_Pagos[FECHA DE ABONO],"&gt;0",Tabla_Pagos[NRO DOC],B1094)</f>
        <v>1237600</v>
      </c>
      <c r="N1094" s="36">
        <f t="shared" si="174"/>
        <v>0</v>
      </c>
      <c r="O1094" s="22" cm="1">
        <f t="array" ref="O1094">MAX(IF((Tabla_Pagos[NRO DOC]=B1094)*(Tabla_Pagos[IMPORTE ABONADO]&gt;0),Tabla_Pagos[FECHA DE ABONO]))</f>
        <v>46177</v>
      </c>
    </row>
    <row r="1095" spans="2:15" ht="21" customHeight="1" x14ac:dyDescent="0.25">
      <c r="B1095" s="39">
        <v>2035</v>
      </c>
      <c r="C1095" s="20">
        <v>46157</v>
      </c>
      <c r="D1095" s="40" t="s">
        <v>44</v>
      </c>
      <c r="E1095" s="37" t="str">
        <f>IFERROR(VLOOKUP(D1095,CLIENTES!$B$12:$G$2602,2,FALSE),"")</f>
        <v>SKC RED SPA</v>
      </c>
      <c r="F1095" s="31">
        <v>95200</v>
      </c>
      <c r="G1095" s="41" t="s">
        <v>101</v>
      </c>
      <c r="H1095" s="26">
        <v>30</v>
      </c>
      <c r="I1095" s="21" t="str">
        <f t="shared" si="170"/>
        <v>Crédito</v>
      </c>
      <c r="J1095" s="22">
        <f t="shared" si="171"/>
        <v>46187</v>
      </c>
      <c r="K1095" s="27">
        <f t="shared" ca="1" si="172"/>
        <v>9</v>
      </c>
      <c r="L1095" s="23" t="str">
        <f t="shared" ca="1" si="173"/>
        <v>No vencido</v>
      </c>
      <c r="M1095" s="36">
        <f>SUMIFS(Tabla_Pagos[IMPORTE ABONADO],Tabla_Pagos[FECHA DE ABONO],"&gt;0",Tabla_Pagos[NRO DOC],B1095)</f>
        <v>0</v>
      </c>
      <c r="N1095" s="36">
        <f t="shared" si="174"/>
        <v>95200</v>
      </c>
      <c r="O1095" s="22" cm="1">
        <f t="array" ref="O1095">MAX(IF((Tabla_Pagos[NRO DOC]=B1095)*(Tabla_Pagos[IMPORTE ABONADO]&gt;0),Tabla_Pagos[FECHA DE ABONO]))</f>
        <v>0</v>
      </c>
    </row>
    <row r="1096" spans="2:15" ht="21" customHeight="1" x14ac:dyDescent="0.25">
      <c r="B1096" s="39">
        <v>2036</v>
      </c>
      <c r="C1096" s="20">
        <v>46158</v>
      </c>
      <c r="D1096" s="40" t="s">
        <v>213</v>
      </c>
      <c r="E1096" s="37" t="str">
        <f>IFERROR(VLOOKUP(D1096,CLIENTES!$B$12:$G$2602,2,FALSE),"")</f>
        <v>COAX SPA</v>
      </c>
      <c r="F1096" s="31">
        <v>74375</v>
      </c>
      <c r="G1096" s="41" t="s">
        <v>101</v>
      </c>
      <c r="H1096" s="26">
        <v>0</v>
      </c>
      <c r="I1096" s="21" t="str">
        <f t="shared" si="170"/>
        <v>Contado</v>
      </c>
      <c r="J1096" s="22">
        <f t="shared" si="171"/>
        <v>46158</v>
      </c>
      <c r="K1096" s="27">
        <f t="shared" ca="1" si="172"/>
        <v>-20</v>
      </c>
      <c r="L1096" s="23" t="str">
        <f t="shared" ca="1" si="173"/>
        <v>Vencido</v>
      </c>
      <c r="M1096" s="36">
        <f>SUMIFS(Tabla_Pagos[IMPORTE ABONADO],Tabla_Pagos[FECHA DE ABONO],"&gt;0",Tabla_Pagos[NRO DOC],B1096)</f>
        <v>0</v>
      </c>
      <c r="N1096" s="36">
        <f t="shared" si="174"/>
        <v>74375</v>
      </c>
      <c r="O1096" s="22" cm="1">
        <f t="array" ref="O1096">MAX(IF((Tabla_Pagos[NRO DOC]=B1096)*(Tabla_Pagos[IMPORTE ABONADO]&gt;0),Tabla_Pagos[FECHA DE ABONO]))</f>
        <v>0</v>
      </c>
    </row>
    <row r="1097" spans="2:15" ht="21" customHeight="1" x14ac:dyDescent="0.25">
      <c r="B1097" s="39">
        <v>2037</v>
      </c>
      <c r="C1097" s="20">
        <v>46160</v>
      </c>
      <c r="D1097" s="40" t="s">
        <v>822</v>
      </c>
      <c r="E1097" s="37" t="str">
        <f>IFERROR(VLOOKUP(D1097,CLIENTES!$B$12:$G$2602,2,FALSE),"")</f>
        <v>LUIS GABRIEL GARCIA LOPEZ</v>
      </c>
      <c r="F1097" s="31">
        <v>119</v>
      </c>
      <c r="G1097" s="41" t="s">
        <v>101</v>
      </c>
      <c r="H1097" s="26">
        <v>0</v>
      </c>
      <c r="I1097" s="21" t="str">
        <f t="shared" si="170"/>
        <v>Contado</v>
      </c>
      <c r="J1097" s="22">
        <f t="shared" si="171"/>
        <v>46160</v>
      </c>
      <c r="K1097" s="27">
        <f t="shared" ca="1" si="172"/>
        <v>-18</v>
      </c>
      <c r="L1097" s="23" t="str">
        <f t="shared" ca="1" si="173"/>
        <v>Vencido</v>
      </c>
      <c r="M1097" s="36">
        <f>SUMIFS(Tabla_Pagos[IMPORTE ABONADO],Tabla_Pagos[FECHA DE ABONO],"&gt;0",Tabla_Pagos[NRO DOC],B1097)</f>
        <v>0</v>
      </c>
      <c r="N1097" s="36">
        <f t="shared" si="174"/>
        <v>119</v>
      </c>
      <c r="O1097" s="22" cm="1">
        <f t="array" ref="O1097">MAX(IF((Tabla_Pagos[NRO DOC]=B1097)*(Tabla_Pagos[IMPORTE ABONADO]&gt;0),Tabla_Pagos[FECHA DE ABONO]))</f>
        <v>0</v>
      </c>
    </row>
    <row r="1098" spans="2:15" ht="21" customHeight="1" x14ac:dyDescent="0.25">
      <c r="B1098" s="39">
        <v>2038</v>
      </c>
      <c r="C1098" s="20">
        <v>46161</v>
      </c>
      <c r="D1098" s="40" t="s">
        <v>823</v>
      </c>
      <c r="E1098" s="37" t="str">
        <f>IFERROR(VLOOKUP(D1098,CLIENTES!$B$12:$G$2602,2,FALSE),"")</f>
        <v>LOS LLANOS SOCIEDAD ANÃ“NIMA</v>
      </c>
      <c r="F1098" s="31">
        <v>29750</v>
      </c>
      <c r="G1098" s="41" t="s">
        <v>101</v>
      </c>
      <c r="H1098" s="26">
        <v>0</v>
      </c>
      <c r="I1098" s="21" t="str">
        <f t="shared" si="170"/>
        <v>Contado</v>
      </c>
      <c r="J1098" s="22">
        <f t="shared" si="171"/>
        <v>46161</v>
      </c>
      <c r="K1098" s="27">
        <f t="shared" ca="1" si="172"/>
        <v>-17</v>
      </c>
      <c r="L1098" s="23" t="str">
        <f t="shared" ca="1" si="173"/>
        <v>Vencido</v>
      </c>
      <c r="M1098" s="36">
        <f>SUMIFS(Tabla_Pagos[IMPORTE ABONADO],Tabla_Pagos[FECHA DE ABONO],"&gt;0",Tabla_Pagos[NRO DOC],B1098)</f>
        <v>0</v>
      </c>
      <c r="N1098" s="36">
        <f t="shared" si="174"/>
        <v>29750</v>
      </c>
      <c r="O1098" s="22" cm="1">
        <f t="array" ref="O1098">MAX(IF((Tabla_Pagos[NRO DOC]=B1098)*(Tabla_Pagos[IMPORTE ABONADO]&gt;0),Tabla_Pagos[FECHA DE ABONO]))</f>
        <v>0</v>
      </c>
    </row>
    <row r="1099" spans="2:15" ht="21" customHeight="1" x14ac:dyDescent="0.25">
      <c r="B1099" s="39">
        <v>2039</v>
      </c>
      <c r="C1099" s="20">
        <v>46161</v>
      </c>
      <c r="D1099" s="40" t="s">
        <v>687</v>
      </c>
      <c r="E1099" s="37" t="str">
        <f>IFERROR(VLOOKUP(D1099,CLIENTES!$B$12:$G$2602,2,FALSE),"")</f>
        <v>SOCIEDAD COMERCIAL ROMSA SERVICIOS SPA</v>
      </c>
      <c r="F1099" s="31">
        <v>48289</v>
      </c>
      <c r="G1099" s="41" t="s">
        <v>101</v>
      </c>
      <c r="H1099" s="26">
        <v>0</v>
      </c>
      <c r="I1099" s="21" t="str">
        <f t="shared" si="170"/>
        <v>Contado</v>
      </c>
      <c r="J1099" s="22">
        <f t="shared" si="171"/>
        <v>46161</v>
      </c>
      <c r="K1099" s="27">
        <f t="shared" ca="1" si="172"/>
        <v>-17</v>
      </c>
      <c r="L1099" s="23" t="str">
        <f t="shared" ca="1" si="173"/>
        <v>Vencido</v>
      </c>
      <c r="M1099" s="36">
        <f>SUMIFS(Tabla_Pagos[IMPORTE ABONADO],Tabla_Pagos[FECHA DE ABONO],"&gt;0",Tabla_Pagos[NRO DOC],B1099)</f>
        <v>0</v>
      </c>
      <c r="N1099" s="36">
        <f t="shared" si="174"/>
        <v>48289</v>
      </c>
      <c r="O1099" s="22" cm="1">
        <f t="array" ref="O1099">MAX(IF((Tabla_Pagos[NRO DOC]=B1099)*(Tabla_Pagos[IMPORTE ABONADO]&gt;0),Tabla_Pagos[FECHA DE ABONO]))</f>
        <v>0</v>
      </c>
    </row>
    <row r="1100" spans="2:15" ht="21" customHeight="1" x14ac:dyDescent="0.25">
      <c r="B1100" s="39">
        <v>2040</v>
      </c>
      <c r="C1100" s="20">
        <v>46162</v>
      </c>
      <c r="D1100" s="40" t="s">
        <v>485</v>
      </c>
      <c r="E1100" s="37" t="str">
        <f>IFERROR(VLOOKUP(D1100,CLIENTES!$B$12:$G$2602,2,FALSE),"")</f>
        <v>SAN RAFAEL INGENIERIA Y  SERVICIOS LIMITADA</v>
      </c>
      <c r="F1100" s="31">
        <v>245140</v>
      </c>
      <c r="G1100" s="41" t="s">
        <v>101</v>
      </c>
      <c r="H1100" s="26">
        <v>30</v>
      </c>
      <c r="I1100" s="21" t="str">
        <f t="shared" si="170"/>
        <v>Crédito</v>
      </c>
      <c r="J1100" s="22">
        <f t="shared" si="171"/>
        <v>46192</v>
      </c>
      <c r="K1100" s="27">
        <f t="shared" ca="1" si="172"/>
        <v>14</v>
      </c>
      <c r="L1100" s="23" t="str">
        <f t="shared" ca="1" si="173"/>
        <v>No vencido</v>
      </c>
      <c r="M1100" s="36">
        <f>SUMIFS(Tabla_Pagos[IMPORTE ABONADO],Tabla_Pagos[FECHA DE ABONO],"&gt;0",Tabla_Pagos[NRO DOC],B1100)</f>
        <v>0</v>
      </c>
      <c r="N1100" s="36">
        <f t="shared" si="174"/>
        <v>245140</v>
      </c>
      <c r="O1100" s="22" cm="1">
        <f t="array" ref="O1100">MAX(IF((Tabla_Pagos[NRO DOC]=B1100)*(Tabla_Pagos[IMPORTE ABONADO]&gt;0),Tabla_Pagos[FECHA DE ABONO]))</f>
        <v>0</v>
      </c>
    </row>
    <row r="1101" spans="2:15" ht="21" customHeight="1" x14ac:dyDescent="0.25">
      <c r="B1101" s="39">
        <v>2041</v>
      </c>
      <c r="C1101" s="20">
        <v>46162</v>
      </c>
      <c r="D1101" s="40" t="s">
        <v>485</v>
      </c>
      <c r="E1101" s="37" t="str">
        <f>IFERROR(VLOOKUP(D1101,CLIENTES!$B$12:$G$2602,2,FALSE),"")</f>
        <v>SAN RAFAEL INGENIERIA Y  SERVICIOS LIMITADA</v>
      </c>
      <c r="F1101" s="31">
        <v>641053</v>
      </c>
      <c r="G1101" s="41" t="s">
        <v>101</v>
      </c>
      <c r="H1101" s="26">
        <v>30</v>
      </c>
      <c r="I1101" s="21" t="str">
        <f t="shared" si="170"/>
        <v>Crédito</v>
      </c>
      <c r="J1101" s="22">
        <f t="shared" si="171"/>
        <v>46192</v>
      </c>
      <c r="K1101" s="27">
        <f t="shared" ca="1" si="172"/>
        <v>14</v>
      </c>
      <c r="L1101" s="23" t="str">
        <f t="shared" ca="1" si="173"/>
        <v>No vencido</v>
      </c>
      <c r="M1101" s="36">
        <f>SUMIFS(Tabla_Pagos[IMPORTE ABONADO],Tabla_Pagos[FECHA DE ABONO],"&gt;0",Tabla_Pagos[NRO DOC],B1101)</f>
        <v>0</v>
      </c>
      <c r="N1101" s="36">
        <f t="shared" si="174"/>
        <v>641053</v>
      </c>
      <c r="O1101" s="22" cm="1">
        <f t="array" ref="O1101">MAX(IF((Tabla_Pagos[NRO DOC]=B1101)*(Tabla_Pagos[IMPORTE ABONADO]&gt;0),Tabla_Pagos[FECHA DE ABONO]))</f>
        <v>0</v>
      </c>
    </row>
    <row r="1102" spans="2:15" ht="21" customHeight="1" x14ac:dyDescent="0.25">
      <c r="B1102" s="39">
        <v>2042</v>
      </c>
      <c r="C1102" s="20">
        <v>46162</v>
      </c>
      <c r="D1102" s="40" t="s">
        <v>63</v>
      </c>
      <c r="E1102" s="37" t="str">
        <f>IFERROR(VLOOKUP(D1102,CLIENTES!$B$12:$G$2602,2,FALSE),"")</f>
        <v>MULTISERVICIOS SANABRIA SPA</v>
      </c>
      <c r="F1102" s="31">
        <v>100200</v>
      </c>
      <c r="G1102" s="41" t="s">
        <v>101</v>
      </c>
      <c r="H1102" s="26">
        <v>0</v>
      </c>
      <c r="I1102" s="21" t="str">
        <f t="shared" si="170"/>
        <v>Contado</v>
      </c>
      <c r="J1102" s="22">
        <f t="shared" si="171"/>
        <v>46162</v>
      </c>
      <c r="K1102" s="27">
        <f t="shared" ca="1" si="172"/>
        <v>-16</v>
      </c>
      <c r="L1102" s="23" t="str">
        <f t="shared" ca="1" si="173"/>
        <v>Vencido</v>
      </c>
      <c r="M1102" s="36">
        <f>SUMIFS(Tabla_Pagos[IMPORTE ABONADO],Tabla_Pagos[FECHA DE ABONO],"&gt;0",Tabla_Pagos[NRO DOC],B1102)</f>
        <v>0</v>
      </c>
      <c r="N1102" s="36">
        <f t="shared" si="174"/>
        <v>100200</v>
      </c>
      <c r="O1102" s="22" cm="1">
        <f t="array" ref="O1102">MAX(IF((Tabla_Pagos[NRO DOC]=B1102)*(Tabla_Pagos[IMPORTE ABONADO]&gt;0),Tabla_Pagos[FECHA DE ABONO]))</f>
        <v>0</v>
      </c>
    </row>
    <row r="1103" spans="2:15" ht="21" customHeight="1" x14ac:dyDescent="0.25">
      <c r="B1103" s="39">
        <v>2043</v>
      </c>
      <c r="C1103" s="20">
        <v>46162</v>
      </c>
      <c r="D1103" s="40" t="s">
        <v>63</v>
      </c>
      <c r="E1103" s="37" t="str">
        <f>IFERROR(VLOOKUP(D1103,CLIENTES!$B$12:$G$2602,2,FALSE),"")</f>
        <v>MULTISERVICIOS SANABRIA SPA</v>
      </c>
      <c r="F1103" s="31">
        <v>79682</v>
      </c>
      <c r="G1103" s="41" t="s">
        <v>101</v>
      </c>
      <c r="H1103" s="26">
        <v>0</v>
      </c>
      <c r="I1103" s="21" t="str">
        <f t="shared" si="170"/>
        <v>Contado</v>
      </c>
      <c r="J1103" s="22">
        <f t="shared" si="171"/>
        <v>46162</v>
      </c>
      <c r="K1103" s="27">
        <f t="shared" ca="1" si="172"/>
        <v>-16</v>
      </c>
      <c r="L1103" s="23" t="str">
        <f t="shared" ca="1" si="173"/>
        <v>Vencido</v>
      </c>
      <c r="M1103" s="36">
        <f>SUMIFS(Tabla_Pagos[IMPORTE ABONADO],Tabla_Pagos[FECHA DE ABONO],"&gt;0",Tabla_Pagos[NRO DOC],B1103)</f>
        <v>0</v>
      </c>
      <c r="N1103" s="36">
        <f t="shared" si="174"/>
        <v>79682</v>
      </c>
      <c r="O1103" s="22" cm="1">
        <f t="array" ref="O1103">MAX(IF((Tabla_Pagos[NRO DOC]=B1103)*(Tabla_Pagos[IMPORTE ABONADO]&gt;0),Tabla_Pagos[FECHA DE ABONO]))</f>
        <v>0</v>
      </c>
    </row>
    <row r="1104" spans="2:15" ht="21" customHeight="1" x14ac:dyDescent="0.25">
      <c r="B1104" s="39">
        <v>2044</v>
      </c>
      <c r="C1104" s="20">
        <v>46162</v>
      </c>
      <c r="D1104" s="40" t="s">
        <v>485</v>
      </c>
      <c r="E1104" s="37" t="str">
        <f>IFERROR(VLOOKUP(D1104,CLIENTES!$B$12:$G$2602,2,FALSE),"")</f>
        <v>SAN RAFAEL INGENIERIA Y  SERVICIOS LIMITADA</v>
      </c>
      <c r="F1104" s="31">
        <v>458031</v>
      </c>
      <c r="G1104" s="41" t="s">
        <v>101</v>
      </c>
      <c r="H1104" s="26">
        <v>30</v>
      </c>
      <c r="I1104" s="21" t="str">
        <f t="shared" si="170"/>
        <v>Crédito</v>
      </c>
      <c r="J1104" s="22">
        <f t="shared" si="171"/>
        <v>46192</v>
      </c>
      <c r="K1104" s="27">
        <f t="shared" ca="1" si="172"/>
        <v>14</v>
      </c>
      <c r="L1104" s="23" t="str">
        <f t="shared" ca="1" si="173"/>
        <v>No vencido</v>
      </c>
      <c r="M1104" s="36">
        <f>SUMIFS(Tabla_Pagos[IMPORTE ABONADO],Tabla_Pagos[FECHA DE ABONO],"&gt;0",Tabla_Pagos[NRO DOC],B1104)</f>
        <v>0</v>
      </c>
      <c r="N1104" s="36">
        <f t="shared" si="174"/>
        <v>458031</v>
      </c>
      <c r="O1104" s="22" cm="1">
        <f t="array" ref="O1104">MAX(IF((Tabla_Pagos[NRO DOC]=B1104)*(Tabla_Pagos[IMPORTE ABONADO]&gt;0),Tabla_Pagos[FECHA DE ABONO]))</f>
        <v>0</v>
      </c>
    </row>
    <row r="1105" spans="2:15" ht="21" customHeight="1" x14ac:dyDescent="0.25">
      <c r="B1105" s="39">
        <v>2046</v>
      </c>
      <c r="C1105" s="20">
        <v>46165</v>
      </c>
      <c r="D1105" s="40" t="s">
        <v>824</v>
      </c>
      <c r="E1105" s="37" t="str">
        <f>IFERROR(VLOOKUP(D1105,CLIENTES!$B$12:$G$2602,2,FALSE),"")</f>
        <v>CURIFOR S A</v>
      </c>
      <c r="F1105" s="31">
        <v>70001</v>
      </c>
      <c r="G1105" s="41" t="s">
        <v>101</v>
      </c>
      <c r="H1105" s="26">
        <v>0</v>
      </c>
      <c r="I1105" s="21" t="str">
        <f t="shared" si="170"/>
        <v>Contado</v>
      </c>
      <c r="J1105" s="22">
        <f t="shared" si="171"/>
        <v>46165</v>
      </c>
      <c r="K1105" s="27">
        <f t="shared" ca="1" si="172"/>
        <v>-13</v>
      </c>
      <c r="L1105" s="23" t="str">
        <f t="shared" ca="1" si="173"/>
        <v>Vencido</v>
      </c>
      <c r="M1105" s="36">
        <f>SUMIFS(Tabla_Pagos[IMPORTE ABONADO],Tabla_Pagos[FECHA DE ABONO],"&gt;0",Tabla_Pagos[NRO DOC],B1105)</f>
        <v>0</v>
      </c>
      <c r="N1105" s="36">
        <f t="shared" si="174"/>
        <v>70001</v>
      </c>
      <c r="O1105" s="22" cm="1">
        <f t="array" ref="O1105">MAX(IF((Tabla_Pagos[NRO DOC]=B1105)*(Tabla_Pagos[IMPORTE ABONADO]&gt;0),Tabla_Pagos[FECHA DE ABONO]))</f>
        <v>0</v>
      </c>
    </row>
    <row r="1106" spans="2:15" ht="21" customHeight="1" x14ac:dyDescent="0.25">
      <c r="B1106" s="39">
        <v>2048</v>
      </c>
      <c r="C1106" s="20">
        <v>46165</v>
      </c>
      <c r="D1106" s="40" t="s">
        <v>817</v>
      </c>
      <c r="E1106" s="37" t="str">
        <f>IFERROR(VLOOKUP(D1106,CLIENTES!$B$12:$G$2602,2,FALSE),"")</f>
        <v>DMC MINING SERVICES CHILE SPA</v>
      </c>
      <c r="F1106" s="31">
        <v>35700</v>
      </c>
      <c r="G1106" s="41" t="s">
        <v>101</v>
      </c>
      <c r="H1106" s="26">
        <v>0</v>
      </c>
      <c r="I1106" s="21" t="str">
        <f t="shared" si="170"/>
        <v>Contado</v>
      </c>
      <c r="J1106" s="22">
        <f t="shared" si="171"/>
        <v>46165</v>
      </c>
      <c r="K1106" s="27">
        <f t="shared" ca="1" si="172"/>
        <v>-13</v>
      </c>
      <c r="L1106" s="23" t="str">
        <f t="shared" ca="1" si="173"/>
        <v>Vencido</v>
      </c>
      <c r="M1106" s="36">
        <f>SUMIFS(Tabla_Pagos[IMPORTE ABONADO],Tabla_Pagos[FECHA DE ABONO],"&gt;0",Tabla_Pagos[NRO DOC],B1106)</f>
        <v>0</v>
      </c>
      <c r="N1106" s="36">
        <f t="shared" si="174"/>
        <v>35700</v>
      </c>
      <c r="O1106" s="22" cm="1">
        <f t="array" ref="O1106">MAX(IF((Tabla_Pagos[NRO DOC]=B1106)*(Tabla_Pagos[IMPORTE ABONADO]&gt;0),Tabla_Pagos[FECHA DE ABONO]))</f>
        <v>0</v>
      </c>
    </row>
    <row r="1107" spans="2:15" ht="21" customHeight="1" x14ac:dyDescent="0.25">
      <c r="B1107" s="39">
        <v>2049</v>
      </c>
      <c r="C1107" s="20">
        <v>46167</v>
      </c>
      <c r="D1107" s="40" t="s">
        <v>379</v>
      </c>
      <c r="E1107" s="37" t="str">
        <f>IFERROR(VLOOKUP(D1107,CLIENTES!$B$12:$G$2602,2,FALSE),"")</f>
        <v>GRANDLEASING SPA</v>
      </c>
      <c r="F1107" s="31">
        <v>416500</v>
      </c>
      <c r="G1107" s="41" t="s">
        <v>101</v>
      </c>
      <c r="H1107" s="26">
        <v>30</v>
      </c>
      <c r="I1107" s="21" t="str">
        <f t="shared" si="170"/>
        <v>Crédito</v>
      </c>
      <c r="J1107" s="22">
        <f t="shared" si="171"/>
        <v>46197</v>
      </c>
      <c r="K1107" s="27">
        <f t="shared" ca="1" si="172"/>
        <v>19</v>
      </c>
      <c r="L1107" s="23" t="str">
        <f t="shared" ca="1" si="173"/>
        <v>No vencido</v>
      </c>
      <c r="M1107" s="36">
        <f>SUMIFS(Tabla_Pagos[IMPORTE ABONADO],Tabla_Pagos[FECHA DE ABONO],"&gt;0",Tabla_Pagos[NRO DOC],B1107)</f>
        <v>0</v>
      </c>
      <c r="N1107" s="36">
        <f t="shared" si="174"/>
        <v>416500</v>
      </c>
      <c r="O1107" s="22" cm="1">
        <f t="array" ref="O1107">MAX(IF((Tabla_Pagos[NRO DOC]=B1107)*(Tabla_Pagos[IMPORTE ABONADO]&gt;0),Tabla_Pagos[FECHA DE ABONO]))</f>
        <v>0</v>
      </c>
    </row>
    <row r="1108" spans="2:15" ht="21" customHeight="1" x14ac:dyDescent="0.25">
      <c r="B1108" s="39">
        <v>2050</v>
      </c>
      <c r="C1108" s="20">
        <v>46167</v>
      </c>
      <c r="D1108" s="40" t="s">
        <v>47</v>
      </c>
      <c r="E1108" s="37" t="str">
        <f>IFERROR(VLOOKUP(D1108,CLIENTES!$B$12:$G$2602,2,FALSE),"")</f>
        <v>PATAGONIA SERVICIOS SPA</v>
      </c>
      <c r="F1108" s="31">
        <v>1148350</v>
      </c>
      <c r="G1108" s="41" t="s">
        <v>101</v>
      </c>
      <c r="H1108" s="26">
        <v>0</v>
      </c>
      <c r="I1108" s="21" t="str">
        <f t="shared" si="170"/>
        <v>Contado</v>
      </c>
      <c r="J1108" s="22">
        <f t="shared" si="171"/>
        <v>46167</v>
      </c>
      <c r="K1108" s="27">
        <f t="shared" ca="1" si="172"/>
        <v>-11</v>
      </c>
      <c r="L1108" s="23" t="str">
        <f t="shared" ca="1" si="173"/>
        <v>Vencido</v>
      </c>
      <c r="M1108" s="36">
        <f>SUMIFS(Tabla_Pagos[IMPORTE ABONADO],Tabla_Pagos[FECHA DE ABONO],"&gt;0",Tabla_Pagos[NRO DOC],B1108)</f>
        <v>0</v>
      </c>
      <c r="N1108" s="36">
        <f t="shared" si="174"/>
        <v>1148350</v>
      </c>
      <c r="O1108" s="22" cm="1">
        <f t="array" ref="O1108">MAX(IF((Tabla_Pagos[NRO DOC]=B1108)*(Tabla_Pagos[IMPORTE ABONADO]&gt;0),Tabla_Pagos[FECHA DE ABONO]))</f>
        <v>0</v>
      </c>
    </row>
    <row r="1109" spans="2:15" ht="21" customHeight="1" x14ac:dyDescent="0.25">
      <c r="J1109" s="24" t="s">
        <v>437</v>
      </c>
    </row>
  </sheetData>
  <sheetProtection selectLockedCells="1" autoFilter="0"/>
  <phoneticPr fontId="5" type="noConversion"/>
  <conditionalFormatting sqref="B12:B1108">
    <cfRule type="duplicateValues" dxfId="7" priority="850"/>
  </conditionalFormatting>
  <conditionalFormatting sqref="I12:I1108">
    <cfRule type="cellIs" dxfId="6" priority="2" operator="equal">
      <formula>"Contado"</formula>
    </cfRule>
    <cfRule type="cellIs" dxfId="5" priority="3" operator="equal">
      <formula>"Crédito"</formula>
    </cfRule>
  </conditionalFormatting>
  <conditionalFormatting sqref="L12:L1108">
    <cfRule type="cellIs" dxfId="4" priority="4" operator="equal">
      <formula>"Vencido"</formula>
    </cfRule>
    <cfRule type="cellIs" dxfId="3" priority="5" operator="equal">
      <formula>"No vencido"</formula>
    </cfRule>
    <cfRule type="cellIs" dxfId="2" priority="6" operator="equal">
      <formula>"Pagado"</formula>
    </cfRule>
  </conditionalFormatting>
  <dataValidations count="1">
    <dataValidation type="list" allowBlank="1" showInputMessage="1" showErrorMessage="1" errorTitle="ERROR" error="SOLO INGRESE DATOS QUE EXISTAN EN LA TABLA DE PROVEEDORES" sqref="D12:D1108" xr:uid="{86E689E2-4D60-4AC7-9D95-9E0A449C3502}">
      <formula1>Lista_Proveedores</formula1>
    </dataValidation>
  </dataValidations>
  <pageMargins left="0.7" right="0.7" top="0.75" bottom="0.75" header="0.3" footer="0.3"/>
  <pageSetup paperSize="9" scale="59" fitToHeight="0" orientation="landscape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ED7E-89DD-4D17-ADD4-E6CADB40F7DE}">
  <sheetPr codeName="Hoja3">
    <tabColor theme="5" tint="-0.499984740745262"/>
  </sheetPr>
  <dimension ref="B1:J1043"/>
  <sheetViews>
    <sheetView showGridLines="0" zoomScale="85" zoomScaleNormal="85" workbookViewId="0">
      <pane ySplit="11" topLeftCell="A1024" activePane="bottomLeft" state="frozen"/>
      <selection activeCell="B3" sqref="B3"/>
      <selection pane="bottomLeft" activeCell="E1046" sqref="E1046"/>
    </sheetView>
  </sheetViews>
  <sheetFormatPr baseColWidth="10" defaultColWidth="13.7109375" defaultRowHeight="21" customHeight="1" x14ac:dyDescent="0.25"/>
  <cols>
    <col min="1" max="1" width="2.28515625" customWidth="1"/>
    <col min="2" max="2" width="0.7109375" customWidth="1"/>
    <col min="3" max="3" width="12.42578125" style="24" customWidth="1"/>
    <col min="4" max="4" width="12.7109375" style="24" customWidth="1"/>
    <col min="5" max="5" width="13.7109375" style="24" customWidth="1"/>
    <col min="6" max="6" width="44.5703125" style="24" customWidth="1"/>
    <col min="7" max="7" width="13.28515625" style="24" customWidth="1"/>
    <col min="8" max="8" width="51" style="24" customWidth="1"/>
    <col min="9" max="9" width="13.85546875" style="24" customWidth="1"/>
    <col min="10" max="10" width="14.42578125" style="24" customWidth="1"/>
  </cols>
  <sheetData>
    <row r="1" spans="2:10" ht="43.9" customHeight="1" x14ac:dyDescent="0.25">
      <c r="C1"/>
      <c r="D1"/>
      <c r="E1"/>
      <c r="F1"/>
      <c r="G1"/>
      <c r="H1"/>
      <c r="I1"/>
      <c r="J1"/>
    </row>
    <row r="2" spans="2:10" ht="6" customHeight="1" x14ac:dyDescent="0.25">
      <c r="C2"/>
      <c r="D2"/>
      <c r="E2"/>
      <c r="F2"/>
      <c r="G2"/>
      <c r="H2"/>
      <c r="I2"/>
      <c r="J2"/>
    </row>
    <row r="3" spans="2:10" ht="15" x14ac:dyDescent="0.25">
      <c r="C3"/>
      <c r="D3"/>
      <c r="E3"/>
      <c r="F3"/>
      <c r="G3"/>
      <c r="H3"/>
      <c r="I3"/>
      <c r="J3"/>
    </row>
    <row r="4" spans="2:10" ht="15" x14ac:dyDescent="0.25">
      <c r="C4"/>
      <c r="D4"/>
      <c r="E4"/>
      <c r="F4"/>
      <c r="G4"/>
      <c r="H4"/>
      <c r="I4"/>
      <c r="J4"/>
    </row>
    <row r="5" spans="2:10" ht="15" x14ac:dyDescent="0.25">
      <c r="C5"/>
      <c r="D5"/>
      <c r="E5"/>
      <c r="F5"/>
      <c r="G5"/>
      <c r="H5"/>
      <c r="I5"/>
      <c r="J5"/>
    </row>
    <row r="6" spans="2:10" ht="15" x14ac:dyDescent="0.25">
      <c r="C6"/>
      <c r="D6"/>
      <c r="E6"/>
      <c r="F6"/>
      <c r="G6"/>
      <c r="H6"/>
      <c r="I6"/>
      <c r="J6"/>
    </row>
    <row r="7" spans="2:10" ht="15" x14ac:dyDescent="0.25">
      <c r="C7"/>
      <c r="D7" s="5"/>
      <c r="E7"/>
      <c r="F7"/>
      <c r="G7"/>
      <c r="H7"/>
      <c r="I7"/>
      <c r="J7"/>
    </row>
    <row r="8" spans="2:10" ht="15" x14ac:dyDescent="0.25">
      <c r="C8"/>
      <c r="D8"/>
      <c r="E8"/>
      <c r="F8"/>
      <c r="G8"/>
      <c r="H8"/>
      <c r="I8"/>
      <c r="J8"/>
    </row>
    <row r="9" spans="2:10" ht="15" x14ac:dyDescent="0.25">
      <c r="C9"/>
      <c r="D9"/>
      <c r="E9"/>
      <c r="F9"/>
      <c r="G9"/>
      <c r="H9"/>
      <c r="I9"/>
      <c r="J9"/>
    </row>
    <row r="10" spans="2:10" ht="3" customHeight="1" x14ac:dyDescent="0.25">
      <c r="B10" s="1"/>
      <c r="C10" s="1"/>
      <c r="D10" s="1"/>
      <c r="E10" s="1"/>
      <c r="F10" s="1"/>
      <c r="G10" s="1"/>
      <c r="H10" s="1"/>
      <c r="I10" s="1"/>
      <c r="J10" s="1"/>
    </row>
    <row r="11" spans="2:10" ht="30" customHeight="1" x14ac:dyDescent="0.25">
      <c r="B11" s="16"/>
      <c r="C11" s="14" t="s">
        <v>2</v>
      </c>
      <c r="D11" s="14" t="s">
        <v>4</v>
      </c>
      <c r="E11" s="15" t="s">
        <v>17</v>
      </c>
      <c r="F11" s="14" t="s">
        <v>18</v>
      </c>
      <c r="G11" s="14" t="s">
        <v>16</v>
      </c>
      <c r="H11" s="14" t="s">
        <v>9</v>
      </c>
      <c r="I11" s="14" t="s">
        <v>21</v>
      </c>
      <c r="J11" s="14" t="s">
        <v>22</v>
      </c>
    </row>
    <row r="12" spans="2:10" ht="21" customHeight="1" x14ac:dyDescent="0.25">
      <c r="C12" s="39">
        <v>884</v>
      </c>
      <c r="D12" s="28">
        <f>IFERROR(VLOOKUP($C12,Tabla_Documentos[],2,FALSE),"")</f>
        <v>45661</v>
      </c>
      <c r="E12" s="34" t="str">
        <f>IFERROR(VLOOKUP($C12,Tabla_Documentos[],3,FALSE),"")</f>
        <v>77361091-6</v>
      </c>
      <c r="F12" s="35" t="str">
        <f>IFERROR(VLOOKUP($C12,Tabla_Documentos[],4,FALSE),"")</f>
        <v>OSSAVAL SPA</v>
      </c>
      <c r="G12" s="38">
        <f>IFERROR(VLOOKUP($C12,Tabla_Documentos[],5,FALSE),"")</f>
        <v>83300</v>
      </c>
      <c r="H12" s="29" t="str">
        <f>IFERROR(VLOOKUP($C12,Tabla_Documentos[],6,FALSE),"")</f>
        <v>PUBLICIDAD</v>
      </c>
      <c r="I12" s="38">
        <f>IFERROR(VLOOKUP($C12,Tabla_Documentos[],5,FALSE),"")</f>
        <v>83300</v>
      </c>
      <c r="J12" s="25">
        <v>45661</v>
      </c>
    </row>
    <row r="13" spans="2:10" ht="21" customHeight="1" x14ac:dyDescent="0.25">
      <c r="C13" s="39">
        <v>885</v>
      </c>
      <c r="D13" s="28">
        <f>IFERROR(VLOOKUP($C13,Tabla_Documentos[],2,FALSE),"")</f>
        <v>45661</v>
      </c>
      <c r="E13" s="34" t="str">
        <f>IFERROR(VLOOKUP($C13,Tabla_Documentos[],3,FALSE),"")</f>
        <v>77137806-4</v>
      </c>
      <c r="F13" s="35" t="str">
        <f>IFERROR(VLOOKUP($C13,Tabla_Documentos[],4,FALSE),"")</f>
        <v>CONSTRUCTORA GARY LIMITADA</v>
      </c>
      <c r="G13" s="38">
        <f>IFERROR(VLOOKUP($C13,Tabla_Documentos[],5,FALSE),"")</f>
        <v>163030</v>
      </c>
      <c r="H13" s="29" t="str">
        <f>IFERROR(VLOOKUP($C13,Tabla_Documentos[],6,FALSE),"")</f>
        <v>PUBLICIDAD</v>
      </c>
      <c r="I13" s="38">
        <f>IFERROR(VLOOKUP($C13,Tabla_Documentos[],5,FALSE),"")</f>
        <v>163030</v>
      </c>
      <c r="J13" s="25">
        <v>45661</v>
      </c>
    </row>
    <row r="14" spans="2:10" ht="21" customHeight="1" x14ac:dyDescent="0.25">
      <c r="C14" s="39">
        <v>886</v>
      </c>
      <c r="D14" s="28">
        <f>IFERROR(VLOOKUP($C14,Tabla_Documentos[],2,FALSE),"")</f>
        <v>45661</v>
      </c>
      <c r="E14" s="34" t="str">
        <f>IFERROR(VLOOKUP($C14,Tabla_Documentos[],3,FALSE),"")</f>
        <v>77758444-8</v>
      </c>
      <c r="F14" s="35" t="str">
        <f>IFERROR(VLOOKUP($C14,Tabla_Documentos[],4,FALSE),"")</f>
        <v>TRANSPORTE DOBLE C SPA</v>
      </c>
      <c r="G14" s="38">
        <f>IFERROR(VLOOKUP($C14,Tabla_Documentos[],5,FALSE),"")</f>
        <v>166600</v>
      </c>
      <c r="H14" s="29" t="str">
        <f>IFERROR(VLOOKUP($C14,Tabla_Documentos[],6,FALSE),"")</f>
        <v>PUBLICIDAD</v>
      </c>
      <c r="I14" s="38">
        <f>IFERROR(VLOOKUP($C14,Tabla_Documentos[],5,FALSE),"")</f>
        <v>166600</v>
      </c>
      <c r="J14" s="25">
        <v>45661</v>
      </c>
    </row>
    <row r="15" spans="2:10" ht="21" customHeight="1" x14ac:dyDescent="0.25">
      <c r="C15" s="39">
        <v>887</v>
      </c>
      <c r="D15" s="28">
        <f>IFERROR(VLOOKUP($C15,Tabla_Documentos[],2,FALSE),"")</f>
        <v>45663</v>
      </c>
      <c r="E15" s="34" t="str">
        <f>IFERROR(VLOOKUP($C15,Tabla_Documentos[],3,FALSE),"")</f>
        <v>77907297-5</v>
      </c>
      <c r="F15" s="35" t="str">
        <f>IFERROR(VLOOKUP($C15,Tabla_Documentos[],4,FALSE),"")</f>
        <v>LEYARZ SPA</v>
      </c>
      <c r="G15" s="38">
        <f>IFERROR(VLOOKUP($C15,Tabla_Documentos[],5,FALSE),"")</f>
        <v>142800</v>
      </c>
      <c r="H15" s="29" t="str">
        <f>IFERROR(VLOOKUP($C15,Tabla_Documentos[],6,FALSE),"")</f>
        <v>PUBLICIDAD</v>
      </c>
      <c r="I15" s="38">
        <f>IFERROR(VLOOKUP($C15,Tabla_Documentos[],5,FALSE),"")</f>
        <v>142800</v>
      </c>
      <c r="J15" s="25">
        <v>45663</v>
      </c>
    </row>
    <row r="16" spans="2:10" ht="21" customHeight="1" x14ac:dyDescent="0.25">
      <c r="C16" s="39">
        <v>888</v>
      </c>
      <c r="D16" s="28">
        <f>IFERROR(VLOOKUP($C16,Tabla_Documentos[],2,FALSE),"")</f>
        <v>45666</v>
      </c>
      <c r="E16" s="34" t="str">
        <f>IFERROR(VLOOKUP($C16,Tabla_Documentos[],3,FALSE),"")</f>
        <v>76478614-9</v>
      </c>
      <c r="F16" s="35" t="str">
        <f>IFERROR(VLOOKUP($C16,Tabla_Documentos[],4,FALSE),"")</f>
        <v>INGENIERIA C Y G LIMITADA</v>
      </c>
      <c r="G16" s="38">
        <f>IFERROR(VLOOKUP($C16,Tabla_Documentos[],5,FALSE),"")</f>
        <v>267274</v>
      </c>
      <c r="H16" s="29" t="str">
        <f>IFERROR(VLOOKUP($C16,Tabla_Documentos[],6,FALSE),"")</f>
        <v>PUBLICIDAD</v>
      </c>
      <c r="I16" s="38">
        <f>IFERROR(VLOOKUP($C16,Tabla_Documentos[],5,FALSE),"")</f>
        <v>267274</v>
      </c>
      <c r="J16" s="25">
        <v>45666</v>
      </c>
    </row>
    <row r="17" spans="3:10" ht="21" customHeight="1" x14ac:dyDescent="0.25">
      <c r="C17" s="39">
        <v>889</v>
      </c>
      <c r="D17" s="28">
        <f>IFERROR(VLOOKUP($C17,Tabla_Documentos[],2,FALSE),"")</f>
        <v>45666</v>
      </c>
      <c r="E17" s="34" t="str">
        <f>IFERROR(VLOOKUP($C17,Tabla_Documentos[],3,FALSE),"")</f>
        <v>10730171-2</v>
      </c>
      <c r="F17" s="35" t="str">
        <f>IFERROR(VLOOKUP($C17,Tabla_Documentos[],4,FALSE),"")</f>
        <v>LUIS MANUEL CONTRERAS YANEZ</v>
      </c>
      <c r="G17" s="38">
        <f>IFERROR(VLOOKUP($C17,Tabla_Documentos[],5,FALSE),"")</f>
        <v>30000</v>
      </c>
      <c r="H17" s="29" t="str">
        <f>IFERROR(VLOOKUP($C17,Tabla_Documentos[],6,FALSE),"")</f>
        <v>PUBLICIDAD</v>
      </c>
      <c r="I17" s="38">
        <f>IFERROR(VLOOKUP($C17,Tabla_Documentos[],5,FALSE),"")</f>
        <v>30000</v>
      </c>
      <c r="J17" s="25">
        <v>45666</v>
      </c>
    </row>
    <row r="18" spans="3:10" ht="21" customHeight="1" x14ac:dyDescent="0.25">
      <c r="C18" s="39">
        <v>890</v>
      </c>
      <c r="D18" s="28">
        <f>IFERROR(VLOOKUP($C18,Tabla_Documentos[],2,FALSE),"")</f>
        <v>45666</v>
      </c>
      <c r="E18" s="34" t="str">
        <f>IFERROR(VLOOKUP($C18,Tabla_Documentos[],3,FALSE),"")</f>
        <v>76506336-1</v>
      </c>
      <c r="F18" s="35" t="str">
        <f>IFERROR(VLOOKUP($C18,Tabla_Documentos[],4,FALSE),"")</f>
        <v>KRADE SPA</v>
      </c>
      <c r="G18" s="38">
        <f>IFERROR(VLOOKUP($C18,Tabla_Documentos[],5,FALSE),"")</f>
        <v>47124</v>
      </c>
      <c r="H18" s="29" t="str">
        <f>IFERROR(VLOOKUP($C18,Tabla_Documentos[],6,FALSE),"")</f>
        <v>PUBLICIDAD</v>
      </c>
      <c r="I18" s="38">
        <f>IFERROR(VLOOKUP($C18,Tabla_Documentos[],5,FALSE),"")</f>
        <v>47124</v>
      </c>
      <c r="J18" s="25">
        <v>45666</v>
      </c>
    </row>
    <row r="19" spans="3:10" ht="21" customHeight="1" x14ac:dyDescent="0.25">
      <c r="C19" s="39">
        <v>891</v>
      </c>
      <c r="D19" s="28">
        <f>IFERROR(VLOOKUP($C19,Tabla_Documentos[],2,FALSE),"")</f>
        <v>45667</v>
      </c>
      <c r="E19" s="34" t="str">
        <f>IFERROR(VLOOKUP($C19,Tabla_Documentos[],3,FALSE),"")</f>
        <v>76478614-9</v>
      </c>
      <c r="F19" s="35" t="str">
        <f>IFERROR(VLOOKUP($C19,Tabla_Documentos[],4,FALSE),"")</f>
        <v>INGENIERIA C Y G LIMITADA</v>
      </c>
      <c r="G19" s="38">
        <f>IFERROR(VLOOKUP($C19,Tabla_Documentos[],5,FALSE),"")</f>
        <v>377230</v>
      </c>
      <c r="H19" s="29" t="str">
        <f>IFERROR(VLOOKUP($C19,Tabla_Documentos[],6,FALSE),"")</f>
        <v>PUBLICIDAD</v>
      </c>
      <c r="I19" s="38">
        <f>IFERROR(VLOOKUP($C19,Tabla_Documentos[],5,FALSE),"")</f>
        <v>377230</v>
      </c>
      <c r="J19" s="25">
        <v>45667</v>
      </c>
    </row>
    <row r="20" spans="3:10" ht="21" customHeight="1" x14ac:dyDescent="0.25">
      <c r="C20" s="39">
        <v>892</v>
      </c>
      <c r="D20" s="28">
        <f>IFERROR(VLOOKUP($C20,Tabla_Documentos[],2,FALSE),"")</f>
        <v>45668</v>
      </c>
      <c r="E20" s="34" t="str">
        <f>IFERROR(VLOOKUP($C20,Tabla_Documentos[],3,FALSE),"")</f>
        <v>77176830-K</v>
      </c>
      <c r="F20" s="35" t="str">
        <f>IFERROR(VLOOKUP($C20,Tabla_Documentos[],4,FALSE),"")</f>
        <v>SOC COMERCIAL TRANSPORTES TAPE LTDA</v>
      </c>
      <c r="G20" s="38">
        <f>IFERROR(VLOOKUP($C20,Tabla_Documentos[],5,FALSE),"")</f>
        <v>107100</v>
      </c>
      <c r="H20" s="29" t="str">
        <f>IFERROR(VLOOKUP($C20,Tabla_Documentos[],6,FALSE),"")</f>
        <v>PUBLICIDAD</v>
      </c>
      <c r="I20" s="38">
        <f>IFERROR(VLOOKUP($C20,Tabla_Documentos[],5,FALSE),"")</f>
        <v>107100</v>
      </c>
      <c r="J20" s="25">
        <v>45668</v>
      </c>
    </row>
    <row r="21" spans="3:10" ht="21" customHeight="1" x14ac:dyDescent="0.25">
      <c r="C21" s="39">
        <v>893</v>
      </c>
      <c r="D21" s="28">
        <f>IFERROR(VLOOKUP($C21,Tabla_Documentos[],2,FALSE),"")</f>
        <v>45668</v>
      </c>
      <c r="E21" s="34" t="str">
        <f>IFERROR(VLOOKUP($C21,Tabla_Documentos[],3,FALSE),"")</f>
        <v>76862381-3</v>
      </c>
      <c r="F21" s="35" t="str">
        <f>IFERROR(VLOOKUP($C21,Tabla_Documentos[],4,FALSE),"")</f>
        <v>SOCIEDAD COMERCIAL E INDUSTRIAL HYDRO CLEANING VAPOR LIMITADA</v>
      </c>
      <c r="G21" s="38">
        <f>IFERROR(VLOOKUP($C21,Tabla_Documentos[],5,FALSE),"")</f>
        <v>40001</v>
      </c>
      <c r="H21" s="29" t="str">
        <f>IFERROR(VLOOKUP($C21,Tabla_Documentos[],6,FALSE),"")</f>
        <v>PUBLICIDAD</v>
      </c>
      <c r="I21" s="38">
        <f>IFERROR(VLOOKUP($C21,Tabla_Documentos[],5,FALSE),"")</f>
        <v>40001</v>
      </c>
      <c r="J21" s="25">
        <v>45668</v>
      </c>
    </row>
    <row r="22" spans="3:10" ht="21" customHeight="1" x14ac:dyDescent="0.25">
      <c r="C22" s="39">
        <v>894</v>
      </c>
      <c r="D22" s="28">
        <f>IFERROR(VLOOKUP($C22,Tabla_Documentos[],2,FALSE),"")</f>
        <v>45670</v>
      </c>
      <c r="E22" s="34" t="str">
        <f>IFERROR(VLOOKUP($C22,Tabla_Documentos[],3,FALSE),"")</f>
        <v>76164075-5</v>
      </c>
      <c r="F22" s="35" t="str">
        <f>IFERROR(VLOOKUP($C22,Tabla_Documentos[],4,FALSE),"")</f>
        <v>GRAU Y COMPANIA LIMITADA</v>
      </c>
      <c r="G22" s="38">
        <f>IFERROR(VLOOKUP($C22,Tabla_Documentos[],5,FALSE),"")</f>
        <v>100000</v>
      </c>
      <c r="H22" s="29" t="str">
        <f>IFERROR(VLOOKUP($C22,Tabla_Documentos[],6,FALSE),"")</f>
        <v>PUBLICIDAD</v>
      </c>
      <c r="I22" s="38">
        <f>IFERROR(VLOOKUP($C22,Tabla_Documentos[],5,FALSE),"")</f>
        <v>100000</v>
      </c>
      <c r="J22" s="25">
        <v>45670</v>
      </c>
    </row>
    <row r="23" spans="3:10" ht="21" customHeight="1" x14ac:dyDescent="0.25">
      <c r="C23" s="39">
        <v>895</v>
      </c>
      <c r="D23" s="28">
        <f>IFERROR(VLOOKUP($C23,Tabla_Documentos[],2,FALSE),"")</f>
        <v>45671</v>
      </c>
      <c r="E23" s="34" t="str">
        <f>IFERROR(VLOOKUP($C23,Tabla_Documentos[],3,FALSE),"")</f>
        <v>77137806-4</v>
      </c>
      <c r="F23" s="35" t="str">
        <f>IFERROR(VLOOKUP($C23,Tabla_Documentos[],4,FALSE),"")</f>
        <v>CONSTRUCTORA GARY LIMITADA</v>
      </c>
      <c r="G23" s="38">
        <f>IFERROR(VLOOKUP($C23,Tabla_Documentos[],5,FALSE),"")</f>
        <v>540855</v>
      </c>
      <c r="H23" s="29" t="str">
        <f>IFERROR(VLOOKUP($C23,Tabla_Documentos[],6,FALSE),"")</f>
        <v>PUBLICIDAD</v>
      </c>
      <c r="I23" s="38">
        <f>IFERROR(VLOOKUP($C23,Tabla_Documentos[],5,FALSE),"")</f>
        <v>540855</v>
      </c>
      <c r="J23" s="25">
        <v>45671</v>
      </c>
    </row>
    <row r="24" spans="3:10" ht="21" customHeight="1" x14ac:dyDescent="0.25">
      <c r="C24" s="39">
        <v>896</v>
      </c>
      <c r="D24" s="28">
        <f>IFERROR(VLOOKUP($C24,Tabla_Documentos[],2,FALSE),"")</f>
        <v>45671</v>
      </c>
      <c r="E24" s="34" t="str">
        <f>IFERROR(VLOOKUP($C24,Tabla_Documentos[],3,FALSE),"")</f>
        <v>77513077-6</v>
      </c>
      <c r="F24" s="35" t="str">
        <f>IFERROR(VLOOKUP($C24,Tabla_Documentos[],4,FALSE),"")</f>
        <v>SOCIEDAD SB CARRASQUERO SPA</v>
      </c>
      <c r="G24" s="38">
        <f>IFERROR(VLOOKUP($C24,Tabla_Documentos[],5,FALSE),"")</f>
        <v>57120</v>
      </c>
      <c r="H24" s="29" t="str">
        <f>IFERROR(VLOOKUP($C24,Tabla_Documentos[],6,FALSE),"")</f>
        <v>PUBLICIDAD</v>
      </c>
      <c r="I24" s="38">
        <f>IFERROR(VLOOKUP($C24,Tabla_Documentos[],5,FALSE),"")</f>
        <v>57120</v>
      </c>
      <c r="J24" s="25">
        <v>45671</v>
      </c>
    </row>
    <row r="25" spans="3:10" ht="21" customHeight="1" x14ac:dyDescent="0.25">
      <c r="C25" s="39">
        <v>897</v>
      </c>
      <c r="D25" s="28">
        <f>IFERROR(VLOOKUP($C25,Tabla_Documentos[],2,FALSE),"")</f>
        <v>45672</v>
      </c>
      <c r="E25" s="34" t="str">
        <f>IFERROR(VLOOKUP($C25,Tabla_Documentos[],3,FALSE),"")</f>
        <v>78320430-4</v>
      </c>
      <c r="F25" s="35" t="str">
        <f>IFERROR(VLOOKUP($C25,Tabla_Documentos[],4,FALSE),"")</f>
        <v>AUTOMOTRIZ NICOLAS LTDA.</v>
      </c>
      <c r="G25" s="38">
        <f>IFERROR(VLOOKUP($C25,Tabla_Documentos[],5,FALSE),"")</f>
        <v>178500</v>
      </c>
      <c r="H25" s="29" t="str">
        <f>IFERROR(VLOOKUP($C25,Tabla_Documentos[],6,FALSE),"")</f>
        <v>PUBLICIDAD</v>
      </c>
      <c r="I25" s="38">
        <f>IFERROR(VLOOKUP($C25,Tabla_Documentos[],5,FALSE),"")</f>
        <v>178500</v>
      </c>
      <c r="J25" s="25">
        <v>45702</v>
      </c>
    </row>
    <row r="26" spans="3:10" ht="21" customHeight="1" x14ac:dyDescent="0.25">
      <c r="C26" s="39">
        <v>898</v>
      </c>
      <c r="D26" s="28">
        <f>IFERROR(VLOOKUP($C26,Tabla_Documentos[],2,FALSE),"")</f>
        <v>45672</v>
      </c>
      <c r="E26" s="34" t="str">
        <f>IFERROR(VLOOKUP($C26,Tabla_Documentos[],3,FALSE),"")</f>
        <v>76686138-5</v>
      </c>
      <c r="F26" s="35" t="str">
        <f>IFERROR(VLOOKUP($C26,Tabla_Documentos[],4,FALSE),"")</f>
        <v>SKC RED SPA</v>
      </c>
      <c r="G26" s="38">
        <f>IFERROR(VLOOKUP($C26,Tabla_Documentos[],5,FALSE),"")</f>
        <v>368900</v>
      </c>
      <c r="H26" s="29" t="str">
        <f>IFERROR(VLOOKUP($C26,Tabla_Documentos[],6,FALSE),"")</f>
        <v>PUBLICIDAD</v>
      </c>
      <c r="I26" s="38">
        <f>IFERROR(VLOOKUP($C26,Tabla_Documentos[],5,FALSE),"")</f>
        <v>368900</v>
      </c>
      <c r="J26" s="25">
        <v>45695</v>
      </c>
    </row>
    <row r="27" spans="3:10" ht="21" customHeight="1" x14ac:dyDescent="0.25">
      <c r="C27" s="39">
        <v>899</v>
      </c>
      <c r="D27" s="28">
        <f>IFERROR(VLOOKUP($C27,Tabla_Documentos[],2,FALSE),"")</f>
        <v>45672</v>
      </c>
      <c r="E27" s="34" t="str">
        <f>IFERROR(VLOOKUP($C27,Tabla_Documentos[],3,FALSE),"")</f>
        <v>76346498-9</v>
      </c>
      <c r="F27" s="35" t="str">
        <f>IFERROR(VLOOKUP($C27,Tabla_Documentos[],4,FALSE),"")</f>
        <v>CONSTRUCTORA CARLOS ALBERTO ANDRES ALBISTUR REYES E.I.R.L.</v>
      </c>
      <c r="G27" s="38">
        <f>IFERROR(VLOOKUP($C27,Tabla_Documentos[],5,FALSE),"")</f>
        <v>310233</v>
      </c>
      <c r="H27" s="29" t="str">
        <f>IFERROR(VLOOKUP($C27,Tabla_Documentos[],6,FALSE),"")</f>
        <v>PUBLICIDAD</v>
      </c>
      <c r="I27" s="38">
        <f>IFERROR(VLOOKUP($C27,Tabla_Documentos[],5,FALSE),"")</f>
        <v>310233</v>
      </c>
      <c r="J27" s="25">
        <v>45677</v>
      </c>
    </row>
    <row r="28" spans="3:10" ht="21" customHeight="1" x14ac:dyDescent="0.25">
      <c r="C28" s="39">
        <v>900</v>
      </c>
      <c r="D28" s="28">
        <f>IFERROR(VLOOKUP($C28,Tabla_Documentos[],2,FALSE),"")</f>
        <v>45672</v>
      </c>
      <c r="E28" s="34" t="str">
        <f>IFERROR(VLOOKUP($C28,Tabla_Documentos[],3,FALSE),"")</f>
        <v>8849558-6</v>
      </c>
      <c r="F28" s="35" t="str">
        <f>IFERROR(VLOOKUP($C28,Tabla_Documentos[],4,FALSE),"")</f>
        <v>MARIELA ELIZABETH ALVAREZ MORENO</v>
      </c>
      <c r="G28" s="38">
        <f>IFERROR(VLOOKUP($C28,Tabla_Documentos[],5,FALSE),"")</f>
        <v>23800</v>
      </c>
      <c r="H28" s="29" t="str">
        <f>IFERROR(VLOOKUP($C28,Tabla_Documentos[],6,FALSE),"")</f>
        <v>PUBLICIDAD</v>
      </c>
      <c r="I28" s="38">
        <f>IFERROR(VLOOKUP($C28,Tabla_Documentos[],5,FALSE),"")</f>
        <v>23800</v>
      </c>
      <c r="J28" s="25">
        <v>45672</v>
      </c>
    </row>
    <row r="29" spans="3:10" ht="21" customHeight="1" x14ac:dyDescent="0.25">
      <c r="C29" s="39">
        <v>901</v>
      </c>
      <c r="D29" s="28">
        <f>IFERROR(VLOOKUP($C29,Tabla_Documentos[],2,FALSE),"")</f>
        <v>45672</v>
      </c>
      <c r="E29" s="34" t="str">
        <f>IFERROR(VLOOKUP($C29,Tabla_Documentos[],3,FALSE),"")</f>
        <v>77801672-9</v>
      </c>
      <c r="F29" s="35" t="str">
        <f>IFERROR(VLOOKUP($C29,Tabla_Documentos[],4,FALSE),"")</f>
        <v>TRIBU DEL DESIERTO SPA</v>
      </c>
      <c r="G29" s="38">
        <f>IFERROR(VLOOKUP($C29,Tabla_Documentos[],5,FALSE),"")</f>
        <v>440300</v>
      </c>
      <c r="H29" s="29" t="str">
        <f>IFERROR(VLOOKUP($C29,Tabla_Documentos[],6,FALSE),"")</f>
        <v>PUBLICIDAD</v>
      </c>
      <c r="I29" s="38">
        <f>IFERROR(VLOOKUP($C29,Tabla_Documentos[],5,FALSE),"")</f>
        <v>440300</v>
      </c>
      <c r="J29" s="25">
        <v>45672</v>
      </c>
    </row>
    <row r="30" spans="3:10" ht="21" customHeight="1" x14ac:dyDescent="0.25">
      <c r="C30" s="39">
        <v>902</v>
      </c>
      <c r="D30" s="28">
        <f>IFERROR(VLOOKUP($C30,Tabla_Documentos[],2,FALSE),"")</f>
        <v>45672</v>
      </c>
      <c r="E30" s="34" t="str">
        <f>IFERROR(VLOOKUP($C30,Tabla_Documentos[],3,FALSE),"")</f>
        <v>77288671-3</v>
      </c>
      <c r="F30" s="35" t="str">
        <f>IFERROR(VLOOKUP($C30,Tabla_Documentos[],4,FALSE),"")</f>
        <v>TRANSPORTES GALLARDO LIMITADA</v>
      </c>
      <c r="G30" s="38">
        <f>IFERROR(VLOOKUP($C30,Tabla_Documentos[],5,FALSE),"")</f>
        <v>107100</v>
      </c>
      <c r="H30" s="29" t="str">
        <f>IFERROR(VLOOKUP($C30,Tabla_Documentos[],6,FALSE),"")</f>
        <v>PUBLICIDAD</v>
      </c>
      <c r="I30" s="38">
        <f>IFERROR(VLOOKUP($C30,Tabla_Documentos[],5,FALSE),"")</f>
        <v>107100</v>
      </c>
      <c r="J30" s="25">
        <v>45672</v>
      </c>
    </row>
    <row r="31" spans="3:10" ht="21" customHeight="1" x14ac:dyDescent="0.25">
      <c r="C31" s="39">
        <v>903</v>
      </c>
      <c r="D31" s="28">
        <f>IFERROR(VLOOKUP($C31,Tabla_Documentos[],2,FALSE),"")</f>
        <v>45673</v>
      </c>
      <c r="E31" s="34" t="str">
        <f>IFERROR(VLOOKUP($C31,Tabla_Documentos[],3,FALSE),"")</f>
        <v>78047391-6</v>
      </c>
      <c r="F31" s="35" t="str">
        <f>IFERROR(VLOOKUP($C31,Tabla_Documentos[],4,FALSE),"")</f>
        <v>TRANSPORTE MARCIA YORDANA CARVAJAL TAPIA E.I.R.L.</v>
      </c>
      <c r="G31" s="38">
        <f>IFERROR(VLOOKUP($C31,Tabla_Documentos[],5,FALSE),"")</f>
        <v>166600</v>
      </c>
      <c r="H31" s="29" t="str">
        <f>IFERROR(VLOOKUP($C31,Tabla_Documentos[],6,FALSE),"")</f>
        <v>PUBLICIDAD</v>
      </c>
      <c r="I31" s="38">
        <f>IFERROR(VLOOKUP($C31,Tabla_Documentos[],5,FALSE),"")</f>
        <v>166600</v>
      </c>
      <c r="J31" s="25">
        <v>45673</v>
      </c>
    </row>
    <row r="32" spans="3:10" ht="21" customHeight="1" x14ac:dyDescent="0.25">
      <c r="C32" s="39">
        <v>904</v>
      </c>
      <c r="D32" s="28">
        <f>IFERROR(VLOOKUP($C32,Tabla_Documentos[],2,FALSE),"")</f>
        <v>45673</v>
      </c>
      <c r="E32" s="34" t="str">
        <f>IFERROR(VLOOKUP($C32,Tabla_Documentos[],3,FALSE),"")</f>
        <v>76336122-5</v>
      </c>
      <c r="F32" s="35" t="str">
        <f>IFERROR(VLOOKUP($C32,Tabla_Documentos[],4,FALSE),"")</f>
        <v>INGENIERIA Y SERVICIOS TERRACOP SPA</v>
      </c>
      <c r="G32" s="38">
        <f>IFERROR(VLOOKUP($C32,Tabla_Documentos[],5,FALSE),"")</f>
        <v>11900</v>
      </c>
      <c r="H32" s="29" t="str">
        <f>IFERROR(VLOOKUP($C32,Tabla_Documentos[],6,FALSE),"")</f>
        <v>PUBLICIDAD</v>
      </c>
      <c r="I32" s="38">
        <f>IFERROR(VLOOKUP($C32,Tabla_Documentos[],5,FALSE),"")</f>
        <v>11900</v>
      </c>
      <c r="J32" s="25">
        <v>45673</v>
      </c>
    </row>
    <row r="33" spans="3:10" ht="21" customHeight="1" x14ac:dyDescent="0.25">
      <c r="C33" s="39">
        <v>905</v>
      </c>
      <c r="D33" s="28">
        <f>IFERROR(VLOOKUP($C33,Tabla_Documentos[],2,FALSE),"")</f>
        <v>45673</v>
      </c>
      <c r="E33" s="34" t="str">
        <f>IFERROR(VLOOKUP($C33,Tabla_Documentos[],3,FALSE),"")</f>
        <v>77294468-3</v>
      </c>
      <c r="F33" s="35" t="str">
        <f>IFERROR(VLOOKUP($C33,Tabla_Documentos[],4,FALSE),"")</f>
        <v>GLOBAL PRO GROUP SPA</v>
      </c>
      <c r="G33" s="38">
        <f>IFERROR(VLOOKUP($C33,Tabla_Documentos[],5,FALSE),"")</f>
        <v>333200</v>
      </c>
      <c r="H33" s="29" t="str">
        <f>IFERROR(VLOOKUP($C33,Tabla_Documentos[],6,FALSE),"")</f>
        <v>PUBLICIDAD</v>
      </c>
      <c r="I33" s="38">
        <f>IFERROR(VLOOKUP($C33,Tabla_Documentos[],5,FALSE),"")</f>
        <v>333200</v>
      </c>
      <c r="J33" s="25">
        <v>45673</v>
      </c>
    </row>
    <row r="34" spans="3:10" ht="21" customHeight="1" x14ac:dyDescent="0.25">
      <c r="C34" s="39">
        <v>906</v>
      </c>
      <c r="D34" s="28">
        <f>IFERROR(VLOOKUP($C34,Tabla_Documentos[],2,FALSE),"")</f>
        <v>45673</v>
      </c>
      <c r="E34" s="34" t="str">
        <f>IFERROR(VLOOKUP($C34,Tabla_Documentos[],3,FALSE),"")</f>
        <v>16468608-6</v>
      </c>
      <c r="F34" s="35" t="str">
        <f>IFERROR(VLOOKUP($C34,Tabla_Documentos[],4,FALSE),"")</f>
        <v>JENNIFER ANDREA HEREDIA PEREZ</v>
      </c>
      <c r="G34" s="38">
        <f>IFERROR(VLOOKUP($C34,Tabla_Documentos[],5,FALSE),"")</f>
        <v>297500</v>
      </c>
      <c r="H34" s="29" t="str">
        <f>IFERROR(VLOOKUP($C34,Tabla_Documentos[],6,FALSE),"")</f>
        <v>PUBLICIDAD</v>
      </c>
      <c r="I34" s="38">
        <f>IFERROR(VLOOKUP($C34,Tabla_Documentos[],5,FALSE),"")</f>
        <v>297500</v>
      </c>
      <c r="J34" s="25">
        <v>45673</v>
      </c>
    </row>
    <row r="35" spans="3:10" ht="21" customHeight="1" x14ac:dyDescent="0.25">
      <c r="C35" s="39">
        <v>907</v>
      </c>
      <c r="D35" s="28">
        <f>IFERROR(VLOOKUP($C35,Tabla_Documentos[],2,FALSE),"")</f>
        <v>45673</v>
      </c>
      <c r="E35" s="34" t="str">
        <f>IFERROR(VLOOKUP($C35,Tabla_Documentos[],3,FALSE),"")</f>
        <v>76113262-8</v>
      </c>
      <c r="F35" s="35" t="str">
        <f>IFERROR(VLOOKUP($C35,Tabla_Documentos[],4,FALSE),"")</f>
        <v>SERVICIO DE AMBULANCIAS Y TRASLADO DE ENFERMOS SPA</v>
      </c>
      <c r="G35" s="38">
        <f>IFERROR(VLOOKUP($C35,Tabla_Documentos[],5,FALSE),"")</f>
        <v>71400</v>
      </c>
      <c r="H35" s="29" t="str">
        <f>IFERROR(VLOOKUP($C35,Tabla_Documentos[],6,FALSE),"")</f>
        <v>PUBLICIDAD</v>
      </c>
      <c r="I35" s="38">
        <f>IFERROR(VLOOKUP($C35,Tabla_Documentos[],5,FALSE),"")</f>
        <v>71400</v>
      </c>
      <c r="J35" s="25">
        <v>45673</v>
      </c>
    </row>
    <row r="36" spans="3:10" ht="21" customHeight="1" x14ac:dyDescent="0.25">
      <c r="C36" s="39">
        <v>908</v>
      </c>
      <c r="D36" s="28">
        <f>IFERROR(VLOOKUP($C36,Tabla_Documentos[],2,FALSE),"")</f>
        <v>45673</v>
      </c>
      <c r="E36" s="34" t="str">
        <f>IFERROR(VLOOKUP($C36,Tabla_Documentos[],3,FALSE),"")</f>
        <v>99598680-9</v>
      </c>
      <c r="F36" s="35" t="str">
        <f>IFERROR(VLOOKUP($C36,Tabla_Documentos[],4,FALSE),"")</f>
        <v>GRAN CASINO DE COPIAPO S.A.</v>
      </c>
      <c r="G36" s="38">
        <f>IFERROR(VLOOKUP($C36,Tabla_Documentos[],5,FALSE),"")</f>
        <v>1661240</v>
      </c>
      <c r="H36" s="29" t="str">
        <f>IFERROR(VLOOKUP($C36,Tabla_Documentos[],6,FALSE),"")</f>
        <v>OBRAS CIVILES</v>
      </c>
      <c r="I36" s="38">
        <f>IFERROR(VLOOKUP($C36,Tabla_Documentos[],5,FALSE),"")</f>
        <v>1661240</v>
      </c>
      <c r="J36" s="25">
        <v>45679</v>
      </c>
    </row>
    <row r="37" spans="3:10" ht="21" customHeight="1" x14ac:dyDescent="0.25">
      <c r="C37" s="39">
        <v>909</v>
      </c>
      <c r="D37" s="28">
        <f>IFERROR(VLOOKUP($C37,Tabla_Documentos[],2,FALSE),"")</f>
        <v>45673</v>
      </c>
      <c r="E37" s="34" t="str">
        <f>IFERROR(VLOOKUP($C37,Tabla_Documentos[],3,FALSE),"")</f>
        <v>99598680-9</v>
      </c>
      <c r="F37" s="35" t="str">
        <f>IFERROR(VLOOKUP($C37,Tabla_Documentos[],4,FALSE),"")</f>
        <v>GRAN CASINO DE COPIAPO S.A.</v>
      </c>
      <c r="G37" s="38">
        <f>IFERROR(VLOOKUP($C37,Tabla_Documentos[],5,FALSE),"")</f>
        <v>2308600</v>
      </c>
      <c r="H37" s="29" t="str">
        <f>IFERROR(VLOOKUP($C37,Tabla_Documentos[],6,FALSE),"")</f>
        <v>OBRAS CIVILES</v>
      </c>
      <c r="I37" s="38">
        <f>IFERROR(VLOOKUP($C37,Tabla_Documentos[],5,FALSE),"")</f>
        <v>2308600</v>
      </c>
      <c r="J37" s="25">
        <v>45677</v>
      </c>
    </row>
    <row r="38" spans="3:10" ht="21" customHeight="1" x14ac:dyDescent="0.25">
      <c r="C38" s="39">
        <v>910</v>
      </c>
      <c r="D38" s="28">
        <f>IFERROR(VLOOKUP($C38,Tabla_Documentos[],2,FALSE),"")</f>
        <v>45677</v>
      </c>
      <c r="E38" s="34" t="str">
        <f>IFERROR(VLOOKUP($C38,Tabla_Documentos[],3,FALSE),"")</f>
        <v>99598680-9</v>
      </c>
      <c r="F38" s="35" t="str">
        <f>IFERROR(VLOOKUP($C38,Tabla_Documentos[],4,FALSE),"")</f>
        <v>GRAN CASINO DE COPIAPO S.A.</v>
      </c>
      <c r="G38" s="38">
        <f>IFERROR(VLOOKUP($C38,Tabla_Documentos[],5,FALSE),"")</f>
        <v>2582300</v>
      </c>
      <c r="H38" s="29" t="str">
        <f>IFERROR(VLOOKUP($C38,Tabla_Documentos[],6,FALSE),"")</f>
        <v>OBRAS CIVILES</v>
      </c>
      <c r="I38" s="38">
        <f>IFERROR(VLOOKUP($C38,Tabla_Documentos[],5,FALSE),"")</f>
        <v>2582300</v>
      </c>
      <c r="J38" s="25">
        <v>45687</v>
      </c>
    </row>
    <row r="39" spans="3:10" ht="21" customHeight="1" x14ac:dyDescent="0.25">
      <c r="C39" s="39">
        <v>911</v>
      </c>
      <c r="D39" s="28">
        <f>IFERROR(VLOOKUP($C39,Tabla_Documentos[],2,FALSE),"")</f>
        <v>45677</v>
      </c>
      <c r="E39" s="34" t="str">
        <f>IFERROR(VLOOKUP($C39,Tabla_Documentos[],3,FALSE),"")</f>
        <v>99598680-9</v>
      </c>
      <c r="F39" s="35" t="str">
        <f>IFERROR(VLOOKUP($C39,Tabla_Documentos[],4,FALSE),"")</f>
        <v>GRAN CASINO DE COPIAPO S.A.</v>
      </c>
      <c r="G39" s="38">
        <f>IFERROR(VLOOKUP($C39,Tabla_Documentos[],5,FALSE),"")</f>
        <v>1387540</v>
      </c>
      <c r="H39" s="29" t="str">
        <f>IFERROR(VLOOKUP($C39,Tabla_Documentos[],6,FALSE),"")</f>
        <v>OBRAS CIVILES</v>
      </c>
      <c r="I39" s="38">
        <f>IFERROR(VLOOKUP($C39,Tabla_Documentos[],5,FALSE),"")</f>
        <v>1387540</v>
      </c>
      <c r="J39" s="25">
        <v>45687</v>
      </c>
    </row>
    <row r="40" spans="3:10" ht="21" customHeight="1" x14ac:dyDescent="0.25">
      <c r="C40" s="39">
        <v>912</v>
      </c>
      <c r="D40" s="28">
        <f>IFERROR(VLOOKUP($C40,Tabla_Documentos[],2,FALSE),"")</f>
        <v>45678</v>
      </c>
      <c r="E40" s="34" t="str">
        <f>IFERROR(VLOOKUP($C40,Tabla_Documentos[],3,FALSE),"")</f>
        <v>76478614-9</v>
      </c>
      <c r="F40" s="35" t="str">
        <f>IFERROR(VLOOKUP($C40,Tabla_Documentos[],4,FALSE),"")</f>
        <v>INGENIERIA C Y G LIMITADA</v>
      </c>
      <c r="G40" s="38">
        <f>IFERROR(VLOOKUP($C40,Tabla_Documentos[],5,FALSE),"")</f>
        <v>308805</v>
      </c>
      <c r="H40" s="29" t="str">
        <f>IFERROR(VLOOKUP($C40,Tabla_Documentos[],6,FALSE),"")</f>
        <v>PUBLICIDAD</v>
      </c>
      <c r="I40" s="38">
        <f>IFERROR(VLOOKUP($C40,Tabla_Documentos[],5,FALSE),"")</f>
        <v>308805</v>
      </c>
      <c r="J40" s="25">
        <v>45679</v>
      </c>
    </row>
    <row r="41" spans="3:10" ht="21" customHeight="1" x14ac:dyDescent="0.25">
      <c r="C41" s="39">
        <v>913</v>
      </c>
      <c r="D41" s="28">
        <f>IFERROR(VLOOKUP($C41,Tabla_Documentos[],2,FALSE),"")</f>
        <v>45679</v>
      </c>
      <c r="E41" s="34" t="str">
        <f>IFERROR(VLOOKUP($C41,Tabla_Documentos[],3,FALSE),"")</f>
        <v>3231880-0</v>
      </c>
      <c r="F41" s="35" t="str">
        <f>IFERROR(VLOOKUP($C41,Tabla_Documentos[],4,FALSE),"")</f>
        <v>ERNESTO OMAR MOLINA MOLINA</v>
      </c>
      <c r="G41" s="38">
        <f>IFERROR(VLOOKUP($C41,Tabla_Documentos[],5,FALSE),"")</f>
        <v>202300</v>
      </c>
      <c r="H41" s="29" t="str">
        <f>IFERROR(VLOOKUP($C41,Tabla_Documentos[],6,FALSE),"")</f>
        <v>PUBLICIDAD</v>
      </c>
      <c r="I41" s="38">
        <f>IFERROR(VLOOKUP($C41,Tabla_Documentos[],5,FALSE),"")</f>
        <v>202300</v>
      </c>
      <c r="J41" s="25">
        <v>45679</v>
      </c>
    </row>
    <row r="42" spans="3:10" ht="21" customHeight="1" x14ac:dyDescent="0.25">
      <c r="C42" s="39">
        <v>914</v>
      </c>
      <c r="D42" s="28">
        <f>IFERROR(VLOOKUP($C42,Tabla_Documentos[],2,FALSE),"")</f>
        <v>45679</v>
      </c>
      <c r="E42" s="34" t="str">
        <f>IFERROR(VLOOKUP($C42,Tabla_Documentos[],3,FALSE),"")</f>
        <v>76416561-6</v>
      </c>
      <c r="F42" s="35" t="str">
        <f>IFERROR(VLOOKUP($C42,Tabla_Documentos[],4,FALSE),"")</f>
        <v>SOCIEDAD RENT A CAR EMM LIMITADA</v>
      </c>
      <c r="G42" s="38">
        <f>IFERROR(VLOOKUP($C42,Tabla_Documentos[],5,FALSE),"")</f>
        <v>119000</v>
      </c>
      <c r="H42" s="29" t="str">
        <f>IFERROR(VLOOKUP($C42,Tabla_Documentos[],6,FALSE),"")</f>
        <v>PUBLICIDAD</v>
      </c>
      <c r="I42" s="38">
        <f>IFERROR(VLOOKUP($C42,Tabla_Documentos[],5,FALSE),"")</f>
        <v>119000</v>
      </c>
      <c r="J42" s="25">
        <v>45679</v>
      </c>
    </row>
    <row r="43" spans="3:10" ht="21" customHeight="1" x14ac:dyDescent="0.25">
      <c r="C43" s="39">
        <v>915</v>
      </c>
      <c r="D43" s="28">
        <f>IFERROR(VLOOKUP($C43,Tabla_Documentos[],2,FALSE),"")</f>
        <v>45680</v>
      </c>
      <c r="E43" s="34" t="str">
        <f>IFERROR(VLOOKUP($C43,Tabla_Documentos[],3,FALSE),"")</f>
        <v>76303840-8</v>
      </c>
      <c r="F43" s="35" t="str">
        <f>IFERROR(VLOOKUP($C43,Tabla_Documentos[],4,FALSE),"")</f>
        <v>TRANSPORTES VERASAY SPA</v>
      </c>
      <c r="G43" s="38">
        <f>IFERROR(VLOOKUP($C43,Tabla_Documentos[],5,FALSE),"")</f>
        <v>170000</v>
      </c>
      <c r="H43" s="29" t="str">
        <f>IFERROR(VLOOKUP($C43,Tabla_Documentos[],6,FALSE),"")</f>
        <v>PUBLICIDAD</v>
      </c>
      <c r="I43" s="38">
        <f>IFERROR(VLOOKUP($C43,Tabla_Documentos[],5,FALSE),"")</f>
        <v>170000</v>
      </c>
      <c r="J43" s="25">
        <v>45680</v>
      </c>
    </row>
    <row r="44" spans="3:10" ht="21" customHeight="1" x14ac:dyDescent="0.25">
      <c r="C44" s="39">
        <v>916</v>
      </c>
      <c r="D44" s="28">
        <f>IFERROR(VLOOKUP($C44,Tabla_Documentos[],2,FALSE),"")</f>
        <v>45682</v>
      </c>
      <c r="E44" s="34" t="str">
        <f>IFERROR(VLOOKUP($C44,Tabla_Documentos[],3,FALSE),"")</f>
        <v>77490759-9</v>
      </c>
      <c r="F44" s="35" t="str">
        <f>IFERROR(VLOOKUP($C44,Tabla_Documentos[],4,FALSE),"")</f>
        <v>ESTAFETA CARGO EXPRESS LIMITADA</v>
      </c>
      <c r="G44" s="38">
        <f>IFERROR(VLOOKUP($C44,Tabla_Documentos[],5,FALSE),"")</f>
        <v>60001</v>
      </c>
      <c r="H44" s="29" t="str">
        <f>IFERROR(VLOOKUP($C44,Tabla_Documentos[],6,FALSE),"")</f>
        <v>PUBLICIDAD</v>
      </c>
      <c r="I44" s="38">
        <f>IFERROR(VLOOKUP($C44,Tabla_Documentos[],5,FALSE),"")</f>
        <v>60001</v>
      </c>
      <c r="J44" s="25">
        <v>45682</v>
      </c>
    </row>
    <row r="45" spans="3:10" ht="21" customHeight="1" x14ac:dyDescent="0.25">
      <c r="C45" s="39">
        <v>917</v>
      </c>
      <c r="D45" s="28">
        <f>IFERROR(VLOOKUP($C45,Tabla_Documentos[],2,FALSE),"")</f>
        <v>45685</v>
      </c>
      <c r="E45" s="34" t="str">
        <f>IFERROR(VLOOKUP($C45,Tabla_Documentos[],3,FALSE),"")</f>
        <v>76309046-9</v>
      </c>
      <c r="F45" s="35" t="str">
        <f>IFERROR(VLOOKUP($C45,Tabla_Documentos[],4,FALSE),"")</f>
        <v>COMERCIALIZADORA FERCASTA SPA</v>
      </c>
      <c r="G45" s="38">
        <f>IFERROR(VLOOKUP($C45,Tabla_Documentos[],5,FALSE),"")</f>
        <v>40001</v>
      </c>
      <c r="H45" s="29" t="str">
        <f>IFERROR(VLOOKUP($C45,Tabla_Documentos[],6,FALSE),"")</f>
        <v>PUBLICIDAD</v>
      </c>
      <c r="I45" s="38">
        <f>IFERROR(VLOOKUP($C45,Tabla_Documentos[],5,FALSE),"")</f>
        <v>40001</v>
      </c>
      <c r="J45" s="25">
        <v>45685</v>
      </c>
    </row>
    <row r="46" spans="3:10" ht="21" customHeight="1" x14ac:dyDescent="0.25">
      <c r="C46" s="39">
        <v>918</v>
      </c>
      <c r="D46" s="28">
        <f>IFERROR(VLOOKUP($C46,Tabla_Documentos[],2,FALSE),"")</f>
        <v>45685</v>
      </c>
      <c r="E46" s="34" t="str">
        <f>IFERROR(VLOOKUP($C46,Tabla_Documentos[],3,FALSE),"")</f>
        <v>76744135-5</v>
      </c>
      <c r="F46" s="35" t="str">
        <f>IFERROR(VLOOKUP($C46,Tabla_Documentos[],4,FALSE),"")</f>
        <v>PATAGONIA SERVICIOS SPA</v>
      </c>
      <c r="G46" s="38">
        <f>IFERROR(VLOOKUP($C46,Tabla_Documentos[],5,FALSE),"")</f>
        <v>2975000</v>
      </c>
      <c r="H46" s="29" t="str">
        <f>IFERROR(VLOOKUP($C46,Tabla_Documentos[],6,FALSE),"")</f>
        <v>OBRAS CIVILES</v>
      </c>
      <c r="I46" s="38">
        <f>IFERROR(VLOOKUP($C46,Tabla_Documentos[],5,FALSE),"")</f>
        <v>2975000</v>
      </c>
      <c r="J46" s="25">
        <v>45694</v>
      </c>
    </row>
    <row r="47" spans="3:10" ht="21" customHeight="1" x14ac:dyDescent="0.25">
      <c r="C47" s="39">
        <v>919</v>
      </c>
      <c r="D47" s="28">
        <f>IFERROR(VLOOKUP($C47,Tabla_Documentos[],2,FALSE),"")</f>
        <v>45685</v>
      </c>
      <c r="E47" s="34" t="str">
        <f>IFERROR(VLOOKUP($C47,Tabla_Documentos[],3,FALSE),"")</f>
        <v>76652918-6</v>
      </c>
      <c r="F47" s="35" t="str">
        <f>IFERROR(VLOOKUP($C47,Tabla_Documentos[],4,FALSE),"")</f>
        <v>PRESTACION DE SERVICIOS MEDICOS JOSE LUIS GUERRA DIAZ E.I.R.L.</v>
      </c>
      <c r="G47" s="38">
        <f>IFERROR(VLOOKUP($C47,Tabla_Documentos[],5,FALSE),"")</f>
        <v>928200</v>
      </c>
      <c r="H47" s="29" t="str">
        <f>IFERROR(VLOOKUP($C47,Tabla_Documentos[],6,FALSE),"")</f>
        <v>PUBLICIDAD</v>
      </c>
      <c r="I47" s="38">
        <f>IFERROR(VLOOKUP($C47,Tabla_Documentos[],5,FALSE),"")</f>
        <v>928200</v>
      </c>
      <c r="J47" s="25">
        <v>45685</v>
      </c>
    </row>
    <row r="48" spans="3:10" ht="21" customHeight="1" x14ac:dyDescent="0.25">
      <c r="C48" s="39">
        <v>920</v>
      </c>
      <c r="D48" s="28">
        <f>IFERROR(VLOOKUP($C48,Tabla_Documentos[],2,FALSE),"")</f>
        <v>45685</v>
      </c>
      <c r="E48" s="34" t="str">
        <f>IFERROR(VLOOKUP($C48,Tabla_Documentos[],3,FALSE),"")</f>
        <v>76250422-7</v>
      </c>
      <c r="F48" s="35" t="str">
        <f>IFERROR(VLOOKUP($C48,Tabla_Documentos[],4,FALSE),"")</f>
        <v>CENTRO DE RECICLAJE DEL NORTE LIMITADA</v>
      </c>
      <c r="G48" s="38">
        <f>IFERROR(VLOOKUP($C48,Tabla_Documentos[],5,FALSE),"")</f>
        <v>47600</v>
      </c>
      <c r="H48" s="29" t="str">
        <f>IFERROR(VLOOKUP($C48,Tabla_Documentos[],6,FALSE),"")</f>
        <v>PUBLICIDAD</v>
      </c>
      <c r="I48" s="38">
        <f>IFERROR(VLOOKUP($C48,Tabla_Documentos[],5,FALSE),"")</f>
        <v>47600</v>
      </c>
      <c r="J48" s="25">
        <v>45685</v>
      </c>
    </row>
    <row r="49" spans="3:10" ht="21" customHeight="1" x14ac:dyDescent="0.25">
      <c r="C49" s="39">
        <v>921</v>
      </c>
      <c r="D49" s="28">
        <f>IFERROR(VLOOKUP($C49,Tabla_Documentos[],2,FALSE),"")</f>
        <v>45685</v>
      </c>
      <c r="E49" s="34" t="str">
        <f>IFERROR(VLOOKUP($C49,Tabla_Documentos[],3,FALSE),"")</f>
        <v>76913732-7</v>
      </c>
      <c r="F49" s="35" t="str">
        <f>IFERROR(VLOOKUP($C49,Tabla_Documentos[],4,FALSE),"")</f>
        <v>ATACAMA SERVICIOS LIMITADA</v>
      </c>
      <c r="G49" s="38">
        <f>IFERROR(VLOOKUP($C49,Tabla_Documentos[],5,FALSE),"")</f>
        <v>35700</v>
      </c>
      <c r="H49" s="29" t="str">
        <f>IFERROR(VLOOKUP($C49,Tabla_Documentos[],6,FALSE),"")</f>
        <v>PUBLICIDAD</v>
      </c>
      <c r="I49" s="38">
        <f>IFERROR(VLOOKUP($C49,Tabla_Documentos[],5,FALSE),"")</f>
        <v>35700</v>
      </c>
      <c r="J49" s="25">
        <v>45685</v>
      </c>
    </row>
    <row r="50" spans="3:10" ht="21" customHeight="1" x14ac:dyDescent="0.25">
      <c r="C50" s="39">
        <v>922</v>
      </c>
      <c r="D50" s="28">
        <f>IFERROR(VLOOKUP($C50,Tabla_Documentos[],2,FALSE),"")</f>
        <v>45685</v>
      </c>
      <c r="E50" s="34" t="str">
        <f>IFERROR(VLOOKUP($C50,Tabla_Documentos[],3,FALSE),"")</f>
        <v>76913732-7</v>
      </c>
      <c r="F50" s="35" t="str">
        <f>IFERROR(VLOOKUP($C50,Tabla_Documentos[],4,FALSE),"")</f>
        <v>ATACAMA SERVICIOS LIMITADA</v>
      </c>
      <c r="G50" s="38">
        <f>IFERROR(VLOOKUP($C50,Tabla_Documentos[],5,FALSE),"")</f>
        <v>71400</v>
      </c>
      <c r="H50" s="29" t="str">
        <f>IFERROR(VLOOKUP($C50,Tabla_Documentos[],6,FALSE),"")</f>
        <v>PUBLICIDAD</v>
      </c>
      <c r="I50" s="38">
        <f>IFERROR(VLOOKUP($C50,Tabla_Documentos[],5,FALSE),"")</f>
        <v>71400</v>
      </c>
      <c r="J50" s="25">
        <v>45685</v>
      </c>
    </row>
    <row r="51" spans="3:10" ht="21" customHeight="1" x14ac:dyDescent="0.25">
      <c r="C51" s="39">
        <v>923</v>
      </c>
      <c r="D51" s="28">
        <f>IFERROR(VLOOKUP($C51,Tabla_Documentos[],2,FALSE),"")</f>
        <v>45686</v>
      </c>
      <c r="E51" s="34" t="str">
        <f>IFERROR(VLOOKUP($C51,Tabla_Documentos[],3,FALSE),"")</f>
        <v>76575710-K</v>
      </c>
      <c r="F51" s="35" t="str">
        <f>IFERROR(VLOOKUP($C51,Tabla_Documentos[],4,FALSE),"")</f>
        <v>GALEB  GALEB EVENTOS LIMITADA</v>
      </c>
      <c r="G51" s="38">
        <f>IFERROR(VLOOKUP($C51,Tabla_Documentos[],5,FALSE),"")</f>
        <v>190000</v>
      </c>
      <c r="H51" s="29" t="str">
        <f>IFERROR(VLOOKUP($C51,Tabla_Documentos[],6,FALSE),"")</f>
        <v>PUBLICIDAD</v>
      </c>
      <c r="I51" s="38">
        <f>IFERROR(VLOOKUP($C51,Tabla_Documentos[],5,FALSE),"")</f>
        <v>190000</v>
      </c>
      <c r="J51" s="25">
        <v>45686</v>
      </c>
    </row>
    <row r="52" spans="3:10" ht="21" customHeight="1" x14ac:dyDescent="0.25">
      <c r="C52" s="39">
        <v>924</v>
      </c>
      <c r="D52" s="28">
        <f>IFERROR(VLOOKUP($C52,Tabla_Documentos[],2,FALSE),"")</f>
        <v>45686</v>
      </c>
      <c r="E52" s="34" t="str">
        <f>IFERROR(VLOOKUP($C52,Tabla_Documentos[],3,FALSE),"")</f>
        <v>78003761-K</v>
      </c>
      <c r="F52" s="35" t="str">
        <f>IFERROR(VLOOKUP($C52,Tabla_Documentos[],4,FALSE),"")</f>
        <v>SC CLEAN CAR SPA</v>
      </c>
      <c r="G52" s="38">
        <f>IFERROR(VLOOKUP($C52,Tabla_Documentos[],5,FALSE),"")</f>
        <v>380800</v>
      </c>
      <c r="H52" s="29" t="str">
        <f>IFERROR(VLOOKUP($C52,Tabla_Documentos[],6,FALSE),"")</f>
        <v>PUBLICIDAD</v>
      </c>
      <c r="I52" s="38">
        <f>IFERROR(VLOOKUP($C52,Tabla_Documentos[],5,FALSE),"")</f>
        <v>380800</v>
      </c>
      <c r="J52" s="25">
        <v>45686</v>
      </c>
    </row>
    <row r="53" spans="3:10" ht="21" customHeight="1" x14ac:dyDescent="0.25">
      <c r="C53" s="39">
        <v>925</v>
      </c>
      <c r="D53" s="28">
        <f>IFERROR(VLOOKUP($C53,Tabla_Documentos[],2,FALSE),"")</f>
        <v>45691</v>
      </c>
      <c r="E53" s="34" t="str">
        <f>IFERROR(VLOOKUP($C53,Tabla_Documentos[],3,FALSE),"")</f>
        <v>78648780-3</v>
      </c>
      <c r="F53" s="35" t="str">
        <f>IFERROR(VLOOKUP($C53,Tabla_Documentos[],4,FALSE),"")</f>
        <v>SOCIEDAD DEMOLICIONES MARIO PORZIO S.A.</v>
      </c>
      <c r="G53" s="38">
        <f>IFERROR(VLOOKUP($C53,Tabla_Documentos[],5,FALSE),"")</f>
        <v>25000</v>
      </c>
      <c r="H53" s="29" t="str">
        <f>IFERROR(VLOOKUP($C53,Tabla_Documentos[],6,FALSE),"")</f>
        <v>PUBLICIDAD</v>
      </c>
      <c r="I53" s="38">
        <f>IFERROR(VLOOKUP($C53,Tabla_Documentos[],5,FALSE),"")</f>
        <v>25000</v>
      </c>
      <c r="J53" s="25">
        <v>45691</v>
      </c>
    </row>
    <row r="54" spans="3:10" ht="21" customHeight="1" x14ac:dyDescent="0.25">
      <c r="C54" s="39">
        <v>926</v>
      </c>
      <c r="D54" s="28">
        <f>IFERROR(VLOOKUP($C54,Tabla_Documentos[],2,FALSE),"")</f>
        <v>45691</v>
      </c>
      <c r="E54" s="34" t="str">
        <f>IFERROR(VLOOKUP($C54,Tabla_Documentos[],3,FALSE),"")</f>
        <v>77885825-8</v>
      </c>
      <c r="F54" s="35" t="str">
        <f>IFERROR(VLOOKUP($C54,Tabla_Documentos[],4,FALSE),"")</f>
        <v>SERVICIOS ARDIRAB SPA</v>
      </c>
      <c r="G54" s="38">
        <f>IFERROR(VLOOKUP($C54,Tabla_Documentos[],5,FALSE),"")</f>
        <v>5450200</v>
      </c>
      <c r="H54" s="29" t="str">
        <f>IFERROR(VLOOKUP($C54,Tabla_Documentos[],6,FALSE),"")</f>
        <v>PUBLICIDAD</v>
      </c>
      <c r="I54" s="38">
        <f>IFERROR(VLOOKUP($C54,Tabla_Documentos[],5,FALSE),"")</f>
        <v>5450200</v>
      </c>
      <c r="J54" s="25">
        <v>45719</v>
      </c>
    </row>
    <row r="55" spans="3:10" ht="21" customHeight="1" x14ac:dyDescent="0.25">
      <c r="C55" s="39">
        <v>927</v>
      </c>
      <c r="D55" s="28">
        <f>IFERROR(VLOOKUP($C55,Tabla_Documentos[],2,FALSE),"")</f>
        <v>45691</v>
      </c>
      <c r="E55" s="34" t="str">
        <f>IFERROR(VLOOKUP($C55,Tabla_Documentos[],3,FALSE),"")</f>
        <v>76686138-5</v>
      </c>
      <c r="F55" s="35" t="str">
        <f>IFERROR(VLOOKUP($C55,Tabla_Documentos[],4,FALSE),"")</f>
        <v>SKC RED SPA</v>
      </c>
      <c r="G55" s="38">
        <f>IFERROR(VLOOKUP($C55,Tabla_Documentos[],5,FALSE),"")</f>
        <v>142800</v>
      </c>
      <c r="H55" s="29" t="str">
        <f>IFERROR(VLOOKUP($C55,Tabla_Documentos[],6,FALSE),"")</f>
        <v>PUBLICIDAD</v>
      </c>
      <c r="I55" s="38">
        <f>IFERROR(VLOOKUP($C55,Tabla_Documentos[],5,FALSE),"")</f>
        <v>142800</v>
      </c>
      <c r="J55" s="25">
        <v>45723</v>
      </c>
    </row>
    <row r="56" spans="3:10" ht="21" customHeight="1" x14ac:dyDescent="0.25">
      <c r="C56" s="39">
        <v>928</v>
      </c>
      <c r="D56" s="28">
        <f>IFERROR(VLOOKUP($C56,Tabla_Documentos[],2,FALSE),"")</f>
        <v>45691</v>
      </c>
      <c r="E56" s="34" t="str">
        <f>IFERROR(VLOOKUP($C56,Tabla_Documentos[],3,FALSE),"")</f>
        <v>76686138-5</v>
      </c>
      <c r="F56" s="35" t="str">
        <f>IFERROR(VLOOKUP($C56,Tabla_Documentos[],4,FALSE),"")</f>
        <v>SKC RED SPA</v>
      </c>
      <c r="G56" s="38">
        <f>IFERROR(VLOOKUP($C56,Tabla_Documentos[],5,FALSE),"")</f>
        <v>428400</v>
      </c>
      <c r="H56" s="29" t="str">
        <f>IFERROR(VLOOKUP($C56,Tabla_Documentos[],6,FALSE),"")</f>
        <v>PUBLICIDAD</v>
      </c>
      <c r="I56" s="38">
        <f>IFERROR(VLOOKUP($C56,Tabla_Documentos[],5,FALSE),"")</f>
        <v>428400</v>
      </c>
      <c r="J56" s="25">
        <v>45723</v>
      </c>
    </row>
    <row r="57" spans="3:10" ht="21" customHeight="1" x14ac:dyDescent="0.25">
      <c r="C57" s="39">
        <v>929</v>
      </c>
      <c r="D57" s="28">
        <f>IFERROR(VLOOKUP($C57,Tabla_Documentos[],2,FALSE),"")</f>
        <v>45691</v>
      </c>
      <c r="E57" s="34" t="str">
        <f>IFERROR(VLOOKUP($C57,Tabla_Documentos[],3,FALSE),"")</f>
        <v>78320430-4</v>
      </c>
      <c r="F57" s="35" t="str">
        <f>IFERROR(VLOOKUP($C57,Tabla_Documentos[],4,FALSE),"")</f>
        <v>AUTOMOTRIZ NICOLAS LTDA.</v>
      </c>
      <c r="G57" s="38">
        <f>IFERROR(VLOOKUP($C57,Tabla_Documentos[],5,FALSE),"")</f>
        <v>714000</v>
      </c>
      <c r="H57" s="29" t="str">
        <f>IFERROR(VLOOKUP($C57,Tabla_Documentos[],6,FALSE),"")</f>
        <v>PUBLICIDAD</v>
      </c>
      <c r="I57" s="38">
        <f>IFERROR(VLOOKUP($C57,Tabla_Documentos[],5,FALSE),"")</f>
        <v>714000</v>
      </c>
      <c r="J57" s="25">
        <v>45716</v>
      </c>
    </row>
    <row r="58" spans="3:10" ht="21" customHeight="1" x14ac:dyDescent="0.25">
      <c r="C58" s="39">
        <v>930</v>
      </c>
      <c r="D58" s="28">
        <f>IFERROR(VLOOKUP($C58,Tabla_Documentos[],2,FALSE),"")</f>
        <v>45691</v>
      </c>
      <c r="E58" s="34" t="str">
        <f>IFERROR(VLOOKUP($C58,Tabla_Documentos[],3,FALSE),"")</f>
        <v>77508244-5</v>
      </c>
      <c r="F58" s="35" t="str">
        <f>IFERROR(VLOOKUP($C58,Tabla_Documentos[],4,FALSE),"")</f>
        <v>INVERSIONES O4 SPA</v>
      </c>
      <c r="G58" s="38">
        <f>IFERROR(VLOOKUP($C58,Tabla_Documentos[],5,FALSE),"")</f>
        <v>160650</v>
      </c>
      <c r="H58" s="29" t="str">
        <f>IFERROR(VLOOKUP($C58,Tabla_Documentos[],6,FALSE),"")</f>
        <v>PUBLICIDAD</v>
      </c>
      <c r="I58" s="38">
        <f>IFERROR(VLOOKUP($C58,Tabla_Documentos[],5,FALSE),"")</f>
        <v>160650</v>
      </c>
      <c r="J58" s="25">
        <v>45691</v>
      </c>
    </row>
    <row r="59" spans="3:10" ht="21" customHeight="1" x14ac:dyDescent="0.25">
      <c r="C59" s="39">
        <v>931</v>
      </c>
      <c r="D59" s="28">
        <f>IFERROR(VLOOKUP($C59,Tabla_Documentos[],2,FALSE),"")</f>
        <v>45691</v>
      </c>
      <c r="E59" s="34" t="str">
        <f>IFERROR(VLOOKUP($C59,Tabla_Documentos[],3,FALSE),"")</f>
        <v>77508244-5</v>
      </c>
      <c r="F59" s="35" t="str">
        <f>IFERROR(VLOOKUP($C59,Tabla_Documentos[],4,FALSE),"")</f>
        <v>INVERSIONES O4 SPA</v>
      </c>
      <c r="G59" s="38">
        <f>IFERROR(VLOOKUP($C59,Tabla_Documentos[],5,FALSE),"")</f>
        <v>160650</v>
      </c>
      <c r="H59" s="29" t="str">
        <f>IFERROR(VLOOKUP($C59,Tabla_Documentos[],6,FALSE),"")</f>
        <v>PUBLICIDAD</v>
      </c>
      <c r="I59" s="38">
        <f>IFERROR(VLOOKUP($C59,Tabla_Documentos[],5,FALSE),"")</f>
        <v>160650</v>
      </c>
      <c r="J59" s="25">
        <v>45691</v>
      </c>
    </row>
    <row r="60" spans="3:10" ht="21" customHeight="1" x14ac:dyDescent="0.25">
      <c r="C60" s="39">
        <v>932</v>
      </c>
      <c r="D60" s="28">
        <f>IFERROR(VLOOKUP($C60,Tabla_Documentos[],2,FALSE),"")</f>
        <v>45693</v>
      </c>
      <c r="E60" s="34" t="str">
        <f>IFERROR(VLOOKUP($C60,Tabla_Documentos[],3,FALSE),"")</f>
        <v>76311879-7</v>
      </c>
      <c r="F60" s="35" t="str">
        <f>IFERROR(VLOOKUP($C60,Tabla_Documentos[],4,FALSE),"")</f>
        <v>SOCIEDAD DE INVERSIONES SAN ALONSO SPA</v>
      </c>
      <c r="G60" s="38">
        <f>IFERROR(VLOOKUP($C60,Tabla_Documentos[],5,FALSE),"")</f>
        <v>350000</v>
      </c>
      <c r="H60" s="29" t="str">
        <f>IFERROR(VLOOKUP($C60,Tabla_Documentos[],6,FALSE),"")</f>
        <v>PUBLICIDAD</v>
      </c>
      <c r="I60" s="38">
        <f>IFERROR(VLOOKUP($C60,Tabla_Documentos[],5,FALSE),"")</f>
        <v>350000</v>
      </c>
      <c r="J60" s="25">
        <v>45693</v>
      </c>
    </row>
    <row r="61" spans="3:10" ht="21" customHeight="1" x14ac:dyDescent="0.25">
      <c r="C61" s="39">
        <v>933</v>
      </c>
      <c r="D61" s="28">
        <f>IFERROR(VLOOKUP($C61,Tabla_Documentos[],2,FALSE),"")</f>
        <v>45698</v>
      </c>
      <c r="E61" s="34" t="str">
        <f>IFERROR(VLOOKUP($C61,Tabla_Documentos[],3,FALSE),"")</f>
        <v>76575710-K</v>
      </c>
      <c r="F61" s="35" t="str">
        <f>IFERROR(VLOOKUP($C61,Tabla_Documentos[],4,FALSE),"")</f>
        <v>GALEB  GALEB EVENTOS LIMITADA</v>
      </c>
      <c r="G61" s="38">
        <f>IFERROR(VLOOKUP($C61,Tabla_Documentos[],5,FALSE),"")</f>
        <v>180001</v>
      </c>
      <c r="H61" s="29" t="str">
        <f>IFERROR(VLOOKUP($C61,Tabla_Documentos[],6,FALSE),"")</f>
        <v>PUBLICIDAD</v>
      </c>
      <c r="I61" s="38">
        <f>IFERROR(VLOOKUP($C61,Tabla_Documentos[],5,FALSE),"")</f>
        <v>180001</v>
      </c>
      <c r="J61" s="25">
        <v>45698</v>
      </c>
    </row>
    <row r="62" spans="3:10" ht="21" customHeight="1" x14ac:dyDescent="0.25">
      <c r="C62" s="39">
        <v>934</v>
      </c>
      <c r="D62" s="28">
        <f>IFERROR(VLOOKUP($C62,Tabla_Documentos[],2,FALSE),"")</f>
        <v>45698</v>
      </c>
      <c r="E62" s="34" t="str">
        <f>IFERROR(VLOOKUP($C62,Tabla_Documentos[],3,FALSE),"")</f>
        <v>77841885-1</v>
      </c>
      <c r="F62" s="35" t="str">
        <f>IFERROR(VLOOKUP($C62,Tabla_Documentos[],4,FALSE),"")</f>
        <v>TRANSPORTES TOLECAR SPA</v>
      </c>
      <c r="G62" s="38">
        <f>IFERROR(VLOOKUP($C62,Tabla_Documentos[],5,FALSE),"")</f>
        <v>38080</v>
      </c>
      <c r="H62" s="29" t="str">
        <f>IFERROR(VLOOKUP($C62,Tabla_Documentos[],6,FALSE),"")</f>
        <v>PUBLICIDAD</v>
      </c>
      <c r="I62" s="38">
        <f>IFERROR(VLOOKUP($C62,Tabla_Documentos[],5,FALSE),"")</f>
        <v>38080</v>
      </c>
      <c r="J62" s="25">
        <v>45698</v>
      </c>
    </row>
    <row r="63" spans="3:10" ht="21" customHeight="1" x14ac:dyDescent="0.25">
      <c r="C63" s="39">
        <v>935</v>
      </c>
      <c r="D63" s="28">
        <f>IFERROR(VLOOKUP($C63,Tabla_Documentos[],2,FALSE),"")</f>
        <v>45700</v>
      </c>
      <c r="E63" s="34" t="str">
        <f>IFERROR(VLOOKUP($C63,Tabla_Documentos[],3,FALSE),"")</f>
        <v>76350127-2</v>
      </c>
      <c r="F63" s="35" t="str">
        <f>IFERROR(VLOOKUP($C63,Tabla_Documentos[],4,FALSE),"")</f>
        <v>TRANSPORTES C Y C LIMITADA</v>
      </c>
      <c r="G63" s="38">
        <f>IFERROR(VLOOKUP($C63,Tabla_Documentos[],5,FALSE),"")</f>
        <v>23800</v>
      </c>
      <c r="H63" s="29" t="str">
        <f>IFERROR(VLOOKUP($C63,Tabla_Documentos[],6,FALSE),"")</f>
        <v>PUBLICIDAD</v>
      </c>
      <c r="I63" s="38">
        <f>IFERROR(VLOOKUP($C63,Tabla_Documentos[],5,FALSE),"")</f>
        <v>23800</v>
      </c>
      <c r="J63" s="25">
        <v>45700</v>
      </c>
    </row>
    <row r="64" spans="3:10" ht="21" customHeight="1" x14ac:dyDescent="0.25">
      <c r="C64" s="39">
        <v>936</v>
      </c>
      <c r="D64" s="28">
        <f>IFERROR(VLOOKUP($C64,Tabla_Documentos[],2,FALSE),"")</f>
        <v>45700</v>
      </c>
      <c r="E64" s="34" t="str">
        <f>IFERROR(VLOOKUP($C64,Tabla_Documentos[],3,FALSE),"")</f>
        <v>9051431-8</v>
      </c>
      <c r="F64" s="35" t="str">
        <f>IFERROR(VLOOKUP($C64,Tabla_Documentos[],4,FALSE),"")</f>
        <v>RAMON ANGEL RIQUELME OLIVARES</v>
      </c>
      <c r="G64" s="38">
        <f>IFERROR(VLOOKUP($C64,Tabla_Documentos[],5,FALSE),"")</f>
        <v>278460</v>
      </c>
      <c r="H64" s="29" t="str">
        <f>IFERROR(VLOOKUP($C64,Tabla_Documentos[],6,FALSE),"")</f>
        <v>PUBLICIDAD</v>
      </c>
      <c r="I64" s="38">
        <f>IFERROR(VLOOKUP($C64,Tabla_Documentos[],5,FALSE),"")</f>
        <v>278460</v>
      </c>
      <c r="J64" s="25">
        <v>45700</v>
      </c>
    </row>
    <row r="65" spans="3:10" ht="21" customHeight="1" x14ac:dyDescent="0.25">
      <c r="C65" s="39">
        <v>937</v>
      </c>
      <c r="D65" s="28">
        <f>IFERROR(VLOOKUP($C65,Tabla_Documentos[],2,FALSE),"")</f>
        <v>45700</v>
      </c>
      <c r="E65" s="34" t="str">
        <f>IFERROR(VLOOKUP($C65,Tabla_Documentos[],3,FALSE),"")</f>
        <v>76250422-7</v>
      </c>
      <c r="F65" s="35" t="str">
        <f>IFERROR(VLOOKUP($C65,Tabla_Documentos[],4,FALSE),"")</f>
        <v>CENTRO DE RECICLAJE DEL NORTE LIMITADA</v>
      </c>
      <c r="G65" s="38">
        <f>IFERROR(VLOOKUP($C65,Tabla_Documentos[],5,FALSE),"")</f>
        <v>47600</v>
      </c>
      <c r="H65" s="29" t="str">
        <f>IFERROR(VLOOKUP($C65,Tabla_Documentos[],6,FALSE),"")</f>
        <v>PUBLICIDAD</v>
      </c>
      <c r="I65" s="38">
        <f>IFERROR(VLOOKUP($C65,Tabla_Documentos[],5,FALSE),"")</f>
        <v>47600</v>
      </c>
      <c r="J65" s="25">
        <v>45700</v>
      </c>
    </row>
    <row r="66" spans="3:10" ht="21" customHeight="1" x14ac:dyDescent="0.25">
      <c r="C66" s="39">
        <v>938</v>
      </c>
      <c r="D66" s="28">
        <f>IFERROR(VLOOKUP($C66,Tabla_Documentos[],2,FALSE),"")</f>
        <v>45700</v>
      </c>
      <c r="E66" s="34" t="str">
        <f>IFERROR(VLOOKUP($C66,Tabla_Documentos[],3,FALSE),"")</f>
        <v>76652918-6</v>
      </c>
      <c r="F66" s="35" t="str">
        <f>IFERROR(VLOOKUP($C66,Tabla_Documentos[],4,FALSE),"")</f>
        <v>PRESTACION DE SERVICIOS MEDICOS JOSE LUIS GUERRA DIAZ E.I.R.L.</v>
      </c>
      <c r="G66" s="38">
        <f>IFERROR(VLOOKUP($C66,Tabla_Documentos[],5,FALSE),"")</f>
        <v>142800</v>
      </c>
      <c r="H66" s="29" t="str">
        <f>IFERROR(VLOOKUP($C66,Tabla_Documentos[],6,FALSE),"")</f>
        <v>PUBLICIDAD</v>
      </c>
      <c r="I66" s="38">
        <f>IFERROR(VLOOKUP($C66,Tabla_Documentos[],5,FALSE),"")</f>
        <v>142800</v>
      </c>
      <c r="J66" s="25">
        <v>45700</v>
      </c>
    </row>
    <row r="67" spans="3:10" ht="21" customHeight="1" x14ac:dyDescent="0.25">
      <c r="C67" s="39">
        <v>939</v>
      </c>
      <c r="D67" s="28">
        <f>IFERROR(VLOOKUP($C67,Tabla_Documentos[],2,FALSE),"")</f>
        <v>45702</v>
      </c>
      <c r="E67" s="34" t="str">
        <f>IFERROR(VLOOKUP($C67,Tabla_Documentos[],3,FALSE),"")</f>
        <v>77005394-3</v>
      </c>
      <c r="F67" s="35" t="str">
        <f>IFERROR(VLOOKUP($C67,Tabla_Documentos[],4,FALSE),"")</f>
        <v>INVERSIONES FPG SPA</v>
      </c>
      <c r="G67" s="38">
        <f>IFERROR(VLOOKUP($C67,Tabla_Documentos[],5,FALSE),"")</f>
        <v>435540</v>
      </c>
      <c r="H67" s="29" t="str">
        <f>IFERROR(VLOOKUP($C67,Tabla_Documentos[],6,FALSE),"")</f>
        <v>PUBLICIDAD</v>
      </c>
      <c r="I67" s="38">
        <f>IFERROR(VLOOKUP($C67,Tabla_Documentos[],5,FALSE),"")</f>
        <v>435540</v>
      </c>
      <c r="J67" s="25">
        <v>45702</v>
      </c>
    </row>
    <row r="68" spans="3:10" ht="21" customHeight="1" x14ac:dyDescent="0.25">
      <c r="C68" s="39">
        <v>940</v>
      </c>
      <c r="D68" s="28">
        <f>IFERROR(VLOOKUP($C68,Tabla_Documentos[],2,FALSE),"")</f>
        <v>45702</v>
      </c>
      <c r="E68" s="34" t="str">
        <f>IFERROR(VLOOKUP($C68,Tabla_Documentos[],3,FALSE),"")</f>
        <v>76686138-5</v>
      </c>
      <c r="F68" s="35" t="str">
        <f>IFERROR(VLOOKUP($C68,Tabla_Documentos[],4,FALSE),"")</f>
        <v>SKC RED SPA</v>
      </c>
      <c r="G68" s="38">
        <f>IFERROR(VLOOKUP($C68,Tabla_Documentos[],5,FALSE),"")</f>
        <v>416500</v>
      </c>
      <c r="H68" s="29" t="str">
        <f>IFERROR(VLOOKUP($C68,Tabla_Documentos[],6,FALSE),"")</f>
        <v>PUBLICIDAD</v>
      </c>
      <c r="I68" s="38">
        <f>IFERROR(VLOOKUP($C68,Tabla_Documentos[],5,FALSE),"")</f>
        <v>416500</v>
      </c>
      <c r="J68" s="25">
        <v>45730</v>
      </c>
    </row>
    <row r="69" spans="3:10" ht="21" customHeight="1" x14ac:dyDescent="0.25">
      <c r="C69" s="39">
        <v>941</v>
      </c>
      <c r="D69" s="28">
        <f>IFERROR(VLOOKUP($C69,Tabla_Documentos[],2,FALSE),"")</f>
        <v>45705</v>
      </c>
      <c r="E69" s="34" t="str">
        <f>IFERROR(VLOOKUP($C69,Tabla_Documentos[],3,FALSE),"")</f>
        <v>9051431-8</v>
      </c>
      <c r="F69" s="35" t="str">
        <f>IFERROR(VLOOKUP($C69,Tabla_Documentos[],4,FALSE),"")</f>
        <v>RAMON ANGEL RIQUELME OLIVARES</v>
      </c>
      <c r="G69" s="38">
        <f>IFERROR(VLOOKUP($C69,Tabla_Documentos[],5,FALSE),"")</f>
        <v>3998400</v>
      </c>
      <c r="H69" s="29" t="str">
        <f>IFERROR(VLOOKUP($C69,Tabla_Documentos[],6,FALSE),"")</f>
        <v>PUBLICIDAD</v>
      </c>
      <c r="I69" s="38">
        <f>IFERROR(VLOOKUP($C69,Tabla_Documentos[],5,FALSE),"")</f>
        <v>3998400</v>
      </c>
      <c r="J69" s="25">
        <v>45705</v>
      </c>
    </row>
    <row r="70" spans="3:10" ht="21" customHeight="1" x14ac:dyDescent="0.25">
      <c r="C70" s="39">
        <v>942</v>
      </c>
      <c r="D70" s="28">
        <f>IFERROR(VLOOKUP($C70,Tabla_Documentos[],2,FALSE),"")</f>
        <v>45705</v>
      </c>
      <c r="E70" s="34" t="str">
        <f>IFERROR(VLOOKUP($C70,Tabla_Documentos[],3,FALSE),"")</f>
        <v>9051431-8</v>
      </c>
      <c r="F70" s="35" t="str">
        <f>IFERROR(VLOOKUP($C70,Tabla_Documentos[],4,FALSE),"")</f>
        <v>RAMON ANGEL RIQUELME OLIVARES</v>
      </c>
      <c r="G70" s="38">
        <f>IFERROR(VLOOKUP($C70,Tabla_Documentos[],5,FALSE),"")</f>
        <v>261800</v>
      </c>
      <c r="H70" s="29" t="str">
        <f>IFERROR(VLOOKUP($C70,Tabla_Documentos[],6,FALSE),"")</f>
        <v>PUBLICIDAD</v>
      </c>
      <c r="I70" s="38">
        <f>IFERROR(VLOOKUP($C70,Tabla_Documentos[],5,FALSE),"")</f>
        <v>261800</v>
      </c>
      <c r="J70" s="25">
        <v>45705</v>
      </c>
    </row>
    <row r="71" spans="3:10" ht="21" customHeight="1" x14ac:dyDescent="0.25">
      <c r="C71" s="39">
        <v>943</v>
      </c>
      <c r="D71" s="28">
        <f>IFERROR(VLOOKUP($C71,Tabla_Documentos[],2,FALSE),"")</f>
        <v>45706</v>
      </c>
      <c r="E71" s="34" t="str">
        <f>IFERROR(VLOOKUP($C71,Tabla_Documentos[],3,FALSE),"")</f>
        <v>77382153-4</v>
      </c>
      <c r="F71" s="35" t="str">
        <f>IFERROR(VLOOKUP($C71,Tabla_Documentos[],4,FALSE),"")</f>
        <v>AUCAN LOGISTIC SPA</v>
      </c>
      <c r="G71" s="38">
        <f>IFERROR(VLOOKUP($C71,Tabla_Documentos[],5,FALSE),"")</f>
        <v>434350</v>
      </c>
      <c r="H71" s="29" t="str">
        <f>IFERROR(VLOOKUP($C71,Tabla_Documentos[],6,FALSE),"")</f>
        <v>PUBLICIDAD</v>
      </c>
      <c r="I71" s="38">
        <f>IFERROR(VLOOKUP($C71,Tabla_Documentos[],5,FALSE),"")</f>
        <v>434350</v>
      </c>
      <c r="J71" s="25">
        <v>45706</v>
      </c>
    </row>
    <row r="72" spans="3:10" ht="21" customHeight="1" x14ac:dyDescent="0.25">
      <c r="C72" s="39">
        <v>944</v>
      </c>
      <c r="D72" s="28">
        <f>IFERROR(VLOOKUP($C72,Tabla_Documentos[],2,FALSE),"")</f>
        <v>45706</v>
      </c>
      <c r="E72" s="34" t="str">
        <f>IFERROR(VLOOKUP($C72,Tabla_Documentos[],3,FALSE),"")</f>
        <v>78442450-2</v>
      </c>
      <c r="F72" s="35" t="str">
        <f>IFERROR(VLOOKUP($C72,Tabla_Documentos[],4,FALSE),"")</f>
        <v>MINERA NITTETSU CHILE LTDA</v>
      </c>
      <c r="G72" s="38">
        <f>IFERROR(VLOOKUP($C72,Tabla_Documentos[],5,FALSE),"")</f>
        <v>119000</v>
      </c>
      <c r="H72" s="29" t="str">
        <f>IFERROR(VLOOKUP($C72,Tabla_Documentos[],6,FALSE),"")</f>
        <v>PUBLICIDAD</v>
      </c>
      <c r="I72" s="38">
        <f>IFERROR(VLOOKUP($C72,Tabla_Documentos[],5,FALSE),"")</f>
        <v>119000</v>
      </c>
      <c r="J72" s="25">
        <v>45706</v>
      </c>
    </row>
    <row r="73" spans="3:10" ht="21" customHeight="1" x14ac:dyDescent="0.25">
      <c r="C73" s="39">
        <v>945</v>
      </c>
      <c r="D73" s="28">
        <f>IFERROR(VLOOKUP($C73,Tabla_Documentos[],2,FALSE),"")</f>
        <v>45706</v>
      </c>
      <c r="E73" s="34" t="str">
        <f>IFERROR(VLOOKUP($C73,Tabla_Documentos[],3,FALSE),"")</f>
        <v>76478614-9</v>
      </c>
      <c r="F73" s="35" t="str">
        <f>IFERROR(VLOOKUP($C73,Tabla_Documentos[],4,FALSE),"")</f>
        <v>INGENIERIA C Y G LIMITADA</v>
      </c>
      <c r="G73" s="38">
        <f>IFERROR(VLOOKUP($C73,Tabla_Documentos[],5,FALSE),"")</f>
        <v>183260</v>
      </c>
      <c r="H73" s="29" t="str">
        <f>IFERROR(VLOOKUP($C73,Tabla_Documentos[],6,FALSE),"")</f>
        <v>PUBLICIDAD</v>
      </c>
      <c r="I73" s="38">
        <f>IFERROR(VLOOKUP($C73,Tabla_Documentos[],5,FALSE),"")</f>
        <v>183260</v>
      </c>
      <c r="J73" s="25">
        <v>45707</v>
      </c>
    </row>
    <row r="74" spans="3:10" ht="21" customHeight="1" x14ac:dyDescent="0.25">
      <c r="C74" s="39">
        <v>946</v>
      </c>
      <c r="D74" s="28">
        <f>IFERROR(VLOOKUP($C74,Tabla_Documentos[],2,FALSE),"")</f>
        <v>45707</v>
      </c>
      <c r="E74" s="34" t="str">
        <f>IFERROR(VLOOKUP($C74,Tabla_Documentos[],3,FALSE),"")</f>
        <v>76953805-4</v>
      </c>
      <c r="F74" s="35" t="str">
        <f>IFERROR(VLOOKUP($C74,Tabla_Documentos[],4,FALSE),"")</f>
        <v>SERVICIOS MONTENEGRO SPA</v>
      </c>
      <c r="G74" s="38">
        <f>IFERROR(VLOOKUP($C74,Tabla_Documentos[],5,FALSE),"")</f>
        <v>35700</v>
      </c>
      <c r="H74" s="29" t="str">
        <f>IFERROR(VLOOKUP($C74,Tabla_Documentos[],6,FALSE),"")</f>
        <v>PUBLICIDAD</v>
      </c>
      <c r="I74" s="38">
        <f>IFERROR(VLOOKUP($C74,Tabla_Documentos[],5,FALSE),"")</f>
        <v>35700</v>
      </c>
      <c r="J74" s="25">
        <v>45707</v>
      </c>
    </row>
    <row r="75" spans="3:10" ht="21" customHeight="1" x14ac:dyDescent="0.25">
      <c r="C75" s="39">
        <v>947</v>
      </c>
      <c r="D75" s="28">
        <f>IFERROR(VLOOKUP($C75,Tabla_Documentos[],2,FALSE),"")</f>
        <v>45708</v>
      </c>
      <c r="E75" s="34" t="str">
        <f>IFERROR(VLOOKUP($C75,Tabla_Documentos[],3,FALSE),"")</f>
        <v>78442450-2</v>
      </c>
      <c r="F75" s="35" t="str">
        <f>IFERROR(VLOOKUP($C75,Tabla_Documentos[],4,FALSE),"")</f>
        <v>MINERA NITTETSU CHILE LTDA</v>
      </c>
      <c r="G75" s="38">
        <f>IFERROR(VLOOKUP($C75,Tabla_Documentos[],5,FALSE),"")</f>
        <v>107100</v>
      </c>
      <c r="H75" s="29" t="str">
        <f>IFERROR(VLOOKUP($C75,Tabla_Documentos[],6,FALSE),"")</f>
        <v>PUBLICIDAD</v>
      </c>
      <c r="I75" s="38">
        <f>IFERROR(VLOOKUP($C75,Tabla_Documentos[],5,FALSE),"")</f>
        <v>107100</v>
      </c>
      <c r="J75" s="25">
        <v>45708</v>
      </c>
    </row>
    <row r="76" spans="3:10" ht="21" customHeight="1" x14ac:dyDescent="0.25">
      <c r="C76" s="39">
        <v>948</v>
      </c>
      <c r="D76" s="28">
        <f>IFERROR(VLOOKUP($C76,Tabla_Documentos[],2,FALSE),"")</f>
        <v>45708</v>
      </c>
      <c r="E76" s="34" t="str">
        <f>IFERROR(VLOOKUP($C76,Tabla_Documentos[],3,FALSE),"")</f>
        <v>77382153-4</v>
      </c>
      <c r="F76" s="35" t="str">
        <f>IFERROR(VLOOKUP($C76,Tabla_Documentos[],4,FALSE),"")</f>
        <v>AUCAN LOGISTIC SPA</v>
      </c>
      <c r="G76" s="38">
        <f>IFERROR(VLOOKUP($C76,Tabla_Documentos[],5,FALSE),"")</f>
        <v>428400</v>
      </c>
      <c r="H76" s="29" t="str">
        <f>IFERROR(VLOOKUP($C76,Tabla_Documentos[],6,FALSE),"")</f>
        <v>PUBLICIDAD</v>
      </c>
      <c r="I76" s="38">
        <f>IFERROR(VLOOKUP($C76,Tabla_Documentos[],5,FALSE),"")</f>
        <v>428400</v>
      </c>
      <c r="J76" s="25">
        <v>45708</v>
      </c>
    </row>
    <row r="77" spans="3:10" ht="21" customHeight="1" x14ac:dyDescent="0.25">
      <c r="C77" s="39">
        <v>949</v>
      </c>
      <c r="D77" s="28">
        <f>IFERROR(VLOOKUP($C77,Tabla_Documentos[],2,FALSE),"")</f>
        <v>45709</v>
      </c>
      <c r="E77" s="34" t="str">
        <f>IFERROR(VLOOKUP($C77,Tabla_Documentos[],3,FALSE),"")</f>
        <v>78089646-9</v>
      </c>
      <c r="F77" s="35" t="str">
        <f>IFERROR(VLOOKUP($C77,Tabla_Documentos[],4,FALSE),"")</f>
        <v>MADOM SERVICIO AUTOMOTRIZ SPA</v>
      </c>
      <c r="G77" s="38">
        <f>IFERROR(VLOOKUP($C77,Tabla_Documentos[],5,FALSE),"")</f>
        <v>416500</v>
      </c>
      <c r="H77" s="29" t="str">
        <f>IFERROR(VLOOKUP($C77,Tabla_Documentos[],6,FALSE),"")</f>
        <v>PUBLICIDAD</v>
      </c>
      <c r="I77" s="38">
        <f>IFERROR(VLOOKUP($C77,Tabla_Documentos[],5,FALSE),"")</f>
        <v>416500</v>
      </c>
      <c r="J77" s="25">
        <v>45709</v>
      </c>
    </row>
    <row r="78" spans="3:10" ht="21" customHeight="1" x14ac:dyDescent="0.25">
      <c r="C78" s="39">
        <v>950</v>
      </c>
      <c r="D78" s="28">
        <f>IFERROR(VLOOKUP($C78,Tabla_Documentos[],2,FALSE),"")</f>
        <v>45713</v>
      </c>
      <c r="E78" s="34" t="str">
        <f>IFERROR(VLOOKUP($C78,Tabla_Documentos[],3,FALSE),"")</f>
        <v>76478614-9</v>
      </c>
      <c r="F78" s="35" t="str">
        <f>IFERROR(VLOOKUP($C78,Tabla_Documentos[],4,FALSE),"")</f>
        <v>INGENIERIA C Y G LIMITADA</v>
      </c>
      <c r="G78" s="38">
        <f>IFERROR(VLOOKUP($C78,Tabla_Documentos[],5,FALSE),"")</f>
        <v>203490</v>
      </c>
      <c r="H78" s="29" t="str">
        <f>IFERROR(VLOOKUP($C78,Tabla_Documentos[],6,FALSE),"")</f>
        <v>PUBLICIDAD</v>
      </c>
      <c r="I78" s="38">
        <f>IFERROR(VLOOKUP($C78,Tabla_Documentos[],5,FALSE),"")</f>
        <v>203490</v>
      </c>
      <c r="J78" s="25">
        <v>45714</v>
      </c>
    </row>
    <row r="79" spans="3:10" ht="21" customHeight="1" x14ac:dyDescent="0.25">
      <c r="C79" s="39">
        <v>951</v>
      </c>
      <c r="D79" s="28">
        <f>IFERROR(VLOOKUP($C79,Tabla_Documentos[],2,FALSE),"")</f>
        <v>45714</v>
      </c>
      <c r="E79" s="34" t="str">
        <f>IFERROR(VLOOKUP($C79,Tabla_Documentos[],3,FALSE),"")</f>
        <v>77320063-7</v>
      </c>
      <c r="F79" s="35" t="str">
        <f>IFERROR(VLOOKUP($C79,Tabla_Documentos[],4,FALSE),"")</f>
        <v>YACAR SPA</v>
      </c>
      <c r="G79" s="38">
        <f>IFERROR(VLOOKUP($C79,Tabla_Documentos[],5,FALSE),"")</f>
        <v>226100</v>
      </c>
      <c r="H79" s="29" t="str">
        <f>IFERROR(VLOOKUP($C79,Tabla_Documentos[],6,FALSE),"")</f>
        <v>PUBLICIDAD</v>
      </c>
      <c r="I79" s="38">
        <f>IFERROR(VLOOKUP($C79,Tabla_Documentos[],5,FALSE),"")</f>
        <v>226100</v>
      </c>
      <c r="J79" s="25">
        <v>45714</v>
      </c>
    </row>
    <row r="80" spans="3:10" ht="21" customHeight="1" x14ac:dyDescent="0.25">
      <c r="C80" s="39">
        <v>952</v>
      </c>
      <c r="D80" s="28">
        <f>IFERROR(VLOOKUP($C80,Tabla_Documentos[],2,FALSE),"")</f>
        <v>45715</v>
      </c>
      <c r="E80" s="34" t="str">
        <f>IFERROR(VLOOKUP($C80,Tabla_Documentos[],3,FALSE),"")</f>
        <v>76752001-8</v>
      </c>
      <c r="F80" s="35" t="str">
        <f>IFERROR(VLOOKUP($C80,Tabla_Documentos[],4,FALSE),"")</f>
        <v>ALTE INDUSTRIAL S.A.</v>
      </c>
      <c r="G80" s="38">
        <f>IFERROR(VLOOKUP($C80,Tabla_Documentos[],5,FALSE),"")</f>
        <v>210000</v>
      </c>
      <c r="H80" s="29" t="str">
        <f>IFERROR(VLOOKUP($C80,Tabla_Documentos[],6,FALSE),"")</f>
        <v>PUBLICIDAD</v>
      </c>
      <c r="I80" s="38">
        <f>IFERROR(VLOOKUP($C80,Tabla_Documentos[],5,FALSE),"")</f>
        <v>210000</v>
      </c>
      <c r="J80" s="25">
        <v>45715</v>
      </c>
    </row>
    <row r="81" spans="3:10" ht="21" customHeight="1" x14ac:dyDescent="0.25">
      <c r="C81" s="39">
        <v>953</v>
      </c>
      <c r="D81" s="28">
        <f>IFERROR(VLOOKUP($C81,Tabla_Documentos[],2,FALSE),"")</f>
        <v>45716</v>
      </c>
      <c r="E81" s="34" t="str">
        <f>IFERROR(VLOOKUP($C81,Tabla_Documentos[],3,FALSE),"")</f>
        <v>76250422-7</v>
      </c>
      <c r="F81" s="35" t="str">
        <f>IFERROR(VLOOKUP($C81,Tabla_Documentos[],4,FALSE),"")</f>
        <v>CENTRO DE RECICLAJE DEL NORTE LIMITADA</v>
      </c>
      <c r="G81" s="38">
        <f>IFERROR(VLOOKUP($C81,Tabla_Documentos[],5,FALSE),"")</f>
        <v>47600</v>
      </c>
      <c r="H81" s="29" t="str">
        <f>IFERROR(VLOOKUP($C81,Tabla_Documentos[],6,FALSE),"")</f>
        <v>PUBLICIDAD</v>
      </c>
      <c r="I81" s="38">
        <f>IFERROR(VLOOKUP($C81,Tabla_Documentos[],5,FALSE),"")</f>
        <v>47600</v>
      </c>
      <c r="J81" s="25">
        <v>45716</v>
      </c>
    </row>
    <row r="82" spans="3:10" ht="21" customHeight="1" x14ac:dyDescent="0.25">
      <c r="C82" s="39">
        <v>954</v>
      </c>
      <c r="D82" s="28">
        <f>IFERROR(VLOOKUP($C82,Tabla_Documentos[],2,FALSE),"")</f>
        <v>45716</v>
      </c>
      <c r="E82" s="34" t="str">
        <f>IFERROR(VLOOKUP($C82,Tabla_Documentos[],3,FALSE),"")</f>
        <v>77193770-5</v>
      </c>
      <c r="F82" s="35" t="str">
        <f>IFERROR(VLOOKUP($C82,Tabla_Documentos[],4,FALSE),"")</f>
        <v>INMOBILIARIA E INVERSIONES QUILODRAN LIMITADA</v>
      </c>
      <c r="G82" s="38">
        <f>IFERROR(VLOOKUP($C82,Tabla_Documentos[],5,FALSE),"")</f>
        <v>702100</v>
      </c>
      <c r="H82" s="29" t="str">
        <f>IFERROR(VLOOKUP($C82,Tabla_Documentos[],6,FALSE),"")</f>
        <v>PUBLICIDAD</v>
      </c>
      <c r="I82" s="38">
        <f>IFERROR(VLOOKUP($C82,Tabla_Documentos[],5,FALSE),"")</f>
        <v>702100</v>
      </c>
      <c r="J82" s="25">
        <v>45716</v>
      </c>
    </row>
    <row r="83" spans="3:10" ht="21" customHeight="1" x14ac:dyDescent="0.25">
      <c r="C83" s="39">
        <v>955</v>
      </c>
      <c r="D83" s="28">
        <f>IFERROR(VLOOKUP($C83,Tabla_Documentos[],2,FALSE),"")</f>
        <v>45716</v>
      </c>
      <c r="E83" s="34" t="str">
        <f>IFERROR(VLOOKUP($C83,Tabla_Documentos[],3,FALSE),"")</f>
        <v>77193770-5</v>
      </c>
      <c r="F83" s="35" t="str">
        <f>IFERROR(VLOOKUP($C83,Tabla_Documentos[],4,FALSE),"")</f>
        <v>INMOBILIARIA E INVERSIONES QUILODRAN LIMITADA</v>
      </c>
      <c r="G83" s="38">
        <f>IFERROR(VLOOKUP($C83,Tabla_Documentos[],5,FALSE),"")</f>
        <v>107100</v>
      </c>
      <c r="H83" s="29" t="str">
        <f>IFERROR(VLOOKUP($C83,Tabla_Documentos[],6,FALSE),"")</f>
        <v>PUBLICIDAD</v>
      </c>
      <c r="I83" s="38">
        <f>IFERROR(VLOOKUP($C83,Tabla_Documentos[],5,FALSE),"")</f>
        <v>107100</v>
      </c>
      <c r="J83" s="25">
        <v>45716</v>
      </c>
    </row>
    <row r="84" spans="3:10" ht="21" customHeight="1" x14ac:dyDescent="0.25">
      <c r="C84" s="39">
        <v>956</v>
      </c>
      <c r="D84" s="28">
        <f>IFERROR(VLOOKUP($C84,Tabla_Documentos[],2,FALSE),"")</f>
        <v>45719</v>
      </c>
      <c r="E84" s="34" t="str">
        <f>IFERROR(VLOOKUP($C84,Tabla_Documentos[],3,FALSE),"")</f>
        <v>77225118-1</v>
      </c>
      <c r="F84" s="35" t="str">
        <f>IFERROR(VLOOKUP($C84,Tabla_Documentos[],4,FALSE),"")</f>
        <v>JERALDO TOPOGRAFÃA SUBTERRÃNEA Y GEODÃ‰SICA SPA</v>
      </c>
      <c r="G84" s="38">
        <f>IFERROR(VLOOKUP($C84,Tabla_Documentos[],5,FALSE),"")</f>
        <v>95200</v>
      </c>
      <c r="H84" s="29" t="str">
        <f>IFERROR(VLOOKUP($C84,Tabla_Documentos[],6,FALSE),"")</f>
        <v>PUBLICIDAD</v>
      </c>
      <c r="I84" s="38">
        <f>IFERROR(VLOOKUP($C84,Tabla_Documentos[],5,FALSE),"")</f>
        <v>95200</v>
      </c>
      <c r="J84" s="25">
        <v>45719</v>
      </c>
    </row>
    <row r="85" spans="3:10" ht="21" customHeight="1" x14ac:dyDescent="0.25">
      <c r="C85" s="39">
        <v>957</v>
      </c>
      <c r="D85" s="28">
        <f>IFERROR(VLOOKUP($C85,Tabla_Documentos[],2,FALSE),"")</f>
        <v>45719</v>
      </c>
      <c r="E85" s="34" t="str">
        <f>IFERROR(VLOOKUP($C85,Tabla_Documentos[],3,FALSE),"")</f>
        <v>76808242-1</v>
      </c>
      <c r="F85" s="35" t="str">
        <f>IFERROR(VLOOKUP($C85,Tabla_Documentos[],4,FALSE),"")</f>
        <v>TRANSNORTE SPA</v>
      </c>
      <c r="G85" s="38">
        <f>IFERROR(VLOOKUP($C85,Tabla_Documentos[],5,FALSE),"")</f>
        <v>1868300</v>
      </c>
      <c r="H85" s="29" t="str">
        <f>IFERROR(VLOOKUP($C85,Tabla_Documentos[],6,FALSE),"")</f>
        <v>PUBLICIDAD</v>
      </c>
      <c r="I85" s="38">
        <f>IFERROR(VLOOKUP($C85,Tabla_Documentos[],5,FALSE),"")</f>
        <v>1868300</v>
      </c>
      <c r="J85" s="25">
        <v>45719</v>
      </c>
    </row>
    <row r="86" spans="3:10" ht="21" customHeight="1" x14ac:dyDescent="0.25">
      <c r="C86" s="39">
        <v>958</v>
      </c>
      <c r="D86" s="28">
        <f>IFERROR(VLOOKUP($C86,Tabla_Documentos[],2,FALSE),"")</f>
        <v>45719</v>
      </c>
      <c r="E86" s="34" t="str">
        <f>IFERROR(VLOOKUP($C86,Tabla_Documentos[],3,FALSE),"")</f>
        <v>76652918-6</v>
      </c>
      <c r="F86" s="35" t="str">
        <f>IFERROR(VLOOKUP($C86,Tabla_Documentos[],4,FALSE),"")</f>
        <v>PRESTACION DE SERVICIOS MEDICOS JOSE LUIS GUERRA DIAZ E.I.R.L.</v>
      </c>
      <c r="G86" s="38">
        <f>IFERROR(VLOOKUP($C86,Tabla_Documentos[],5,FALSE),"")</f>
        <v>630700</v>
      </c>
      <c r="H86" s="29" t="str">
        <f>IFERROR(VLOOKUP($C86,Tabla_Documentos[],6,FALSE),"")</f>
        <v>PUBLICIDAD</v>
      </c>
      <c r="I86" s="38">
        <f>IFERROR(VLOOKUP($C86,Tabla_Documentos[],5,FALSE),"")</f>
        <v>630700</v>
      </c>
      <c r="J86" s="25">
        <v>45719</v>
      </c>
    </row>
    <row r="87" spans="3:10" ht="21" customHeight="1" x14ac:dyDescent="0.25">
      <c r="C87" s="39">
        <v>959</v>
      </c>
      <c r="D87" s="28">
        <f>IFERROR(VLOOKUP($C87,Tabla_Documentos[],2,FALSE),"")</f>
        <v>45719</v>
      </c>
      <c r="E87" s="34" t="str">
        <f>IFERROR(VLOOKUP($C87,Tabla_Documentos[],3,FALSE),"")</f>
        <v>76686138-5</v>
      </c>
      <c r="F87" s="35" t="str">
        <f>IFERROR(VLOOKUP($C87,Tabla_Documentos[],4,FALSE),"")</f>
        <v>SKC RED SPA</v>
      </c>
      <c r="G87" s="38">
        <f>IFERROR(VLOOKUP($C87,Tabla_Documentos[],5,FALSE),"")</f>
        <v>190400</v>
      </c>
      <c r="H87" s="29" t="str">
        <f>IFERROR(VLOOKUP($C87,Tabla_Documentos[],6,FALSE),"")</f>
        <v>PUBLICIDAD</v>
      </c>
      <c r="I87" s="38">
        <f>IFERROR(VLOOKUP($C87,Tabla_Documentos[],5,FALSE),"")</f>
        <v>190400</v>
      </c>
      <c r="J87" s="25">
        <v>45848</v>
      </c>
    </row>
    <row r="88" spans="3:10" ht="21" customHeight="1" x14ac:dyDescent="0.25">
      <c r="C88" s="39">
        <v>960</v>
      </c>
      <c r="D88" s="28">
        <f>IFERROR(VLOOKUP($C88,Tabla_Documentos[],2,FALSE),"")</f>
        <v>45719</v>
      </c>
      <c r="E88" s="34" t="str">
        <f>IFERROR(VLOOKUP($C88,Tabla_Documentos[],3,FALSE),"")</f>
        <v>76881519-4</v>
      </c>
      <c r="F88" s="35" t="str">
        <f>IFERROR(VLOOKUP($C88,Tabla_Documentos[],4,FALSE),"")</f>
        <v>CENTRO DE MANTENIMIENTO AUTOMOTRIZ Y MAQUINARIA SPA</v>
      </c>
      <c r="G88" s="38">
        <f>IFERROR(VLOOKUP($C88,Tabla_Documentos[],5,FALSE),"")</f>
        <v>380800</v>
      </c>
      <c r="H88" s="29" t="str">
        <f>IFERROR(VLOOKUP($C88,Tabla_Documentos[],6,FALSE),"")</f>
        <v>PUBLICIDAD</v>
      </c>
      <c r="I88" s="38">
        <f>IFERROR(VLOOKUP($C88,Tabla_Documentos[],5,FALSE),"")</f>
        <v>380800</v>
      </c>
      <c r="J88" s="25">
        <v>45719</v>
      </c>
    </row>
    <row r="89" spans="3:10" ht="21" customHeight="1" x14ac:dyDescent="0.25">
      <c r="C89" s="39">
        <v>961</v>
      </c>
      <c r="D89" s="28">
        <f>IFERROR(VLOOKUP($C89,Tabla_Documentos[],2,FALSE),"")</f>
        <v>45719</v>
      </c>
      <c r="E89" s="34" t="str">
        <f>IFERROR(VLOOKUP($C89,Tabla_Documentos[],3,FALSE),"")</f>
        <v>77885825-8</v>
      </c>
      <c r="F89" s="35" t="str">
        <f>IFERROR(VLOOKUP($C89,Tabla_Documentos[],4,FALSE),"")</f>
        <v>SERVICIOS ARDIRAB SPA</v>
      </c>
      <c r="G89" s="38">
        <f>IFERROR(VLOOKUP($C89,Tabla_Documentos[],5,FALSE),"")</f>
        <v>142800</v>
      </c>
      <c r="H89" s="29" t="str">
        <f>IFERROR(VLOOKUP($C89,Tabla_Documentos[],6,FALSE),"")</f>
        <v>PUBLICIDAD</v>
      </c>
      <c r="I89" s="38">
        <f>IFERROR(VLOOKUP($C89,Tabla_Documentos[],5,FALSE),"")</f>
        <v>142800</v>
      </c>
      <c r="J89" s="25">
        <v>45759</v>
      </c>
    </row>
    <row r="90" spans="3:10" ht="21" customHeight="1" x14ac:dyDescent="0.25">
      <c r="C90" s="39">
        <v>962</v>
      </c>
      <c r="D90" s="28">
        <f>IFERROR(VLOOKUP($C90,Tabla_Documentos[],2,FALSE),"")</f>
        <v>45719</v>
      </c>
      <c r="E90" s="34" t="str">
        <f>IFERROR(VLOOKUP($C90,Tabla_Documentos[],3,FALSE),"")</f>
        <v>9051431-8</v>
      </c>
      <c r="F90" s="35" t="str">
        <f>IFERROR(VLOOKUP($C90,Tabla_Documentos[],4,FALSE),"")</f>
        <v>RAMON ANGEL RIQUELME OLIVARES</v>
      </c>
      <c r="G90" s="38">
        <f>IFERROR(VLOOKUP($C90,Tabla_Documentos[],5,FALSE),"")</f>
        <v>123760</v>
      </c>
      <c r="H90" s="29" t="str">
        <f>IFERROR(VLOOKUP($C90,Tabla_Documentos[],6,FALSE),"")</f>
        <v>PUBLICIDAD</v>
      </c>
      <c r="I90" s="38">
        <f>IFERROR(VLOOKUP($C90,Tabla_Documentos[],5,FALSE),"")</f>
        <v>123760</v>
      </c>
      <c r="J90" s="25">
        <v>45719</v>
      </c>
    </row>
    <row r="91" spans="3:10" ht="21" customHeight="1" x14ac:dyDescent="0.25">
      <c r="C91" s="39">
        <v>963</v>
      </c>
      <c r="D91" s="28">
        <f>IFERROR(VLOOKUP($C91,Tabla_Documentos[],2,FALSE),"")</f>
        <v>45719</v>
      </c>
      <c r="E91" s="34" t="str">
        <f>IFERROR(VLOOKUP($C91,Tabla_Documentos[],3,FALSE),"")</f>
        <v>77002348-3</v>
      </c>
      <c r="F91" s="35" t="str">
        <f>IFERROR(VLOOKUP($C91,Tabla_Documentos[],4,FALSE),"")</f>
        <v>SERVICIOS INDUSTRIALES ROBERTO FERNANDEZ SPA</v>
      </c>
      <c r="G91" s="38">
        <f>IFERROR(VLOOKUP($C91,Tabla_Documentos[],5,FALSE),"")</f>
        <v>1147160</v>
      </c>
      <c r="H91" s="29" t="str">
        <f>IFERROR(VLOOKUP($C91,Tabla_Documentos[],6,FALSE),"")</f>
        <v>PUBLICIDAD</v>
      </c>
      <c r="I91" s="38">
        <f>IFERROR(VLOOKUP($C91,Tabla_Documentos[],5,FALSE),"")</f>
        <v>1147160</v>
      </c>
      <c r="J91" s="25">
        <v>45719</v>
      </c>
    </row>
    <row r="92" spans="3:10" ht="21" customHeight="1" x14ac:dyDescent="0.25">
      <c r="C92" s="39">
        <v>964</v>
      </c>
      <c r="D92" s="28">
        <f>IFERROR(VLOOKUP($C92,Tabla_Documentos[],2,FALSE),"")</f>
        <v>45720</v>
      </c>
      <c r="E92" s="34" t="str">
        <f>IFERROR(VLOOKUP($C92,Tabla_Documentos[],3,FALSE),"")</f>
        <v>89470200-1</v>
      </c>
      <c r="F92" s="35" t="str">
        <f>IFERROR(VLOOKUP($C92,Tabla_Documentos[],4,FALSE),"")</f>
        <v>FRUTICOLA Y EXPORTADORA ATACAMA LTDA</v>
      </c>
      <c r="G92" s="38">
        <f>IFERROR(VLOOKUP($C92,Tabla_Documentos[],5,FALSE),"")</f>
        <v>119000</v>
      </c>
      <c r="H92" s="29" t="str">
        <f>IFERROR(VLOOKUP($C92,Tabla_Documentos[],6,FALSE),"")</f>
        <v>PUBLICIDAD</v>
      </c>
      <c r="I92" s="38">
        <f>IFERROR(VLOOKUP($C92,Tabla_Documentos[],5,FALSE),"")</f>
        <v>119000</v>
      </c>
      <c r="J92" s="25">
        <v>45720</v>
      </c>
    </row>
    <row r="93" spans="3:10" ht="21" customHeight="1" x14ac:dyDescent="0.25">
      <c r="C93" s="39">
        <v>965</v>
      </c>
      <c r="D93" s="28">
        <f>IFERROR(VLOOKUP($C93,Tabla_Documentos[],2,FALSE),"")</f>
        <v>45720</v>
      </c>
      <c r="E93" s="34" t="str">
        <f>IFERROR(VLOOKUP($C93,Tabla_Documentos[],3,FALSE),"")</f>
        <v>77154334-0</v>
      </c>
      <c r="F93" s="35" t="str">
        <f>IFERROR(VLOOKUP($C93,Tabla_Documentos[],4,FALSE),"")</f>
        <v>INVERSIONES RÃO BIO BIO SPA</v>
      </c>
      <c r="G93" s="38">
        <f>IFERROR(VLOOKUP($C93,Tabla_Documentos[],5,FALSE),"")</f>
        <v>821100</v>
      </c>
      <c r="H93" s="29" t="str">
        <f>IFERROR(VLOOKUP($C93,Tabla_Documentos[],6,FALSE),"")</f>
        <v>PUBLICIDAD</v>
      </c>
      <c r="I93" s="38">
        <f>IFERROR(VLOOKUP($C93,Tabla_Documentos[],5,FALSE),"")</f>
        <v>821100</v>
      </c>
      <c r="J93" s="25">
        <v>45720</v>
      </c>
    </row>
    <row r="94" spans="3:10" ht="21" customHeight="1" x14ac:dyDescent="0.25">
      <c r="C94" s="39">
        <v>966</v>
      </c>
      <c r="D94" s="28">
        <f>IFERROR(VLOOKUP($C94,Tabla_Documentos[],2,FALSE),"")</f>
        <v>45720</v>
      </c>
      <c r="E94" s="34" t="str">
        <f>IFERROR(VLOOKUP($C94,Tabla_Documentos[],3,FALSE),"")</f>
        <v>76343386-2</v>
      </c>
      <c r="F94" s="35" t="str">
        <f>IFERROR(VLOOKUP($C94,Tabla_Documentos[],4,FALSE),"")</f>
        <v>SOCIEDAD DE INVERSIONES E INMOBILIARIA ASEGEN PROPIEDADES LIMITADA</v>
      </c>
      <c r="G94" s="38">
        <f>IFERROR(VLOOKUP($C94,Tabla_Documentos[],5,FALSE),"")</f>
        <v>190400</v>
      </c>
      <c r="H94" s="29" t="str">
        <f>IFERROR(VLOOKUP($C94,Tabla_Documentos[],6,FALSE),"")</f>
        <v>PUBLICIDAD</v>
      </c>
      <c r="I94" s="38">
        <f>IFERROR(VLOOKUP($C94,Tabla_Documentos[],5,FALSE),"")</f>
        <v>190400</v>
      </c>
      <c r="J94" s="25">
        <v>45720</v>
      </c>
    </row>
    <row r="95" spans="3:10" ht="21" customHeight="1" x14ac:dyDescent="0.25">
      <c r="C95" s="39">
        <v>967</v>
      </c>
      <c r="D95" s="28">
        <f>IFERROR(VLOOKUP($C95,Tabla_Documentos[],2,FALSE),"")</f>
        <v>45721</v>
      </c>
      <c r="E95" s="34" t="str">
        <f>IFERROR(VLOOKUP($C95,Tabla_Documentos[],3,FALSE),"")</f>
        <v>76069910-1</v>
      </c>
      <c r="F95" s="35" t="str">
        <f>IFERROR(VLOOKUP($C95,Tabla_Documentos[],4,FALSE),"")</f>
        <v>SERCOING LTDA</v>
      </c>
      <c r="G95" s="38">
        <f>IFERROR(VLOOKUP($C95,Tabla_Documentos[],5,FALSE),"")</f>
        <v>35700</v>
      </c>
      <c r="H95" s="29" t="str">
        <f>IFERROR(VLOOKUP($C95,Tabla_Documentos[],6,FALSE),"")</f>
        <v>PUBLICIDAD</v>
      </c>
      <c r="I95" s="38">
        <f>IFERROR(VLOOKUP($C95,Tabla_Documentos[],5,FALSE),"")</f>
        <v>35700</v>
      </c>
      <c r="J95" s="25">
        <v>45721</v>
      </c>
    </row>
    <row r="96" spans="3:10" ht="21" customHeight="1" x14ac:dyDescent="0.25">
      <c r="C96" s="39">
        <v>968</v>
      </c>
      <c r="D96" s="28">
        <f>IFERROR(VLOOKUP($C96,Tabla_Documentos[],2,FALSE),"")</f>
        <v>45721</v>
      </c>
      <c r="E96" s="34" t="str">
        <f>IFERROR(VLOOKUP($C96,Tabla_Documentos[],3,FALSE),"")</f>
        <v>77274308-4</v>
      </c>
      <c r="F96" s="35" t="str">
        <f>IFERROR(VLOOKUP($C96,Tabla_Documentos[],4,FALSE),"")</f>
        <v>QUANTOS LA SPA</v>
      </c>
      <c r="G96" s="38">
        <f>IFERROR(VLOOKUP($C96,Tabla_Documentos[],5,FALSE),"")</f>
        <v>47600</v>
      </c>
      <c r="H96" s="29" t="str">
        <f>IFERROR(VLOOKUP($C96,Tabla_Documentos[],6,FALSE),"")</f>
        <v>PUBLICIDAD</v>
      </c>
      <c r="I96" s="38">
        <f>IFERROR(VLOOKUP($C96,Tabla_Documentos[],5,FALSE),"")</f>
        <v>47600</v>
      </c>
      <c r="J96" s="25">
        <v>45721</v>
      </c>
    </row>
    <row r="97" spans="3:10" ht="21" customHeight="1" x14ac:dyDescent="0.25">
      <c r="C97" s="39">
        <v>969</v>
      </c>
      <c r="D97" s="28">
        <f>IFERROR(VLOOKUP($C97,Tabla_Documentos[],2,FALSE),"")</f>
        <v>45721</v>
      </c>
      <c r="E97" s="34" t="str">
        <f>IFERROR(VLOOKUP($C97,Tabla_Documentos[],3,FALSE),"")</f>
        <v>76913732-7</v>
      </c>
      <c r="F97" s="35" t="str">
        <f>IFERROR(VLOOKUP($C97,Tabla_Documentos[],4,FALSE),"")</f>
        <v>ATACAMA SERVICIOS LIMITADA</v>
      </c>
      <c r="G97" s="38">
        <f>IFERROR(VLOOKUP($C97,Tabla_Documentos[],5,FALSE),"")</f>
        <v>178500</v>
      </c>
      <c r="H97" s="29" t="str">
        <f>IFERROR(VLOOKUP($C97,Tabla_Documentos[],6,FALSE),"")</f>
        <v>PUBLICIDAD</v>
      </c>
      <c r="I97" s="38">
        <f>IFERROR(VLOOKUP($C97,Tabla_Documentos[],5,FALSE),"")</f>
        <v>178500</v>
      </c>
      <c r="J97" s="25">
        <v>45721</v>
      </c>
    </row>
    <row r="98" spans="3:10" ht="21" customHeight="1" x14ac:dyDescent="0.25">
      <c r="C98" s="39">
        <v>970</v>
      </c>
      <c r="D98" s="28">
        <f>IFERROR(VLOOKUP($C98,Tabla_Documentos[],2,FALSE),"")</f>
        <v>45723</v>
      </c>
      <c r="E98" s="34" t="str">
        <f>IFERROR(VLOOKUP($C98,Tabla_Documentos[],3,FALSE),"")</f>
        <v>76069910-1</v>
      </c>
      <c r="F98" s="35" t="str">
        <f>IFERROR(VLOOKUP($C98,Tabla_Documentos[],4,FALSE),"")</f>
        <v>SERCOING LTDA</v>
      </c>
      <c r="G98" s="38">
        <f>IFERROR(VLOOKUP($C98,Tabla_Documentos[],5,FALSE),"")</f>
        <v>29750</v>
      </c>
      <c r="H98" s="29" t="str">
        <f>IFERROR(VLOOKUP($C98,Tabla_Documentos[],6,FALSE),"")</f>
        <v>PUBLICIDAD</v>
      </c>
      <c r="I98" s="38">
        <f>IFERROR(VLOOKUP($C98,Tabla_Documentos[],5,FALSE),"")</f>
        <v>29750</v>
      </c>
      <c r="J98" s="25">
        <v>45723</v>
      </c>
    </row>
    <row r="99" spans="3:10" ht="21" customHeight="1" x14ac:dyDescent="0.25">
      <c r="C99" s="39">
        <v>971</v>
      </c>
      <c r="D99" s="28">
        <f>IFERROR(VLOOKUP($C99,Tabla_Documentos[],2,FALSE),"")</f>
        <v>45726</v>
      </c>
      <c r="E99" s="34" t="str">
        <f>IFERROR(VLOOKUP($C99,Tabla_Documentos[],3,FALSE),"")</f>
        <v>77695869-7</v>
      </c>
      <c r="F99" s="35" t="str">
        <f>IFERROR(VLOOKUP($C99,Tabla_Documentos[],4,FALSE),"")</f>
        <v>CABALLERO RALLYSERVICE SPA</v>
      </c>
      <c r="G99" s="38">
        <f>IFERROR(VLOOKUP($C99,Tabla_Documentos[],5,FALSE),"")</f>
        <v>155997</v>
      </c>
      <c r="H99" s="29" t="str">
        <f>IFERROR(VLOOKUP($C99,Tabla_Documentos[],6,FALSE),"")</f>
        <v>PUBLICIDAD</v>
      </c>
      <c r="I99" s="38">
        <f>IFERROR(VLOOKUP($C99,Tabla_Documentos[],5,FALSE),"")</f>
        <v>155997</v>
      </c>
      <c r="J99" s="25">
        <v>45726</v>
      </c>
    </row>
    <row r="100" spans="3:10" ht="21" customHeight="1" x14ac:dyDescent="0.25">
      <c r="C100" s="39">
        <v>972</v>
      </c>
      <c r="D100" s="28">
        <f>IFERROR(VLOOKUP($C100,Tabla_Documentos[],2,FALSE),"")</f>
        <v>45726</v>
      </c>
      <c r="E100" s="34" t="str">
        <f>IFERROR(VLOOKUP($C100,Tabla_Documentos[],3,FALSE),"")</f>
        <v>77850619-K</v>
      </c>
      <c r="F100" s="35" t="str">
        <f>IFERROR(VLOOKUP($C100,Tabla_Documentos[],4,FALSE),"")</f>
        <v>MCV SERVICIOS GENERALES SPA</v>
      </c>
      <c r="G100" s="38">
        <f>IFERROR(VLOOKUP($C100,Tabla_Documentos[],5,FALSE),"")</f>
        <v>10000</v>
      </c>
      <c r="H100" s="29" t="str">
        <f>IFERROR(VLOOKUP($C100,Tabla_Documentos[],6,FALSE),"")</f>
        <v>PUBLICIDAD</v>
      </c>
      <c r="I100" s="38">
        <f>IFERROR(VLOOKUP($C100,Tabla_Documentos[],5,FALSE),"")</f>
        <v>10000</v>
      </c>
      <c r="J100" s="25">
        <v>45726</v>
      </c>
    </row>
    <row r="101" spans="3:10" ht="21" customHeight="1" x14ac:dyDescent="0.25">
      <c r="C101" s="39">
        <v>973</v>
      </c>
      <c r="D101" s="28">
        <f>IFERROR(VLOOKUP($C101,Tabla_Documentos[],2,FALSE),"")</f>
        <v>45727</v>
      </c>
      <c r="E101" s="34" t="str">
        <f>IFERROR(VLOOKUP($C101,Tabla_Documentos[],3,FALSE),"")</f>
        <v>76478614-9</v>
      </c>
      <c r="F101" s="35" t="str">
        <f>IFERROR(VLOOKUP($C101,Tabla_Documentos[],4,FALSE),"")</f>
        <v>INGENIERIA C Y G LIMITADA</v>
      </c>
      <c r="G101" s="38">
        <f>IFERROR(VLOOKUP($C101,Tabla_Documentos[],5,FALSE),"")</f>
        <v>121380</v>
      </c>
      <c r="H101" s="29" t="str">
        <f>IFERROR(VLOOKUP($C101,Tabla_Documentos[],6,FALSE),"")</f>
        <v>PUBLICIDAD</v>
      </c>
      <c r="I101" s="38">
        <f>IFERROR(VLOOKUP($C101,Tabla_Documentos[],5,FALSE),"")</f>
        <v>121380</v>
      </c>
      <c r="J101" s="25">
        <v>45727</v>
      </c>
    </row>
    <row r="102" spans="3:10" ht="21" customHeight="1" x14ac:dyDescent="0.25">
      <c r="C102" s="39">
        <v>974</v>
      </c>
      <c r="D102" s="28">
        <f>IFERROR(VLOOKUP($C102,Tabla_Documentos[],2,FALSE),"")</f>
        <v>45727</v>
      </c>
      <c r="E102" s="34" t="str">
        <f>IFERROR(VLOOKUP($C102,Tabla_Documentos[],3,FALSE),"")</f>
        <v>76948401-9</v>
      </c>
      <c r="F102" s="35" t="str">
        <f>IFERROR(VLOOKUP($C102,Tabla_Documentos[],4,FALSE),"")</f>
        <v>ZACH PROYECTOS SA</v>
      </c>
      <c r="G102" s="38">
        <f>IFERROR(VLOOKUP($C102,Tabla_Documentos[],5,FALSE),"")</f>
        <v>190400</v>
      </c>
      <c r="H102" s="29" t="str">
        <f>IFERROR(VLOOKUP($C102,Tabla_Documentos[],6,FALSE),"")</f>
        <v>PUBLICIDAD</v>
      </c>
      <c r="I102" s="38">
        <f>IFERROR(VLOOKUP($C102,Tabla_Documentos[],5,FALSE),"")</f>
        <v>190400</v>
      </c>
      <c r="J102" s="25">
        <v>45833</v>
      </c>
    </row>
    <row r="103" spans="3:10" ht="21" customHeight="1" x14ac:dyDescent="0.25">
      <c r="C103" s="39">
        <v>975</v>
      </c>
      <c r="D103" s="28">
        <f>IFERROR(VLOOKUP($C103,Tabla_Documentos[],2,FALSE),"")</f>
        <v>45727</v>
      </c>
      <c r="E103" s="34" t="str">
        <f>IFERROR(VLOOKUP($C103,Tabla_Documentos[],3,FALSE),"")</f>
        <v>76948401-9</v>
      </c>
      <c r="F103" s="35" t="str">
        <f>IFERROR(VLOOKUP($C103,Tabla_Documentos[],4,FALSE),"")</f>
        <v>ZACH PROYECTOS SA</v>
      </c>
      <c r="G103" s="38">
        <f>IFERROR(VLOOKUP($C103,Tabla_Documentos[],5,FALSE),"")</f>
        <v>472430</v>
      </c>
      <c r="H103" s="29" t="str">
        <f>IFERROR(VLOOKUP($C103,Tabla_Documentos[],6,FALSE),"")</f>
        <v>PUBLICIDAD</v>
      </c>
      <c r="I103" s="38">
        <f>IFERROR(VLOOKUP($C103,Tabla_Documentos[],5,FALSE),"")</f>
        <v>472430</v>
      </c>
      <c r="J103" s="25">
        <v>45727</v>
      </c>
    </row>
    <row r="104" spans="3:10" ht="21" customHeight="1" x14ac:dyDescent="0.25">
      <c r="C104" s="39">
        <v>976</v>
      </c>
      <c r="D104" s="28">
        <f>IFERROR(VLOOKUP($C104,Tabla_Documentos[],2,FALSE),"")</f>
        <v>45727</v>
      </c>
      <c r="E104" s="34" t="str">
        <f>IFERROR(VLOOKUP($C104,Tabla_Documentos[],3,FALSE),"")</f>
        <v>76652918-6</v>
      </c>
      <c r="F104" s="35" t="str">
        <f>IFERROR(VLOOKUP($C104,Tabla_Documentos[],4,FALSE),"")</f>
        <v>PRESTACION DE SERVICIOS MEDICOS JOSE LUIS GUERRA DIAZ E.I.R.L.</v>
      </c>
      <c r="G104" s="38">
        <f>IFERROR(VLOOKUP($C104,Tabla_Documentos[],5,FALSE),"")</f>
        <v>499800</v>
      </c>
      <c r="H104" s="29" t="str">
        <f>IFERROR(VLOOKUP($C104,Tabla_Documentos[],6,FALSE),"")</f>
        <v>PUBLICIDAD</v>
      </c>
      <c r="I104" s="38">
        <f>IFERROR(VLOOKUP($C104,Tabla_Documentos[],5,FALSE),"")</f>
        <v>499800</v>
      </c>
      <c r="J104" s="25">
        <v>45727</v>
      </c>
    </row>
    <row r="105" spans="3:10" ht="21" customHeight="1" x14ac:dyDescent="0.25">
      <c r="C105" s="39">
        <v>977</v>
      </c>
      <c r="D105" s="28">
        <f>IFERROR(VLOOKUP($C105,Tabla_Documentos[],2,FALSE),"")</f>
        <v>45727</v>
      </c>
      <c r="E105" s="34" t="str">
        <f>IFERROR(VLOOKUP($C105,Tabla_Documentos[],3,FALSE),"")</f>
        <v>84060600-7</v>
      </c>
      <c r="F105" s="35" t="str">
        <f>IFERROR(VLOOKUP($C105,Tabla_Documentos[],4,FALSE),"")</f>
        <v>CONSTRUCTORA DE PAVIMENTOS ASFALTICOS BITUMIX S.A</v>
      </c>
      <c r="G105" s="38">
        <f>IFERROR(VLOOKUP($C105,Tabla_Documentos[],5,FALSE),"")</f>
        <v>210630</v>
      </c>
      <c r="H105" s="29" t="str">
        <f>IFERROR(VLOOKUP($C105,Tabla_Documentos[],6,FALSE),"")</f>
        <v>PUBLICIDAD</v>
      </c>
      <c r="I105" s="38">
        <f>IFERROR(VLOOKUP($C105,Tabla_Documentos[],5,FALSE),"")</f>
        <v>210630</v>
      </c>
      <c r="J105" s="25">
        <v>45764</v>
      </c>
    </row>
    <row r="106" spans="3:10" ht="21" customHeight="1" x14ac:dyDescent="0.25">
      <c r="C106" s="39">
        <v>978</v>
      </c>
      <c r="D106" s="28">
        <f>IFERROR(VLOOKUP($C106,Tabla_Documentos[],2,FALSE),"")</f>
        <v>45727</v>
      </c>
      <c r="E106" s="34" t="str">
        <f>IFERROR(VLOOKUP($C106,Tabla_Documentos[],3,FALSE),"")</f>
        <v>78747370-9</v>
      </c>
      <c r="F106" s="35" t="str">
        <f>IFERROR(VLOOKUP($C106,Tabla_Documentos[],4,FALSE),"")</f>
        <v>AMFFAL SPA</v>
      </c>
      <c r="G106" s="38">
        <f>IFERROR(VLOOKUP($C106,Tabla_Documentos[],5,FALSE),"")</f>
        <v>297500</v>
      </c>
      <c r="H106" s="29" t="str">
        <f>IFERROR(VLOOKUP($C106,Tabla_Documentos[],6,FALSE),"")</f>
        <v>PUBLICIDAD</v>
      </c>
      <c r="I106" s="38">
        <f>IFERROR(VLOOKUP($C106,Tabla_Documentos[],5,FALSE),"")</f>
        <v>297500</v>
      </c>
      <c r="J106" s="25">
        <v>45727</v>
      </c>
    </row>
    <row r="107" spans="3:10" ht="21" customHeight="1" x14ac:dyDescent="0.25">
      <c r="C107" s="39">
        <v>979</v>
      </c>
      <c r="D107" s="28">
        <f>IFERROR(VLOOKUP($C107,Tabla_Documentos[],2,FALSE),"")</f>
        <v>45727</v>
      </c>
      <c r="E107" s="34" t="str">
        <f>IFERROR(VLOOKUP($C107,Tabla_Documentos[],3,FALSE),"")</f>
        <v>76410595-8</v>
      </c>
      <c r="F107" s="35" t="str">
        <f>IFERROR(VLOOKUP($C107,Tabla_Documentos[],4,FALSE),"")</f>
        <v>CROSAN SPA</v>
      </c>
      <c r="G107" s="38">
        <f>IFERROR(VLOOKUP($C107,Tabla_Documentos[],5,FALSE),"")</f>
        <v>261800</v>
      </c>
      <c r="H107" s="29" t="str">
        <f>IFERROR(VLOOKUP($C107,Tabla_Documentos[],6,FALSE),"")</f>
        <v>PUBLICIDAD</v>
      </c>
      <c r="I107" s="38">
        <f>IFERROR(VLOOKUP($C107,Tabla_Documentos[],5,FALSE),"")</f>
        <v>261800</v>
      </c>
      <c r="J107" s="25">
        <v>45751</v>
      </c>
    </row>
    <row r="108" spans="3:10" ht="21" customHeight="1" x14ac:dyDescent="0.25">
      <c r="C108" s="39">
        <v>980</v>
      </c>
      <c r="D108" s="28">
        <f>IFERROR(VLOOKUP($C108,Tabla_Documentos[],2,FALSE),"")</f>
        <v>45727</v>
      </c>
      <c r="E108" s="34" t="str">
        <f>IFERROR(VLOOKUP($C108,Tabla_Documentos[],3,FALSE),"")</f>
        <v>76808242-1</v>
      </c>
      <c r="F108" s="35" t="str">
        <f>IFERROR(VLOOKUP($C108,Tabla_Documentos[],4,FALSE),"")</f>
        <v>TRANSNORTE SPA</v>
      </c>
      <c r="G108" s="38">
        <f>IFERROR(VLOOKUP($C108,Tabla_Documentos[],5,FALSE),"")</f>
        <v>15000</v>
      </c>
      <c r="H108" s="29" t="str">
        <f>IFERROR(VLOOKUP($C108,Tabla_Documentos[],6,FALSE),"")</f>
        <v>PUBLICIDAD</v>
      </c>
      <c r="I108" s="38">
        <f>IFERROR(VLOOKUP($C108,Tabla_Documentos[],5,FALSE),"")</f>
        <v>15000</v>
      </c>
      <c r="J108" s="25">
        <v>45727</v>
      </c>
    </row>
    <row r="109" spans="3:10" ht="21" customHeight="1" x14ac:dyDescent="0.25">
      <c r="C109" s="39">
        <v>981</v>
      </c>
      <c r="D109" s="28">
        <f>IFERROR(VLOOKUP($C109,Tabla_Documentos[],2,FALSE),"")</f>
        <v>45727</v>
      </c>
      <c r="E109" s="34" t="str">
        <f>IFERROR(VLOOKUP($C109,Tabla_Documentos[],3,FALSE),"")</f>
        <v>76346498-9</v>
      </c>
      <c r="F109" s="35" t="str">
        <f>IFERROR(VLOOKUP($C109,Tabla_Documentos[],4,FALSE),"")</f>
        <v>CONSTRUCTORA CARLOS ALBERTO ANDRES ALBISTUR REYES E.I.R.L.</v>
      </c>
      <c r="G109" s="38">
        <f>IFERROR(VLOOKUP($C109,Tabla_Documentos[],5,FALSE),"")</f>
        <v>53550</v>
      </c>
      <c r="H109" s="29" t="str">
        <f>IFERROR(VLOOKUP($C109,Tabla_Documentos[],6,FALSE),"")</f>
        <v>PUBLICIDAD</v>
      </c>
      <c r="I109" s="38">
        <f>IFERROR(VLOOKUP($C109,Tabla_Documentos[],5,FALSE),"")</f>
        <v>53550</v>
      </c>
      <c r="J109" s="25">
        <v>45740</v>
      </c>
    </row>
    <row r="110" spans="3:10" ht="21" customHeight="1" x14ac:dyDescent="0.25">
      <c r="C110" s="39">
        <v>982</v>
      </c>
      <c r="D110" s="28">
        <f>IFERROR(VLOOKUP($C110,Tabla_Documentos[],2,FALSE),"")</f>
        <v>45727</v>
      </c>
      <c r="E110" s="34" t="str">
        <f>IFERROR(VLOOKUP($C110,Tabla_Documentos[],3,FALSE),"")</f>
        <v>77313060-4</v>
      </c>
      <c r="F110" s="35" t="str">
        <f>IFERROR(VLOOKUP($C110,Tabla_Documentos[],4,FALSE),"")</f>
        <v>COMERCIAL SERPAN SPA</v>
      </c>
      <c r="G110" s="38">
        <f>IFERROR(VLOOKUP($C110,Tabla_Documentos[],5,FALSE),"")</f>
        <v>11900</v>
      </c>
      <c r="H110" s="29" t="str">
        <f>IFERROR(VLOOKUP($C110,Tabla_Documentos[],6,FALSE),"")</f>
        <v>PUBLICIDAD</v>
      </c>
      <c r="I110" s="38">
        <f>IFERROR(VLOOKUP($C110,Tabla_Documentos[],5,FALSE),"")</f>
        <v>11900</v>
      </c>
      <c r="J110" s="25">
        <v>45727</v>
      </c>
    </row>
    <row r="111" spans="3:10" ht="21" customHeight="1" x14ac:dyDescent="0.25">
      <c r="C111" s="39">
        <v>983</v>
      </c>
      <c r="D111" s="28">
        <f>IFERROR(VLOOKUP($C111,Tabla_Documentos[],2,FALSE),"")</f>
        <v>45730</v>
      </c>
      <c r="E111" s="34" t="str">
        <f>IFERROR(VLOOKUP($C111,Tabla_Documentos[],3,FALSE),"")</f>
        <v>4612619-K</v>
      </c>
      <c r="F111" s="35" t="str">
        <f>IFERROR(VLOOKUP($C111,Tabla_Documentos[],4,FALSE),"")</f>
        <v>JUAN ALONSO SILVA ARMIJO</v>
      </c>
      <c r="G111" s="38">
        <f>IFERROR(VLOOKUP($C111,Tabla_Documentos[],5,FALSE),"")</f>
        <v>240000</v>
      </c>
      <c r="H111" s="29" t="str">
        <f>IFERROR(VLOOKUP($C111,Tabla_Documentos[],6,FALSE),"")</f>
        <v>PUBLICIDAD</v>
      </c>
      <c r="I111" s="38">
        <f>IFERROR(VLOOKUP($C111,Tabla_Documentos[],5,FALSE),"")</f>
        <v>240000</v>
      </c>
      <c r="J111" s="25">
        <v>45730</v>
      </c>
    </row>
    <row r="112" spans="3:10" ht="21" customHeight="1" x14ac:dyDescent="0.25">
      <c r="C112" s="39">
        <v>984</v>
      </c>
      <c r="D112" s="28">
        <f>IFERROR(VLOOKUP($C112,Tabla_Documentos[],2,FALSE),"")</f>
        <v>45731</v>
      </c>
      <c r="E112" s="34" t="str">
        <f>IFERROR(VLOOKUP($C112,Tabla_Documentos[],3,FALSE),"")</f>
        <v>77758444-8</v>
      </c>
      <c r="F112" s="35" t="str">
        <f>IFERROR(VLOOKUP($C112,Tabla_Documentos[],4,FALSE),"")</f>
        <v>TRANSPORTE DOBLE C SPA</v>
      </c>
      <c r="G112" s="38">
        <f>IFERROR(VLOOKUP($C112,Tabla_Documentos[],5,FALSE),"")</f>
        <v>261800</v>
      </c>
      <c r="H112" s="29" t="str">
        <f>IFERROR(VLOOKUP($C112,Tabla_Documentos[],6,FALSE),"")</f>
        <v>PUBLICIDAD</v>
      </c>
      <c r="I112" s="38">
        <f>IFERROR(VLOOKUP($C112,Tabla_Documentos[],5,FALSE),"")</f>
        <v>261800</v>
      </c>
      <c r="J112" s="25">
        <v>45731</v>
      </c>
    </row>
    <row r="113" spans="3:10" ht="21" customHeight="1" x14ac:dyDescent="0.25">
      <c r="C113" s="39">
        <v>985</v>
      </c>
      <c r="D113" s="28">
        <f>IFERROR(VLOOKUP($C113,Tabla_Documentos[],2,FALSE),"")</f>
        <v>45733</v>
      </c>
      <c r="E113" s="34" t="str">
        <f>IFERROR(VLOOKUP($C113,Tabla_Documentos[],3,FALSE),"")</f>
        <v>6475833-0</v>
      </c>
      <c r="F113" s="35" t="str">
        <f>IFERROR(VLOOKUP($C113,Tabla_Documentos[],4,FALSE),"")</f>
        <v>LUIS OSVALDO CASTRO ARRIAGADA</v>
      </c>
      <c r="G113" s="38">
        <f>IFERROR(VLOOKUP($C113,Tabla_Documentos[],5,FALSE),"")</f>
        <v>200000</v>
      </c>
      <c r="H113" s="29" t="str">
        <f>IFERROR(VLOOKUP($C113,Tabla_Documentos[],6,FALSE),"")</f>
        <v>PUBLICIDAD</v>
      </c>
      <c r="I113" s="38">
        <f>IFERROR(VLOOKUP($C113,Tabla_Documentos[],5,FALSE),"")</f>
        <v>200000</v>
      </c>
      <c r="J113" s="25">
        <v>45733</v>
      </c>
    </row>
    <row r="114" spans="3:10" ht="21" customHeight="1" x14ac:dyDescent="0.25">
      <c r="C114" s="39">
        <v>986</v>
      </c>
      <c r="D114" s="28">
        <f>IFERROR(VLOOKUP($C114,Tabla_Documentos[],2,FALSE),"")</f>
        <v>45735</v>
      </c>
      <c r="E114" s="34" t="str">
        <f>IFERROR(VLOOKUP($C114,Tabla_Documentos[],3,FALSE),"")</f>
        <v>78747740-2</v>
      </c>
      <c r="F114" s="35" t="str">
        <f>IFERROR(VLOOKUP($C114,Tabla_Documentos[],4,FALSE),"")</f>
        <v>SERVICIOS INDUSTRIALES WARNER SPA</v>
      </c>
      <c r="G114" s="38">
        <f>IFERROR(VLOOKUP($C114,Tabla_Documentos[],5,FALSE),"")</f>
        <v>564060</v>
      </c>
      <c r="H114" s="29" t="str">
        <f>IFERROR(VLOOKUP($C114,Tabla_Documentos[],6,FALSE),"")</f>
        <v>PUBLICIDAD</v>
      </c>
      <c r="I114" s="38">
        <f>IFERROR(VLOOKUP($C114,Tabla_Documentos[],5,FALSE),"")</f>
        <v>564060</v>
      </c>
      <c r="J114" s="25">
        <v>45742</v>
      </c>
    </row>
    <row r="115" spans="3:10" ht="21" customHeight="1" x14ac:dyDescent="0.25">
      <c r="C115" s="39">
        <v>987</v>
      </c>
      <c r="D115" s="28">
        <f>IFERROR(VLOOKUP($C115,Tabla_Documentos[],2,FALSE),"")</f>
        <v>45735</v>
      </c>
      <c r="E115" s="34" t="str">
        <f>IFERROR(VLOOKUP($C115,Tabla_Documentos[],3,FALSE),"")</f>
        <v>76862381-3</v>
      </c>
      <c r="F115" s="35" t="str">
        <f>IFERROR(VLOOKUP($C115,Tabla_Documentos[],4,FALSE),"")</f>
        <v>SOCIEDAD COMERCIAL E INDUSTRIAL HYDRO CLEANING VAPOR LIMITADA</v>
      </c>
      <c r="G115" s="38">
        <f>IFERROR(VLOOKUP($C115,Tabla_Documentos[],5,FALSE),"")</f>
        <v>20000</v>
      </c>
      <c r="H115" s="29" t="str">
        <f>IFERROR(VLOOKUP($C115,Tabla_Documentos[],6,FALSE),"")</f>
        <v>PUBLICIDAD</v>
      </c>
      <c r="I115" s="38">
        <f>IFERROR(VLOOKUP($C115,Tabla_Documentos[],5,FALSE),"")</f>
        <v>20000</v>
      </c>
      <c r="J115" s="25">
        <v>45735</v>
      </c>
    </row>
    <row r="116" spans="3:10" ht="21" customHeight="1" x14ac:dyDescent="0.25">
      <c r="C116" s="39">
        <v>988</v>
      </c>
      <c r="D116" s="28">
        <f>IFERROR(VLOOKUP($C116,Tabla_Documentos[],2,FALSE),"")</f>
        <v>45738</v>
      </c>
      <c r="E116" s="34" t="str">
        <f>IFERROR(VLOOKUP($C116,Tabla_Documentos[],3,FALSE),"")</f>
        <v>77154334-0</v>
      </c>
      <c r="F116" s="35" t="str">
        <f>IFERROR(VLOOKUP($C116,Tabla_Documentos[],4,FALSE),"")</f>
        <v>INVERSIONES RÃO BIO BIO SPA</v>
      </c>
      <c r="G116" s="38">
        <f>IFERROR(VLOOKUP($C116,Tabla_Documentos[],5,FALSE),"")</f>
        <v>511700</v>
      </c>
      <c r="H116" s="29" t="str">
        <f>IFERROR(VLOOKUP($C116,Tabla_Documentos[],6,FALSE),"")</f>
        <v>PUBLICIDAD</v>
      </c>
      <c r="I116" s="38">
        <f>IFERROR(VLOOKUP($C116,Tabla_Documentos[],5,FALSE),"")</f>
        <v>511700</v>
      </c>
      <c r="J116" s="25">
        <v>45738</v>
      </c>
    </row>
    <row r="117" spans="3:10" ht="21" customHeight="1" x14ac:dyDescent="0.25">
      <c r="C117" s="39">
        <v>989</v>
      </c>
      <c r="D117" s="28">
        <f>IFERROR(VLOOKUP($C117,Tabla_Documentos[],2,FALSE),"")</f>
        <v>45740</v>
      </c>
      <c r="E117" s="34" t="str">
        <f>IFERROR(VLOOKUP($C117,Tabla_Documentos[],3,FALSE),"")</f>
        <v>50413920-4</v>
      </c>
      <c r="F117" s="35" t="str">
        <f>IFERROR(VLOOKUP($C117,Tabla_Documentos[],4,FALSE),"")</f>
        <v>CASTHER SPA.</v>
      </c>
      <c r="G117" s="38">
        <f>IFERROR(VLOOKUP($C117,Tabla_Documentos[],5,FALSE),"")</f>
        <v>190400</v>
      </c>
      <c r="H117" s="29" t="str">
        <f>IFERROR(VLOOKUP($C117,Tabla_Documentos[],6,FALSE),"")</f>
        <v>PUBLICIDAD</v>
      </c>
      <c r="I117" s="38">
        <f>IFERROR(VLOOKUP($C117,Tabla_Documentos[],5,FALSE),"")</f>
        <v>190400</v>
      </c>
      <c r="J117" s="25">
        <v>45740</v>
      </c>
    </row>
    <row r="118" spans="3:10" ht="21" customHeight="1" x14ac:dyDescent="0.25">
      <c r="C118" s="39">
        <v>990</v>
      </c>
      <c r="D118" s="28">
        <f>IFERROR(VLOOKUP($C118,Tabla_Documentos[],2,FALSE),"")</f>
        <v>45740</v>
      </c>
      <c r="E118" s="34" t="str">
        <f>IFERROR(VLOOKUP($C118,Tabla_Documentos[],3,FALSE),"")</f>
        <v>77917754-8</v>
      </c>
      <c r="F118" s="35" t="str">
        <f>IFERROR(VLOOKUP($C118,Tabla_Documentos[],4,FALSE),"")</f>
        <v>CONSTRUCTORA, REPARACIONES, APLICACIONES E INSTALACIONES GRUPO ATADURA</v>
      </c>
      <c r="G118" s="38">
        <f>IFERROR(VLOOKUP($C118,Tabla_Documentos[],5,FALSE),"")</f>
        <v>117810</v>
      </c>
      <c r="H118" s="29" t="str">
        <f>IFERROR(VLOOKUP($C118,Tabla_Documentos[],6,FALSE),"")</f>
        <v>PUBLICIDAD</v>
      </c>
      <c r="I118" s="38">
        <f>IFERROR(VLOOKUP($C118,Tabla_Documentos[],5,FALSE),"")</f>
        <v>117810</v>
      </c>
      <c r="J118" s="25">
        <v>45740</v>
      </c>
    </row>
    <row r="119" spans="3:10" ht="21" customHeight="1" x14ac:dyDescent="0.25">
      <c r="C119" s="39">
        <v>991</v>
      </c>
      <c r="D119" s="28">
        <f>IFERROR(VLOOKUP($C119,Tabla_Documentos[],2,FALSE),"")</f>
        <v>45740</v>
      </c>
      <c r="E119" s="34" t="str">
        <f>IFERROR(VLOOKUP($C119,Tabla_Documentos[],3,FALSE),"")</f>
        <v>76962050-8</v>
      </c>
      <c r="F119" s="35" t="str">
        <f>IFERROR(VLOOKUP($C119,Tabla_Documentos[],4,FALSE),"")</f>
        <v>SOCIEDAD INGENIERIA Y SERVICIOS AF LIMITADA</v>
      </c>
      <c r="G119" s="38">
        <f>IFERROR(VLOOKUP($C119,Tabla_Documentos[],5,FALSE),"")</f>
        <v>119000</v>
      </c>
      <c r="H119" s="29" t="str">
        <f>IFERROR(VLOOKUP($C119,Tabla_Documentos[],6,FALSE),"")</f>
        <v>PUBLICIDAD</v>
      </c>
      <c r="I119" s="38">
        <f>IFERROR(VLOOKUP($C119,Tabla_Documentos[],5,FALSE),"")</f>
        <v>119000</v>
      </c>
      <c r="J119" s="25">
        <v>45740</v>
      </c>
    </row>
    <row r="120" spans="3:10" ht="21" customHeight="1" x14ac:dyDescent="0.25">
      <c r="C120" s="39">
        <v>992</v>
      </c>
      <c r="D120" s="28">
        <f>IFERROR(VLOOKUP($C120,Tabla_Documentos[],2,FALSE),"")</f>
        <v>45740</v>
      </c>
      <c r="E120" s="34" t="str">
        <f>IFERROR(VLOOKUP($C120,Tabla_Documentos[],3,FALSE),"")</f>
        <v>77885825-8</v>
      </c>
      <c r="F120" s="35" t="str">
        <f>IFERROR(VLOOKUP($C120,Tabla_Documentos[],4,FALSE),"")</f>
        <v>SERVICIOS ARDIRAB SPA</v>
      </c>
      <c r="G120" s="38">
        <f>IFERROR(VLOOKUP($C120,Tabla_Documentos[],5,FALSE),"")</f>
        <v>142800</v>
      </c>
      <c r="H120" s="29" t="str">
        <f>IFERROR(VLOOKUP($C120,Tabla_Documentos[],6,FALSE),"")</f>
        <v>PUBLICIDAD</v>
      </c>
      <c r="I120" s="38">
        <f>IFERROR(VLOOKUP($C120,Tabla_Documentos[],5,FALSE),"")</f>
        <v>142800</v>
      </c>
      <c r="J120" s="25">
        <v>45740</v>
      </c>
    </row>
    <row r="121" spans="3:10" ht="21" customHeight="1" x14ac:dyDescent="0.25">
      <c r="C121" s="39">
        <v>993</v>
      </c>
      <c r="D121" s="28">
        <f>IFERROR(VLOOKUP($C121,Tabla_Documentos[],2,FALSE),"")</f>
        <v>45740</v>
      </c>
      <c r="E121" s="34" t="str">
        <f>IFERROR(VLOOKUP($C121,Tabla_Documentos[],3,FALSE),"")</f>
        <v>78320430-4</v>
      </c>
      <c r="F121" s="35" t="str">
        <f>IFERROR(VLOOKUP($C121,Tabla_Documentos[],4,FALSE),"")</f>
        <v>AUTOMOTRIZ NICOLAS LTDA.</v>
      </c>
      <c r="G121" s="38">
        <f>IFERROR(VLOOKUP($C121,Tabla_Documentos[],5,FALSE),"")</f>
        <v>119000</v>
      </c>
      <c r="H121" s="29" t="str">
        <f>IFERROR(VLOOKUP($C121,Tabla_Documentos[],6,FALSE),"")</f>
        <v>PUBLICIDAD</v>
      </c>
      <c r="I121" s="38">
        <f>IFERROR(VLOOKUP($C121,Tabla_Documentos[],5,FALSE),"")</f>
        <v>119000</v>
      </c>
      <c r="J121" s="25">
        <v>45757</v>
      </c>
    </row>
    <row r="122" spans="3:10" ht="21" customHeight="1" x14ac:dyDescent="0.25">
      <c r="C122" s="39">
        <v>994</v>
      </c>
      <c r="D122" s="28">
        <f>IFERROR(VLOOKUP($C122,Tabla_Documentos[],2,FALSE),"")</f>
        <v>45740</v>
      </c>
      <c r="E122" s="34" t="str">
        <f>IFERROR(VLOOKUP($C122,Tabla_Documentos[],3,FALSE),"")</f>
        <v>77154334-0</v>
      </c>
      <c r="F122" s="35" t="str">
        <f>IFERROR(VLOOKUP($C122,Tabla_Documentos[],4,FALSE),"")</f>
        <v>INVERSIONES RÃO BIO BIO SPA</v>
      </c>
      <c r="G122" s="38">
        <f>IFERROR(VLOOKUP($C122,Tabla_Documentos[],5,FALSE),"")</f>
        <v>107100</v>
      </c>
      <c r="H122" s="29" t="str">
        <f>IFERROR(VLOOKUP($C122,Tabla_Documentos[],6,FALSE),"")</f>
        <v>PUBLICIDAD</v>
      </c>
      <c r="I122" s="38">
        <f>IFERROR(VLOOKUP($C122,Tabla_Documentos[],5,FALSE),"")</f>
        <v>107100</v>
      </c>
      <c r="J122" s="25">
        <v>45740</v>
      </c>
    </row>
    <row r="123" spans="3:10" ht="21" customHeight="1" x14ac:dyDescent="0.25">
      <c r="C123" s="39">
        <v>995</v>
      </c>
      <c r="D123" s="28">
        <f>IFERROR(VLOOKUP($C123,Tabla_Documentos[],2,FALSE),"")</f>
        <v>45741</v>
      </c>
      <c r="E123" s="34" t="str">
        <f>IFERROR(VLOOKUP($C123,Tabla_Documentos[],3,FALSE),"")</f>
        <v>76987478-K</v>
      </c>
      <c r="F123" s="35" t="str">
        <f>IFERROR(VLOOKUP($C123,Tabla_Documentos[],4,FALSE),"")</f>
        <v>COAX SPA</v>
      </c>
      <c r="G123" s="38">
        <f>IFERROR(VLOOKUP($C123,Tabla_Documentos[],5,FALSE),"")</f>
        <v>297500</v>
      </c>
      <c r="H123" s="29" t="str">
        <f>IFERROR(VLOOKUP($C123,Tabla_Documentos[],6,FALSE),"")</f>
        <v>PUBLICIDAD</v>
      </c>
      <c r="I123" s="38">
        <f>IFERROR(VLOOKUP($C123,Tabla_Documentos[],5,FALSE),"")</f>
        <v>297500</v>
      </c>
      <c r="J123" s="25">
        <v>45741</v>
      </c>
    </row>
    <row r="124" spans="3:10" ht="21" customHeight="1" x14ac:dyDescent="0.25">
      <c r="C124" s="39">
        <v>996</v>
      </c>
      <c r="D124" s="28">
        <f>IFERROR(VLOOKUP($C124,Tabla_Documentos[],2,FALSE),"")</f>
        <v>45742</v>
      </c>
      <c r="E124" s="34" t="str">
        <f>IFERROR(VLOOKUP($C124,Tabla_Documentos[],3,FALSE),"")</f>
        <v>76346498-9</v>
      </c>
      <c r="F124" s="35" t="str">
        <f>IFERROR(VLOOKUP($C124,Tabla_Documentos[],4,FALSE),"")</f>
        <v>CONSTRUCTORA CARLOS ALBERTO ANDRES ALBISTUR REYES E.I.R.L.</v>
      </c>
      <c r="G124" s="38">
        <f>IFERROR(VLOOKUP($C124,Tabla_Documentos[],5,FALSE),"")</f>
        <v>35700</v>
      </c>
      <c r="H124" s="29" t="str">
        <f>IFERROR(VLOOKUP($C124,Tabla_Documentos[],6,FALSE),"")</f>
        <v>PUBLICIDAD</v>
      </c>
      <c r="I124" s="38">
        <f>IFERROR(VLOOKUP($C124,Tabla_Documentos[],5,FALSE),"")</f>
        <v>35700</v>
      </c>
      <c r="J124" s="25">
        <v>45814</v>
      </c>
    </row>
    <row r="125" spans="3:10" ht="21" customHeight="1" x14ac:dyDescent="0.25">
      <c r="C125" s="39">
        <v>997</v>
      </c>
      <c r="D125" s="28">
        <f>IFERROR(VLOOKUP($C125,Tabla_Documentos[],2,FALSE),"")</f>
        <v>45742</v>
      </c>
      <c r="E125" s="34" t="str">
        <f>IFERROR(VLOOKUP($C125,Tabla_Documentos[],3,FALSE),"")</f>
        <v>76346498-9</v>
      </c>
      <c r="F125" s="35" t="str">
        <f>IFERROR(VLOOKUP($C125,Tabla_Documentos[],4,FALSE),"")</f>
        <v>CONSTRUCTORA CARLOS ALBERTO ANDRES ALBISTUR REYES E.I.R.L.</v>
      </c>
      <c r="G125" s="38">
        <f>IFERROR(VLOOKUP($C125,Tabla_Documentos[],5,FALSE),"")</f>
        <v>35700</v>
      </c>
      <c r="H125" s="29" t="str">
        <f>IFERROR(VLOOKUP($C125,Tabla_Documentos[],6,FALSE),"")</f>
        <v>PUBLICIDAD</v>
      </c>
      <c r="I125" s="38">
        <f>IFERROR(VLOOKUP($C125,Tabla_Documentos[],5,FALSE),"")</f>
        <v>35700</v>
      </c>
      <c r="J125" s="25">
        <v>45742</v>
      </c>
    </row>
    <row r="126" spans="3:10" ht="21" customHeight="1" x14ac:dyDescent="0.25">
      <c r="C126" s="39">
        <v>998</v>
      </c>
      <c r="D126" s="28">
        <f>IFERROR(VLOOKUP($C126,Tabla_Documentos[],2,FALSE),"")</f>
        <v>45743</v>
      </c>
      <c r="E126" s="34" t="str">
        <f>IFERROR(VLOOKUP($C126,Tabla_Documentos[],3,FALSE),"")</f>
        <v>76574783-K</v>
      </c>
      <c r="F126" s="35" t="str">
        <f>IFERROR(VLOOKUP($C126,Tabla_Documentos[],4,FALSE),"")</f>
        <v>LC GROUP INTERNATIONAL SPA</v>
      </c>
      <c r="G126" s="38">
        <f>IFERROR(VLOOKUP($C126,Tabla_Documentos[],5,FALSE),"")</f>
        <v>1499400</v>
      </c>
      <c r="H126" s="29" t="str">
        <f>IFERROR(VLOOKUP($C126,Tabla_Documentos[],6,FALSE),"")</f>
        <v>PUBLICIDAD</v>
      </c>
      <c r="I126" s="38">
        <f>IFERROR(VLOOKUP($C126,Tabla_Documentos[],5,FALSE),"")</f>
        <v>1499400</v>
      </c>
      <c r="J126" s="25">
        <v>45743</v>
      </c>
    </row>
    <row r="127" spans="3:10" ht="21" customHeight="1" x14ac:dyDescent="0.25">
      <c r="C127" s="39">
        <v>999</v>
      </c>
      <c r="D127" s="28">
        <f>IFERROR(VLOOKUP($C127,Tabla_Documentos[],2,FALSE),"")</f>
        <v>45744</v>
      </c>
      <c r="E127" s="34" t="str">
        <f>IFERROR(VLOOKUP($C127,Tabla_Documentos[],3,FALSE),"")</f>
        <v>8929149-6</v>
      </c>
      <c r="F127" s="35" t="str">
        <f>IFERROR(VLOOKUP($C127,Tabla_Documentos[],4,FALSE),"")</f>
        <v>ANGEL CUSTODIO CONCHA SANCHEZ</v>
      </c>
      <c r="G127" s="38">
        <f>IFERROR(VLOOKUP($C127,Tabla_Documentos[],5,FALSE),"")</f>
        <v>20000</v>
      </c>
      <c r="H127" s="29" t="str">
        <f>IFERROR(VLOOKUP($C127,Tabla_Documentos[],6,FALSE),"")</f>
        <v>PUBLICIDAD</v>
      </c>
      <c r="I127" s="38">
        <f>IFERROR(VLOOKUP($C127,Tabla_Documentos[],5,FALSE),"")</f>
        <v>20000</v>
      </c>
      <c r="J127" s="25">
        <v>45744</v>
      </c>
    </row>
    <row r="128" spans="3:10" ht="21" customHeight="1" x14ac:dyDescent="0.25">
      <c r="C128" s="39">
        <v>1000</v>
      </c>
      <c r="D128" s="28">
        <f>IFERROR(VLOOKUP($C128,Tabla_Documentos[],2,FALSE),"")</f>
        <v>45745</v>
      </c>
      <c r="E128" s="34" t="str">
        <f>IFERROR(VLOOKUP($C128,Tabla_Documentos[],3,FALSE),"")</f>
        <v>76187388-1</v>
      </c>
      <c r="F128" s="35" t="str">
        <f>IFERROR(VLOOKUP($C128,Tabla_Documentos[],4,FALSE),"")</f>
        <v>NORTENERGY SOCIEDAD POR ACCIONES SPA</v>
      </c>
      <c r="G128" s="38">
        <f>IFERROR(VLOOKUP($C128,Tabla_Documentos[],5,FALSE),"")</f>
        <v>20000</v>
      </c>
      <c r="H128" s="29" t="str">
        <f>IFERROR(VLOOKUP($C128,Tabla_Documentos[],6,FALSE),"")</f>
        <v>PUBLICIDAD</v>
      </c>
      <c r="I128" s="38">
        <f>IFERROR(VLOOKUP($C128,Tabla_Documentos[],5,FALSE),"")</f>
        <v>20000</v>
      </c>
      <c r="J128" s="25">
        <v>45745</v>
      </c>
    </row>
    <row r="129" spans="3:10" ht="21" customHeight="1" x14ac:dyDescent="0.25">
      <c r="C129" s="39">
        <v>1002</v>
      </c>
      <c r="D129" s="28">
        <f>IFERROR(VLOOKUP($C129,Tabla_Documentos[],2,FALSE),"")</f>
        <v>45748</v>
      </c>
      <c r="E129" s="34" t="str">
        <f>IFERROR(VLOOKUP($C129,Tabla_Documentos[],3,FALSE),"")</f>
        <v>92475000-6</v>
      </c>
      <c r="F129" s="35" t="str">
        <f>IFERROR(VLOOKUP($C129,Tabla_Documentos[],4,FALSE),"")</f>
        <v>KAUFMANN SA VEHICULOS MOTORIZADOS</v>
      </c>
      <c r="G129" s="38">
        <f>IFERROR(VLOOKUP($C129,Tabla_Documentos[],5,FALSE),"")</f>
        <v>214200</v>
      </c>
      <c r="H129" s="29" t="str">
        <f>IFERROR(VLOOKUP($C129,Tabla_Documentos[],6,FALSE),"")</f>
        <v>PUBLICIDAD</v>
      </c>
      <c r="I129" s="38">
        <f>IFERROR(VLOOKUP($C129,Tabla_Documentos[],5,FALSE),"")</f>
        <v>214200</v>
      </c>
      <c r="J129" s="25">
        <v>45779</v>
      </c>
    </row>
    <row r="130" spans="3:10" ht="21" customHeight="1" x14ac:dyDescent="0.25">
      <c r="C130" s="39">
        <v>1004</v>
      </c>
      <c r="D130" s="28">
        <f>IFERROR(VLOOKUP($C130,Tabla_Documentos[],2,FALSE),"")</f>
        <v>45749</v>
      </c>
      <c r="E130" s="34" t="str">
        <f>IFERROR(VLOOKUP($C130,Tabla_Documentos[],3,FALSE),"")</f>
        <v>78320430-4</v>
      </c>
      <c r="F130" s="35" t="str">
        <f>IFERROR(VLOOKUP($C130,Tabla_Documentos[],4,FALSE),"")</f>
        <v>AUTOMOTRIZ NICOLAS LTDA.</v>
      </c>
      <c r="G130" s="38">
        <f>IFERROR(VLOOKUP($C130,Tabla_Documentos[],5,FALSE),"")</f>
        <v>119000</v>
      </c>
      <c r="H130" s="29" t="str">
        <f>IFERROR(VLOOKUP($C130,Tabla_Documentos[],6,FALSE),"")</f>
        <v>PUBLICIDAD</v>
      </c>
      <c r="I130" s="38">
        <f>IFERROR(VLOOKUP($C130,Tabla_Documentos[],5,FALSE),"")</f>
        <v>119000</v>
      </c>
      <c r="J130" s="25">
        <v>45771</v>
      </c>
    </row>
    <row r="131" spans="3:10" ht="21" customHeight="1" x14ac:dyDescent="0.25">
      <c r="C131" s="39">
        <v>1005</v>
      </c>
      <c r="D131" s="28">
        <f>IFERROR(VLOOKUP($C131,Tabla_Documentos[],2,FALSE),"")</f>
        <v>45749</v>
      </c>
      <c r="E131" s="34" t="str">
        <f>IFERROR(VLOOKUP($C131,Tabla_Documentos[],3,FALSE),"")</f>
        <v>77578446-6</v>
      </c>
      <c r="F131" s="35" t="str">
        <f>IFERROR(VLOOKUP($C131,Tabla_Documentos[],4,FALSE),"")</f>
        <v>JOYERIA Y RELOJERIA KARIME DAU SPA</v>
      </c>
      <c r="G131" s="38">
        <f>IFERROR(VLOOKUP($C131,Tabla_Documentos[],5,FALSE),"")</f>
        <v>535500</v>
      </c>
      <c r="H131" s="29" t="str">
        <f>IFERROR(VLOOKUP($C131,Tabla_Documentos[],6,FALSE),"")</f>
        <v>PUBLICIDAD</v>
      </c>
      <c r="I131" s="38">
        <f>IFERROR(VLOOKUP($C131,Tabla_Documentos[],5,FALSE),"")</f>
        <v>535500</v>
      </c>
      <c r="J131" s="25">
        <v>45749</v>
      </c>
    </row>
    <row r="132" spans="3:10" ht="21" customHeight="1" x14ac:dyDescent="0.25">
      <c r="C132" s="39">
        <v>1008</v>
      </c>
      <c r="D132" s="28">
        <f>IFERROR(VLOOKUP($C132,Tabla_Documentos[],2,FALSE),"")</f>
        <v>45749</v>
      </c>
      <c r="E132" s="34" t="str">
        <f>IFERROR(VLOOKUP($C132,Tabla_Documentos[],3,FALSE),"")</f>
        <v>78747740-2</v>
      </c>
      <c r="F132" s="35" t="str">
        <f>IFERROR(VLOOKUP($C132,Tabla_Documentos[],4,FALSE),"")</f>
        <v>SERVICIOS INDUSTRIALES WARNER SPA</v>
      </c>
      <c r="G132" s="38">
        <f>IFERROR(VLOOKUP($C132,Tabla_Documentos[],5,FALSE),"")</f>
        <v>1666000</v>
      </c>
      <c r="H132" s="29" t="str">
        <f>IFERROR(VLOOKUP($C132,Tabla_Documentos[],6,FALSE),"")</f>
        <v>OBRAS CIVILES</v>
      </c>
      <c r="I132" s="38">
        <f>IFERROR(VLOOKUP($C132,Tabla_Documentos[],5,FALSE),"")</f>
        <v>1666000</v>
      </c>
      <c r="J132" s="25">
        <v>45778</v>
      </c>
    </row>
    <row r="133" spans="3:10" ht="21" customHeight="1" x14ac:dyDescent="0.25">
      <c r="C133" s="39">
        <v>1009</v>
      </c>
      <c r="D133" s="28">
        <f>IFERROR(VLOOKUP($C133,Tabla_Documentos[],2,FALSE),"")</f>
        <v>45749</v>
      </c>
      <c r="E133" s="34" t="str">
        <f>IFERROR(VLOOKUP($C133,Tabla_Documentos[],3,FALSE),"")</f>
        <v>78055616-1</v>
      </c>
      <c r="F133" s="35" t="str">
        <f>IFERROR(VLOOKUP($C133,Tabla_Documentos[],4,FALSE),"")</f>
        <v>SERVICIOS INTEGRALES LA RIVERA SPA</v>
      </c>
      <c r="G133" s="38">
        <f>IFERROR(VLOOKUP($C133,Tabla_Documentos[],5,FALSE),"")</f>
        <v>476000</v>
      </c>
      <c r="H133" s="29" t="str">
        <f>IFERROR(VLOOKUP($C133,Tabla_Documentos[],6,FALSE),"")</f>
        <v>PUBLICIDAD</v>
      </c>
      <c r="I133" s="38">
        <f>IFERROR(VLOOKUP($C133,Tabla_Documentos[],5,FALSE),"")</f>
        <v>476000</v>
      </c>
      <c r="J133" s="25">
        <v>45749</v>
      </c>
    </row>
    <row r="134" spans="3:10" ht="21" customHeight="1" x14ac:dyDescent="0.25">
      <c r="C134" s="39">
        <v>1010</v>
      </c>
      <c r="D134" s="28">
        <f>IFERROR(VLOOKUP($C134,Tabla_Documentos[],2,FALSE),"")</f>
        <v>45750</v>
      </c>
      <c r="E134" s="34" t="str">
        <f>IFERROR(VLOOKUP($C134,Tabla_Documentos[],3,FALSE),"")</f>
        <v>76574783-K</v>
      </c>
      <c r="F134" s="35" t="str">
        <f>IFERROR(VLOOKUP($C134,Tabla_Documentos[],4,FALSE),"")</f>
        <v>LC GROUP INTERNATIONAL SPA</v>
      </c>
      <c r="G134" s="38">
        <f>IFERROR(VLOOKUP($C134,Tabla_Documentos[],5,FALSE),"")</f>
        <v>1332800</v>
      </c>
      <c r="H134" s="29" t="str">
        <f>IFERROR(VLOOKUP($C134,Tabla_Documentos[],6,FALSE),"")</f>
        <v>PUBLICIDAD</v>
      </c>
      <c r="I134" s="38">
        <f>IFERROR(VLOOKUP($C134,Tabla_Documentos[],5,FALSE),"")</f>
        <v>1332800</v>
      </c>
      <c r="J134" s="25">
        <v>45750</v>
      </c>
    </row>
    <row r="135" spans="3:10" ht="21" customHeight="1" x14ac:dyDescent="0.25">
      <c r="C135" s="39">
        <v>1011</v>
      </c>
      <c r="D135" s="28">
        <f>IFERROR(VLOOKUP($C135,Tabla_Documentos[],2,FALSE),"")</f>
        <v>45750</v>
      </c>
      <c r="E135" s="34" t="str">
        <f>IFERROR(VLOOKUP($C135,Tabla_Documentos[],3,FALSE),"")</f>
        <v>77520219-K</v>
      </c>
      <c r="F135" s="35" t="str">
        <f>IFERROR(VLOOKUP($C135,Tabla_Documentos[],4,FALSE),"")</f>
        <v>AILUV SPA</v>
      </c>
      <c r="G135" s="38">
        <f>IFERROR(VLOOKUP($C135,Tabla_Documentos[],5,FALSE),"")</f>
        <v>368900</v>
      </c>
      <c r="H135" s="29" t="str">
        <f>IFERROR(VLOOKUP($C135,Tabla_Documentos[],6,FALSE),"")</f>
        <v>PUBLICIDAD</v>
      </c>
      <c r="I135" s="38">
        <f>IFERROR(VLOOKUP($C135,Tabla_Documentos[],5,FALSE),"")</f>
        <v>368900</v>
      </c>
      <c r="J135" s="25">
        <v>45750</v>
      </c>
    </row>
    <row r="136" spans="3:10" ht="21" customHeight="1" x14ac:dyDescent="0.25">
      <c r="C136" s="39">
        <v>1012</v>
      </c>
      <c r="D136" s="28">
        <f>IFERROR(VLOOKUP($C136,Tabla_Documentos[],2,FALSE),"")</f>
        <v>45750</v>
      </c>
      <c r="E136" s="34" t="str">
        <f>IFERROR(VLOOKUP($C136,Tabla_Documentos[],3,FALSE),"")</f>
        <v>76410595-8</v>
      </c>
      <c r="F136" s="35" t="str">
        <f>IFERROR(VLOOKUP($C136,Tabla_Documentos[],4,FALSE),"")</f>
        <v>CROSAN SPA</v>
      </c>
      <c r="G136" s="38">
        <f>IFERROR(VLOOKUP($C136,Tabla_Documentos[],5,FALSE),"")</f>
        <v>2280040</v>
      </c>
      <c r="H136" s="29" t="str">
        <f>IFERROR(VLOOKUP($C136,Tabla_Documentos[],6,FALSE),"")</f>
        <v>PUBLICIDAD</v>
      </c>
      <c r="I136" s="38">
        <f>IFERROR(VLOOKUP($C136,Tabla_Documentos[],5,FALSE),"")</f>
        <v>2280040</v>
      </c>
      <c r="J136" s="25">
        <v>45777</v>
      </c>
    </row>
    <row r="137" spans="3:10" ht="21" customHeight="1" x14ac:dyDescent="0.25">
      <c r="C137" s="39">
        <v>1014</v>
      </c>
      <c r="D137" s="28">
        <f>IFERROR(VLOOKUP($C137,Tabla_Documentos[],2,FALSE),"")</f>
        <v>45751</v>
      </c>
      <c r="E137" s="34" t="str">
        <f>IFERROR(VLOOKUP($C137,Tabla_Documentos[],3,FALSE),"")</f>
        <v>77978769-9</v>
      </c>
      <c r="F137" s="35" t="str">
        <f>IFERROR(VLOOKUP($C137,Tabla_Documentos[],4,FALSE),"")</f>
        <v>PALMON SPA</v>
      </c>
      <c r="G137" s="38">
        <f>IFERROR(VLOOKUP($C137,Tabla_Documentos[],5,FALSE),"")</f>
        <v>749700</v>
      </c>
      <c r="H137" s="29" t="str">
        <f>IFERROR(VLOOKUP($C137,Tabla_Documentos[],6,FALSE),"")</f>
        <v>PUBLICIDAD</v>
      </c>
      <c r="I137" s="38">
        <f>IFERROR(VLOOKUP($C137,Tabla_Documentos[],5,FALSE),"")</f>
        <v>749700</v>
      </c>
      <c r="J137" s="25">
        <v>45751</v>
      </c>
    </row>
    <row r="138" spans="3:10" ht="21" customHeight="1" x14ac:dyDescent="0.25">
      <c r="C138" s="39">
        <v>1015</v>
      </c>
      <c r="D138" s="28">
        <f>IFERROR(VLOOKUP($C138,Tabla_Documentos[],2,FALSE),"")</f>
        <v>45751</v>
      </c>
      <c r="E138" s="34" t="str">
        <f>IFERROR(VLOOKUP($C138,Tabla_Documentos[],3,FALSE),"")</f>
        <v>76336122-5</v>
      </c>
      <c r="F138" s="35" t="str">
        <f>IFERROR(VLOOKUP($C138,Tabla_Documentos[],4,FALSE),"")</f>
        <v>INGENIERIA Y SERVICIOS TERRACOP SPA</v>
      </c>
      <c r="G138" s="38">
        <f>IFERROR(VLOOKUP($C138,Tabla_Documentos[],5,FALSE),"")</f>
        <v>238000</v>
      </c>
      <c r="H138" s="29" t="str">
        <f>IFERROR(VLOOKUP($C138,Tabla_Documentos[],6,FALSE),"")</f>
        <v>PUBLICIDAD</v>
      </c>
      <c r="I138" s="38">
        <f>IFERROR(VLOOKUP($C138,Tabla_Documentos[],5,FALSE),"")</f>
        <v>238000</v>
      </c>
      <c r="J138" s="25">
        <v>45778</v>
      </c>
    </row>
    <row r="139" spans="3:10" ht="21" customHeight="1" x14ac:dyDescent="0.25">
      <c r="C139" s="39">
        <v>1016</v>
      </c>
      <c r="D139" s="28">
        <f>IFERROR(VLOOKUP($C139,Tabla_Documentos[],2,FALSE),"")</f>
        <v>45752</v>
      </c>
      <c r="E139" s="34" t="str">
        <f>IFERROR(VLOOKUP($C139,Tabla_Documentos[],3,FALSE),"")</f>
        <v>77758444-8</v>
      </c>
      <c r="F139" s="35" t="str">
        <f>IFERROR(VLOOKUP($C139,Tabla_Documentos[],4,FALSE),"")</f>
        <v>TRANSPORTE DOBLE C SPA</v>
      </c>
      <c r="G139" s="38">
        <f>IFERROR(VLOOKUP($C139,Tabla_Documentos[],5,FALSE),"")</f>
        <v>145180</v>
      </c>
      <c r="H139" s="29" t="str">
        <f>IFERROR(VLOOKUP($C139,Tabla_Documentos[],6,FALSE),"")</f>
        <v>PUBLICIDAD</v>
      </c>
      <c r="I139" s="38">
        <f>IFERROR(VLOOKUP($C139,Tabla_Documentos[],5,FALSE),"")</f>
        <v>145180</v>
      </c>
      <c r="J139" s="25">
        <v>45752</v>
      </c>
    </row>
    <row r="140" spans="3:10" ht="21" customHeight="1" x14ac:dyDescent="0.25">
      <c r="C140" s="39">
        <v>1018</v>
      </c>
      <c r="D140" s="28">
        <f>IFERROR(VLOOKUP($C140,Tabla_Documentos[],2,FALSE),"")</f>
        <v>45754</v>
      </c>
      <c r="E140" s="34" t="str">
        <f>IFERROR(VLOOKUP($C140,Tabla_Documentos[],3,FALSE),"")</f>
        <v>12219231-8</v>
      </c>
      <c r="F140" s="35" t="str">
        <f>IFERROR(VLOOKUP($C140,Tabla_Documentos[],4,FALSE),"")</f>
        <v>WILSON ELEODORO MERINO ROJAS</v>
      </c>
      <c r="G140" s="38">
        <f>IFERROR(VLOOKUP($C140,Tabla_Documentos[],5,FALSE),"")</f>
        <v>39999</v>
      </c>
      <c r="H140" s="29" t="str">
        <f>IFERROR(VLOOKUP($C140,Tabla_Documentos[],6,FALSE),"")</f>
        <v>PUBLICIDAD</v>
      </c>
      <c r="I140" s="38">
        <f>IFERROR(VLOOKUP($C140,Tabla_Documentos[],5,FALSE),"")</f>
        <v>39999</v>
      </c>
      <c r="J140" s="25">
        <v>45754</v>
      </c>
    </row>
    <row r="141" spans="3:10" ht="21" customHeight="1" x14ac:dyDescent="0.25">
      <c r="C141" s="39">
        <v>1019</v>
      </c>
      <c r="D141" s="28">
        <f>IFERROR(VLOOKUP($C141,Tabla_Documentos[],2,FALSE),"")</f>
        <v>45755</v>
      </c>
      <c r="E141" s="34" t="str">
        <f>IFERROR(VLOOKUP($C141,Tabla_Documentos[],3,FALSE),"")</f>
        <v>76829102-0</v>
      </c>
      <c r="F141" s="35" t="str">
        <f>IFERROR(VLOOKUP($C141,Tabla_Documentos[],4,FALSE),"")</f>
        <v>CONSTRUCTORA ROJAS Y FIERRO FERSMETAL LIMITADA</v>
      </c>
      <c r="G141" s="38">
        <f>IFERROR(VLOOKUP($C141,Tabla_Documentos[],5,FALSE),"")</f>
        <v>71400</v>
      </c>
      <c r="H141" s="29" t="str">
        <f>IFERROR(VLOOKUP($C141,Tabla_Documentos[],6,FALSE),"")</f>
        <v>PUBLICIDAD</v>
      </c>
      <c r="I141" s="38">
        <f>IFERROR(VLOOKUP($C141,Tabla_Documentos[],5,FALSE),"")</f>
        <v>71400</v>
      </c>
      <c r="J141" s="25">
        <v>45755</v>
      </c>
    </row>
    <row r="142" spans="3:10" ht="21" customHeight="1" x14ac:dyDescent="0.25">
      <c r="C142" s="39">
        <v>1020</v>
      </c>
      <c r="D142" s="28">
        <f>IFERROR(VLOOKUP($C142,Tabla_Documentos[],2,FALSE),"")</f>
        <v>45756</v>
      </c>
      <c r="E142" s="34" t="str">
        <f>IFERROR(VLOOKUP($C142,Tabla_Documentos[],3,FALSE),"")</f>
        <v>76946732-7</v>
      </c>
      <c r="F142" s="35" t="str">
        <f>IFERROR(VLOOKUP($C142,Tabla_Documentos[],4,FALSE),"")</f>
        <v>SERVICIOS DE INGENIERIA Y MAESTRANZA SPA</v>
      </c>
      <c r="G142" s="38">
        <f>IFERROR(VLOOKUP($C142,Tabla_Documentos[],5,FALSE),"")</f>
        <v>214200</v>
      </c>
      <c r="H142" s="29" t="str">
        <f>IFERROR(VLOOKUP($C142,Tabla_Documentos[],6,FALSE),"")</f>
        <v>PUBLICIDAD</v>
      </c>
      <c r="I142" s="38">
        <f>IFERROR(VLOOKUP($C142,Tabla_Documentos[],5,FALSE),"")</f>
        <v>214200</v>
      </c>
      <c r="J142" s="25">
        <v>45757</v>
      </c>
    </row>
    <row r="143" spans="3:10" ht="21" customHeight="1" x14ac:dyDescent="0.25">
      <c r="C143" s="39">
        <v>1022</v>
      </c>
      <c r="D143" s="28">
        <f>IFERROR(VLOOKUP($C143,Tabla_Documentos[],2,FALSE),"")</f>
        <v>45756</v>
      </c>
      <c r="E143" s="34" t="str">
        <f>IFERROR(VLOOKUP($C143,Tabla_Documentos[],3,FALSE),"")</f>
        <v>76686138-5</v>
      </c>
      <c r="F143" s="35" t="str">
        <f>IFERROR(VLOOKUP($C143,Tabla_Documentos[],4,FALSE),"")</f>
        <v>SKC RED SPA</v>
      </c>
      <c r="G143" s="38">
        <f>IFERROR(VLOOKUP($C143,Tabla_Documentos[],5,FALSE),"")</f>
        <v>345100</v>
      </c>
      <c r="H143" s="29" t="str">
        <f>IFERROR(VLOOKUP($C143,Tabla_Documentos[],6,FALSE),"")</f>
        <v>PUBLICIDAD</v>
      </c>
      <c r="I143" s="38">
        <f>IFERROR(VLOOKUP($C143,Tabla_Documentos[],5,FALSE),"")</f>
        <v>345100</v>
      </c>
      <c r="J143" s="25">
        <v>45786</v>
      </c>
    </row>
    <row r="144" spans="3:10" ht="21" customHeight="1" x14ac:dyDescent="0.25">
      <c r="C144" s="39">
        <v>1023</v>
      </c>
      <c r="D144" s="28">
        <f>IFERROR(VLOOKUP($C144,Tabla_Documentos[],2,FALSE),"")</f>
        <v>45756</v>
      </c>
      <c r="E144" s="34" t="str">
        <f>IFERROR(VLOOKUP($C144,Tabla_Documentos[],3,FALSE),"")</f>
        <v>76548223-2</v>
      </c>
      <c r="F144" s="35" t="str">
        <f>IFERROR(VLOOKUP($C144,Tabla_Documentos[],4,FALSE),"")</f>
        <v>INGEGROUP INGENIERIA  SPA</v>
      </c>
      <c r="G144" s="38">
        <f>IFERROR(VLOOKUP($C144,Tabla_Documentos[],5,FALSE),"")</f>
        <v>29750</v>
      </c>
      <c r="H144" s="29" t="str">
        <f>IFERROR(VLOOKUP($C144,Tabla_Documentos[],6,FALSE),"")</f>
        <v>PUBLICIDAD</v>
      </c>
      <c r="I144" s="38">
        <f>IFERROR(VLOOKUP($C144,Tabla_Documentos[],5,FALSE),"")</f>
        <v>29750</v>
      </c>
      <c r="J144" s="25">
        <v>45756</v>
      </c>
    </row>
    <row r="145" spans="3:10" ht="21" customHeight="1" x14ac:dyDescent="0.25">
      <c r="C145" s="39">
        <v>1024</v>
      </c>
      <c r="D145" s="28">
        <f>IFERROR(VLOOKUP($C145,Tabla_Documentos[],2,FALSE),"")</f>
        <v>45757</v>
      </c>
      <c r="E145" s="34" t="str">
        <f>IFERROR(VLOOKUP($C145,Tabla_Documentos[],3,FALSE),"")</f>
        <v>76686138-5</v>
      </c>
      <c r="F145" s="35" t="str">
        <f>IFERROR(VLOOKUP($C145,Tabla_Documentos[],4,FALSE),"")</f>
        <v>SKC RED SPA</v>
      </c>
      <c r="G145" s="38">
        <f>IFERROR(VLOOKUP($C145,Tabla_Documentos[],5,FALSE),"")</f>
        <v>345100</v>
      </c>
      <c r="H145" s="29" t="str">
        <f>IFERROR(VLOOKUP($C145,Tabla_Documentos[],6,FALSE),"")</f>
        <v>PUBLICIDAD</v>
      </c>
      <c r="I145" s="38">
        <f>IFERROR(VLOOKUP($C145,Tabla_Documentos[],5,FALSE),"")</f>
        <v>345100</v>
      </c>
      <c r="J145" s="25">
        <v>45812</v>
      </c>
    </row>
    <row r="146" spans="3:10" ht="21" customHeight="1" x14ac:dyDescent="0.25">
      <c r="C146" s="39">
        <v>1025</v>
      </c>
      <c r="D146" s="28">
        <f>IFERROR(VLOOKUP($C146,Tabla_Documentos[],2,FALSE),"")</f>
        <v>45757</v>
      </c>
      <c r="E146" s="34" t="str">
        <f>IFERROR(VLOOKUP($C146,Tabla_Documentos[],3,FALSE),"")</f>
        <v>76686138-5</v>
      </c>
      <c r="F146" s="35" t="str">
        <f>IFERROR(VLOOKUP($C146,Tabla_Documentos[],4,FALSE),"")</f>
        <v>SKC RED SPA</v>
      </c>
      <c r="G146" s="38">
        <f>IFERROR(VLOOKUP($C146,Tabla_Documentos[],5,FALSE),"")</f>
        <v>345100</v>
      </c>
      <c r="H146" s="29" t="str">
        <f>IFERROR(VLOOKUP($C146,Tabla_Documentos[],6,FALSE),"")</f>
        <v>PUBLICIDAD</v>
      </c>
      <c r="I146" s="38">
        <f>IFERROR(VLOOKUP($C146,Tabla_Documentos[],5,FALSE),"")</f>
        <v>345100</v>
      </c>
      <c r="J146" s="25">
        <v>45786</v>
      </c>
    </row>
    <row r="147" spans="3:10" ht="21" customHeight="1" x14ac:dyDescent="0.25">
      <c r="C147" s="39">
        <v>1026</v>
      </c>
      <c r="D147" s="28">
        <f>IFERROR(VLOOKUP($C147,Tabla_Documentos[],2,FALSE),"")</f>
        <v>45757</v>
      </c>
      <c r="E147" s="34" t="str">
        <f>IFERROR(VLOOKUP($C147,Tabla_Documentos[],3,FALSE),"")</f>
        <v>76686138-5</v>
      </c>
      <c r="F147" s="35" t="str">
        <f>IFERROR(VLOOKUP($C147,Tabla_Documentos[],4,FALSE),"")</f>
        <v>SKC RED SPA</v>
      </c>
      <c r="G147" s="38">
        <f>IFERROR(VLOOKUP($C147,Tabla_Documentos[],5,FALSE),"")</f>
        <v>297500</v>
      </c>
      <c r="H147" s="29" t="str">
        <f>IFERROR(VLOOKUP($C147,Tabla_Documentos[],6,FALSE),"")</f>
        <v>PUBLICIDAD</v>
      </c>
      <c r="I147" s="38">
        <f>IFERROR(VLOOKUP($C147,Tabla_Documentos[],5,FALSE),"")</f>
        <v>297500</v>
      </c>
      <c r="J147" s="25">
        <v>45786</v>
      </c>
    </row>
    <row r="148" spans="3:10" ht="21" customHeight="1" x14ac:dyDescent="0.25">
      <c r="C148" s="39">
        <v>1027</v>
      </c>
      <c r="D148" s="28">
        <f>IFERROR(VLOOKUP($C148,Tabla_Documentos[],2,FALSE),"")</f>
        <v>45757</v>
      </c>
      <c r="E148" s="34" t="str">
        <f>IFERROR(VLOOKUP($C148,Tabla_Documentos[],3,FALSE),"")</f>
        <v>8929149-6</v>
      </c>
      <c r="F148" s="35" t="str">
        <f>IFERROR(VLOOKUP($C148,Tabla_Documentos[],4,FALSE),"")</f>
        <v>ANGEL CUSTODIO CONCHA SANCHEZ</v>
      </c>
      <c r="G148" s="38">
        <f>IFERROR(VLOOKUP($C148,Tabla_Documentos[],5,FALSE),"")</f>
        <v>20000</v>
      </c>
      <c r="H148" s="29" t="str">
        <f>IFERROR(VLOOKUP($C148,Tabla_Documentos[],6,FALSE),"")</f>
        <v>PUBLICIDAD</v>
      </c>
      <c r="I148" s="38">
        <f>IFERROR(VLOOKUP($C148,Tabla_Documentos[],5,FALSE),"")</f>
        <v>20000</v>
      </c>
      <c r="J148" s="25">
        <v>45757</v>
      </c>
    </row>
    <row r="149" spans="3:10" ht="21" customHeight="1" x14ac:dyDescent="0.25">
      <c r="C149" s="39">
        <v>1029</v>
      </c>
      <c r="D149" s="28">
        <f>IFERROR(VLOOKUP($C149,Tabla_Documentos[],2,FALSE),"")</f>
        <v>45757</v>
      </c>
      <c r="E149" s="34" t="str">
        <f>IFERROR(VLOOKUP($C149,Tabla_Documentos[],3,FALSE),"")</f>
        <v>76744135-5</v>
      </c>
      <c r="F149" s="35" t="str">
        <f>IFERROR(VLOOKUP($C149,Tabla_Documentos[],4,FALSE),"")</f>
        <v>PATAGONIA SERVICIOS SPA</v>
      </c>
      <c r="G149" s="38">
        <f>IFERROR(VLOOKUP($C149,Tabla_Documentos[],5,FALSE),"")</f>
        <v>3510500</v>
      </c>
      <c r="H149" s="29" t="str">
        <f>IFERROR(VLOOKUP($C149,Tabla_Documentos[],6,FALSE),"")</f>
        <v>OBRAS CIVILES</v>
      </c>
      <c r="I149" s="38">
        <f>IFERROR(VLOOKUP($C149,Tabla_Documentos[],5,FALSE),"")</f>
        <v>3510500</v>
      </c>
      <c r="J149" s="25">
        <v>45792</v>
      </c>
    </row>
    <row r="150" spans="3:10" ht="21" customHeight="1" x14ac:dyDescent="0.25">
      <c r="C150" s="39">
        <v>1030</v>
      </c>
      <c r="D150" s="28">
        <f>IFERROR(VLOOKUP($C150,Tabla_Documentos[],2,FALSE),"")</f>
        <v>45757</v>
      </c>
      <c r="E150" s="34" t="str">
        <f>IFERROR(VLOOKUP($C150,Tabla_Documentos[],3,FALSE),"")</f>
        <v>76744135-5</v>
      </c>
      <c r="F150" s="35" t="str">
        <f>IFERROR(VLOOKUP($C150,Tabla_Documentos[],4,FALSE),"")</f>
        <v>PATAGONIA SERVICIOS SPA</v>
      </c>
      <c r="G150" s="38">
        <f>IFERROR(VLOOKUP($C150,Tabla_Documentos[],5,FALSE),"")</f>
        <v>5712000</v>
      </c>
      <c r="H150" s="29" t="str">
        <f>IFERROR(VLOOKUP($C150,Tabla_Documentos[],6,FALSE),"")</f>
        <v>OBRAS CIVILES</v>
      </c>
      <c r="I150" s="38">
        <f>IFERROR(VLOOKUP($C150,Tabla_Documentos[],5,FALSE),"")</f>
        <v>5712000</v>
      </c>
      <c r="J150" s="25">
        <v>45792</v>
      </c>
    </row>
    <row r="151" spans="3:10" ht="21" customHeight="1" x14ac:dyDescent="0.25">
      <c r="C151" s="39">
        <v>1031</v>
      </c>
      <c r="D151" s="28">
        <f>IFERROR(VLOOKUP($C151,Tabla_Documentos[],2,FALSE),"")</f>
        <v>45757</v>
      </c>
      <c r="E151" s="34" t="str">
        <f>IFERROR(VLOOKUP($C151,Tabla_Documentos[],3,FALSE),"")</f>
        <v>76744135-5</v>
      </c>
      <c r="F151" s="35" t="str">
        <f>IFERROR(VLOOKUP($C151,Tabla_Documentos[],4,FALSE),"")</f>
        <v>PATAGONIA SERVICIOS SPA</v>
      </c>
      <c r="G151" s="38">
        <f>IFERROR(VLOOKUP($C151,Tabla_Documentos[],5,FALSE),"")</f>
        <v>2856000</v>
      </c>
      <c r="H151" s="29" t="str">
        <f>IFERROR(VLOOKUP($C151,Tabla_Documentos[],6,FALSE),"")</f>
        <v>OBRAS CIVILES</v>
      </c>
      <c r="I151" s="38">
        <f>IFERROR(VLOOKUP($C151,Tabla_Documentos[],5,FALSE),"")</f>
        <v>2856000</v>
      </c>
      <c r="J151" s="25">
        <v>45817</v>
      </c>
    </row>
    <row r="152" spans="3:10" ht="21" customHeight="1" x14ac:dyDescent="0.25">
      <c r="C152" s="39">
        <v>1032</v>
      </c>
      <c r="D152" s="28">
        <f>IFERROR(VLOOKUP($C152,Tabla_Documentos[],2,FALSE),"")</f>
        <v>45759</v>
      </c>
      <c r="E152" s="34" t="str">
        <f>IFERROR(VLOOKUP($C152,Tabla_Documentos[],3,FALSE),"")</f>
        <v>77721807-7</v>
      </c>
      <c r="F152" s="35" t="str">
        <f>IFERROR(VLOOKUP($C152,Tabla_Documentos[],4,FALSE),"")</f>
        <v>RESITER SERVICIOS GENERALES SPA</v>
      </c>
      <c r="G152" s="38">
        <f>IFERROR(VLOOKUP($C152,Tabla_Documentos[],5,FALSE),"")</f>
        <v>357000</v>
      </c>
      <c r="H152" s="29" t="str">
        <f>IFERROR(VLOOKUP($C152,Tabla_Documentos[],6,FALSE),"")</f>
        <v>PUBLICIDAD</v>
      </c>
      <c r="I152" s="38">
        <f>IFERROR(VLOOKUP($C152,Tabla_Documentos[],5,FALSE),"")</f>
        <v>357000</v>
      </c>
      <c r="J152" s="25">
        <v>45759</v>
      </c>
    </row>
    <row r="153" spans="3:10" ht="21" customHeight="1" x14ac:dyDescent="0.25">
      <c r="C153" s="39">
        <v>1033</v>
      </c>
      <c r="D153" s="28">
        <f>IFERROR(VLOOKUP($C153,Tabla_Documentos[],2,FALSE),"")</f>
        <v>45759</v>
      </c>
      <c r="E153" s="34" t="str">
        <f>IFERROR(VLOOKUP($C153,Tabla_Documentos[],3,FALSE),"")</f>
        <v>77721807-7</v>
      </c>
      <c r="F153" s="35" t="str">
        <f>IFERROR(VLOOKUP($C153,Tabla_Documentos[],4,FALSE),"")</f>
        <v>RESITER SERVICIOS GENERALES SPA</v>
      </c>
      <c r="G153" s="38">
        <f>IFERROR(VLOOKUP($C153,Tabla_Documentos[],5,FALSE),"")</f>
        <v>35700</v>
      </c>
      <c r="H153" s="29" t="str">
        <f>IFERROR(VLOOKUP($C153,Tabla_Documentos[],6,FALSE),"")</f>
        <v>PUBLICIDAD</v>
      </c>
      <c r="I153" s="38">
        <f>IFERROR(VLOOKUP($C153,Tabla_Documentos[],5,FALSE),"")</f>
        <v>35700</v>
      </c>
      <c r="J153" s="25">
        <v>45759</v>
      </c>
    </row>
    <row r="154" spans="3:10" ht="21" customHeight="1" x14ac:dyDescent="0.25">
      <c r="C154" s="39">
        <v>1034</v>
      </c>
      <c r="D154" s="28">
        <f>IFERROR(VLOOKUP($C154,Tabla_Documentos[],2,FALSE),"")</f>
        <v>45762</v>
      </c>
      <c r="E154" s="34" t="str">
        <f>IFERROR(VLOOKUP($C154,Tabla_Documentos[],3,FALSE),"")</f>
        <v>77789862-0</v>
      </c>
      <c r="F154" s="35" t="str">
        <f>IFERROR(VLOOKUP($C154,Tabla_Documentos[],4,FALSE),"")</f>
        <v>MOINCO INGENIERIA SPA</v>
      </c>
      <c r="G154" s="38">
        <f>IFERROR(VLOOKUP($C154,Tabla_Documentos[],5,FALSE),"")</f>
        <v>1257830</v>
      </c>
      <c r="H154" s="29" t="str">
        <f>IFERROR(VLOOKUP($C154,Tabla_Documentos[],6,FALSE),"")</f>
        <v>PUBLICIDAD</v>
      </c>
      <c r="I154" s="38">
        <f>IFERROR(VLOOKUP($C154,Tabla_Documentos[],5,FALSE),"")</f>
        <v>1257830</v>
      </c>
      <c r="J154" s="25">
        <v>45762</v>
      </c>
    </row>
    <row r="155" spans="3:10" ht="21" customHeight="1" x14ac:dyDescent="0.25">
      <c r="C155" s="39">
        <v>1035</v>
      </c>
      <c r="D155" s="28">
        <f>IFERROR(VLOOKUP($C155,Tabla_Documentos[],2,FALSE),"")</f>
        <v>45762</v>
      </c>
      <c r="E155" s="34" t="str">
        <f>IFERROR(VLOOKUP($C155,Tabla_Documentos[],3,FALSE),"")</f>
        <v>14485102-1</v>
      </c>
      <c r="F155" s="35" t="str">
        <f>IFERROR(VLOOKUP($C155,Tabla_Documentos[],4,FALSE),"")</f>
        <v>LORENA CARMEN OTAROLA SOTO</v>
      </c>
      <c r="G155" s="38">
        <f>IFERROR(VLOOKUP($C155,Tabla_Documentos[],5,FALSE),"")</f>
        <v>20000</v>
      </c>
      <c r="H155" s="29" t="str">
        <f>IFERROR(VLOOKUP($C155,Tabla_Documentos[],6,FALSE),"")</f>
        <v>PUBLICIDAD</v>
      </c>
      <c r="I155" s="38">
        <f>IFERROR(VLOOKUP($C155,Tabla_Documentos[],5,FALSE),"")</f>
        <v>20000</v>
      </c>
      <c r="J155" s="25">
        <v>45762</v>
      </c>
    </row>
    <row r="156" spans="3:10" ht="21" customHeight="1" x14ac:dyDescent="0.25">
      <c r="C156" s="39">
        <v>1036</v>
      </c>
      <c r="D156" s="28">
        <f>IFERROR(VLOOKUP($C156,Tabla_Documentos[],2,FALSE),"")</f>
        <v>45763</v>
      </c>
      <c r="E156" s="34" t="str">
        <f>IFERROR(VLOOKUP($C156,Tabla_Documentos[],3,FALSE),"")</f>
        <v>78105542-5</v>
      </c>
      <c r="F156" s="35" t="str">
        <f>IFERROR(VLOOKUP($C156,Tabla_Documentos[],4,FALSE),"")</f>
        <v>CORREDORAS DE PROPIEDADES P  F SPA</v>
      </c>
      <c r="G156" s="38">
        <f>IFERROR(VLOOKUP($C156,Tabla_Documentos[],5,FALSE),"")</f>
        <v>59500</v>
      </c>
      <c r="H156" s="29" t="str">
        <f>IFERROR(VLOOKUP($C156,Tabla_Documentos[],6,FALSE),"")</f>
        <v>PUBLICIDAD</v>
      </c>
      <c r="I156" s="38">
        <f>IFERROR(VLOOKUP($C156,Tabla_Documentos[],5,FALSE),"")</f>
        <v>59500</v>
      </c>
      <c r="J156" s="25">
        <v>45763</v>
      </c>
    </row>
    <row r="157" spans="3:10" ht="21" customHeight="1" x14ac:dyDescent="0.25">
      <c r="C157" s="39">
        <v>1037</v>
      </c>
      <c r="D157" s="28">
        <f>IFERROR(VLOOKUP($C157,Tabla_Documentos[],2,FALSE),"")</f>
        <v>45763</v>
      </c>
      <c r="E157" s="34" t="str">
        <f>IFERROR(VLOOKUP($C157,Tabla_Documentos[],3,FALSE),"")</f>
        <v>76271472-8</v>
      </c>
      <c r="F157" s="35" t="str">
        <f>IFERROR(VLOOKUP($C157,Tabla_Documentos[],4,FALSE),"")</f>
        <v>ANDINOR SPA</v>
      </c>
      <c r="G157" s="38">
        <f>IFERROR(VLOOKUP($C157,Tabla_Documentos[],5,FALSE),"")</f>
        <v>95200</v>
      </c>
      <c r="H157" s="29" t="str">
        <f>IFERROR(VLOOKUP($C157,Tabla_Documentos[],6,FALSE),"")</f>
        <v>PUBLICIDAD</v>
      </c>
      <c r="I157" s="38">
        <f>IFERROR(VLOOKUP($C157,Tabla_Documentos[],5,FALSE),"")</f>
        <v>95200</v>
      </c>
      <c r="J157" s="25">
        <v>45763</v>
      </c>
    </row>
    <row r="158" spans="3:10" ht="21" customHeight="1" x14ac:dyDescent="0.25">
      <c r="C158" s="39">
        <v>1038</v>
      </c>
      <c r="D158" s="28">
        <f>IFERROR(VLOOKUP($C158,Tabla_Documentos[],2,FALSE),"")</f>
        <v>45764</v>
      </c>
      <c r="E158" s="34" t="str">
        <f>IFERROR(VLOOKUP($C158,Tabla_Documentos[],3,FALSE),"")</f>
        <v>76686138-5</v>
      </c>
      <c r="F158" s="35" t="str">
        <f>IFERROR(VLOOKUP($C158,Tabla_Documentos[],4,FALSE),"")</f>
        <v>SKC RED SPA</v>
      </c>
      <c r="G158" s="38">
        <f>IFERROR(VLOOKUP($C158,Tabla_Documentos[],5,FALSE),"")</f>
        <v>380800</v>
      </c>
      <c r="H158" s="29" t="str">
        <f>IFERROR(VLOOKUP($C158,Tabla_Documentos[],6,FALSE),"")</f>
        <v>PUBLICIDAD</v>
      </c>
      <c r="I158" s="38">
        <f>IFERROR(VLOOKUP($C158,Tabla_Documentos[],5,FALSE),"")</f>
        <v>380800</v>
      </c>
      <c r="J158" s="25">
        <v>45793</v>
      </c>
    </row>
    <row r="159" spans="3:10" ht="21" customHeight="1" x14ac:dyDescent="0.25">
      <c r="C159" s="39">
        <v>1039</v>
      </c>
      <c r="D159" s="28">
        <f>IFERROR(VLOOKUP($C159,Tabla_Documentos[],2,FALSE),"")</f>
        <v>45764</v>
      </c>
      <c r="E159" s="34" t="str">
        <f>IFERROR(VLOOKUP($C159,Tabla_Documentos[],3,FALSE),"")</f>
        <v>76686138-5</v>
      </c>
      <c r="F159" s="35" t="str">
        <f>IFERROR(VLOOKUP($C159,Tabla_Documentos[],4,FALSE),"")</f>
        <v>SKC RED SPA</v>
      </c>
      <c r="G159" s="38">
        <f>IFERROR(VLOOKUP($C159,Tabla_Documentos[],5,FALSE),"")</f>
        <v>499800</v>
      </c>
      <c r="H159" s="29" t="str">
        <f>IFERROR(VLOOKUP($C159,Tabla_Documentos[],6,FALSE),"")</f>
        <v>PUBLICIDAD</v>
      </c>
      <c r="I159" s="38">
        <f>IFERROR(VLOOKUP($C159,Tabla_Documentos[],5,FALSE),"")</f>
        <v>499800</v>
      </c>
      <c r="J159" s="25">
        <v>45793</v>
      </c>
    </row>
    <row r="160" spans="3:10" ht="21" customHeight="1" x14ac:dyDescent="0.25">
      <c r="C160" s="39">
        <v>1040</v>
      </c>
      <c r="D160" s="28">
        <f>IFERROR(VLOOKUP($C160,Tabla_Documentos[],2,FALSE),"")</f>
        <v>45764</v>
      </c>
      <c r="E160" s="34" t="str">
        <f>IFERROR(VLOOKUP($C160,Tabla_Documentos[],3,FALSE),"")</f>
        <v>76032289-K</v>
      </c>
      <c r="F160" s="35" t="str">
        <f>IFERROR(VLOOKUP($C160,Tabla_Documentos[],4,FALSE),"")</f>
        <v>PAVIMENTOS CHILENOS LIMITADA</v>
      </c>
      <c r="G160" s="38">
        <f>IFERROR(VLOOKUP($C160,Tabla_Documentos[],5,FALSE),"")</f>
        <v>29821</v>
      </c>
      <c r="H160" s="29" t="str">
        <f>IFERROR(VLOOKUP($C160,Tabla_Documentos[],6,FALSE),"")</f>
        <v>PUBLICIDAD</v>
      </c>
      <c r="I160" s="38">
        <f>IFERROR(VLOOKUP($C160,Tabla_Documentos[],5,FALSE),"")</f>
        <v>29821</v>
      </c>
      <c r="J160" s="25">
        <v>45764</v>
      </c>
    </row>
    <row r="161" spans="3:10" ht="21" customHeight="1" x14ac:dyDescent="0.25">
      <c r="C161" s="39">
        <v>1043</v>
      </c>
      <c r="D161" s="28">
        <f>IFERROR(VLOOKUP($C161,Tabla_Documentos[],2,FALSE),"")</f>
        <v>45764</v>
      </c>
      <c r="E161" s="34" t="str">
        <f>IFERROR(VLOOKUP($C161,Tabla_Documentos[],3,FALSE),"")</f>
        <v>96792430-K</v>
      </c>
      <c r="F161" s="35" t="str">
        <f>IFERROR(VLOOKUP($C161,Tabla_Documentos[],4,FALSE),"")</f>
        <v>SODIMAC S.A.</v>
      </c>
      <c r="G161" s="38">
        <f>IFERROR(VLOOKUP($C161,Tabla_Documentos[],5,FALSE),"")</f>
        <v>297500</v>
      </c>
      <c r="H161" s="29" t="str">
        <f>IFERROR(VLOOKUP($C161,Tabla_Documentos[],6,FALSE),"")</f>
        <v>BELEN</v>
      </c>
      <c r="I161" s="38">
        <f>IFERROR(VLOOKUP($C161,Tabla_Documentos[],5,FALSE),"")</f>
        <v>297500</v>
      </c>
      <c r="J161" s="25">
        <v>45793</v>
      </c>
    </row>
    <row r="162" spans="3:10" ht="21" customHeight="1" x14ac:dyDescent="0.25">
      <c r="C162" s="39">
        <v>1044</v>
      </c>
      <c r="D162" s="28">
        <f>IFERROR(VLOOKUP($C162,Tabla_Documentos[],2,FALSE),"")</f>
        <v>45764</v>
      </c>
      <c r="E162" s="34" t="str">
        <f>IFERROR(VLOOKUP($C162,Tabla_Documentos[],3,FALSE),"")</f>
        <v>77382153-4</v>
      </c>
      <c r="F162" s="35" t="str">
        <f>IFERROR(VLOOKUP($C162,Tabla_Documentos[],4,FALSE),"")</f>
        <v>AUCAN LOGISTIC SPA</v>
      </c>
      <c r="G162" s="38">
        <f>IFERROR(VLOOKUP($C162,Tabla_Documentos[],5,FALSE),"")</f>
        <v>135660</v>
      </c>
      <c r="H162" s="29" t="str">
        <f>IFERROR(VLOOKUP($C162,Tabla_Documentos[],6,FALSE),"")</f>
        <v>PUBLICIDAD</v>
      </c>
      <c r="I162" s="38">
        <f>IFERROR(VLOOKUP($C162,Tabla_Documentos[],5,FALSE),"")</f>
        <v>135660</v>
      </c>
      <c r="J162" s="25">
        <v>45764</v>
      </c>
    </row>
    <row r="163" spans="3:10" ht="21" customHeight="1" x14ac:dyDescent="0.25">
      <c r="C163" s="39">
        <v>1045</v>
      </c>
      <c r="D163" s="28">
        <f>IFERROR(VLOOKUP($C163,Tabla_Documentos[],2,FALSE),"")</f>
        <v>45764</v>
      </c>
      <c r="E163" s="34" t="str">
        <f>IFERROR(VLOOKUP($C163,Tabla_Documentos[],3,FALSE),"")</f>
        <v>18218891-3</v>
      </c>
      <c r="F163" s="35" t="str">
        <f>IFERROR(VLOOKUP($C163,Tabla_Documentos[],4,FALSE),"")</f>
        <v>FERNANDO ESTEBAN DIAZ SANQUINETTI</v>
      </c>
      <c r="G163" s="38">
        <f>IFERROR(VLOOKUP($C163,Tabla_Documentos[],5,FALSE),"")</f>
        <v>97580</v>
      </c>
      <c r="H163" s="29" t="str">
        <f>IFERROR(VLOOKUP($C163,Tabla_Documentos[],6,FALSE),"")</f>
        <v>PUBLICIDAD</v>
      </c>
      <c r="I163" s="38">
        <f>IFERROR(VLOOKUP($C163,Tabla_Documentos[],5,FALSE),"")</f>
        <v>97580</v>
      </c>
      <c r="J163" s="25">
        <v>45764</v>
      </c>
    </row>
    <row r="164" spans="3:10" ht="21" customHeight="1" x14ac:dyDescent="0.25">
      <c r="C164" s="39">
        <v>1046</v>
      </c>
      <c r="D164" s="28">
        <f>IFERROR(VLOOKUP($C164,Tabla_Documentos[],2,FALSE),"")</f>
        <v>45768</v>
      </c>
      <c r="E164" s="34" t="str">
        <f>IFERROR(VLOOKUP($C164,Tabla_Documentos[],3,FALSE),"")</f>
        <v>78442450-2</v>
      </c>
      <c r="F164" s="35" t="str">
        <f>IFERROR(VLOOKUP($C164,Tabla_Documentos[],4,FALSE),"")</f>
        <v>MINERA NITTETSU CHILE LTDA</v>
      </c>
      <c r="G164" s="38">
        <f>IFERROR(VLOOKUP($C164,Tabla_Documentos[],5,FALSE),"")</f>
        <v>60001</v>
      </c>
      <c r="H164" s="29" t="str">
        <f>IFERROR(VLOOKUP($C164,Tabla_Documentos[],6,FALSE),"")</f>
        <v>PUBLICIDAD</v>
      </c>
      <c r="I164" s="38">
        <f>IFERROR(VLOOKUP($C164,Tabla_Documentos[],5,FALSE),"")</f>
        <v>60001</v>
      </c>
      <c r="J164" s="25">
        <v>45768</v>
      </c>
    </row>
    <row r="165" spans="3:10" ht="21" customHeight="1" x14ac:dyDescent="0.25">
      <c r="C165" s="39">
        <v>1047</v>
      </c>
      <c r="D165" s="28">
        <f>IFERROR(VLOOKUP($C165,Tabla_Documentos[],2,FALSE),"")</f>
        <v>45768</v>
      </c>
      <c r="E165" s="34" t="str">
        <f>IFERROR(VLOOKUP($C165,Tabla_Documentos[],3,FALSE),"")</f>
        <v>8491016-3</v>
      </c>
      <c r="F165" s="35" t="str">
        <f>IFERROR(VLOOKUP($C165,Tabla_Documentos[],4,FALSE),"")</f>
        <v>JACINTO PRUDENCIO QUISPE GERONIMO</v>
      </c>
      <c r="G165" s="38">
        <f>IFERROR(VLOOKUP($C165,Tabla_Documentos[],5,FALSE),"")</f>
        <v>190000</v>
      </c>
      <c r="H165" s="29" t="str">
        <f>IFERROR(VLOOKUP($C165,Tabla_Documentos[],6,FALSE),"")</f>
        <v>PUBLICIDAD</v>
      </c>
      <c r="I165" s="38">
        <f>IFERROR(VLOOKUP($C165,Tabla_Documentos[],5,FALSE),"")</f>
        <v>190000</v>
      </c>
      <c r="J165" s="25">
        <v>45768</v>
      </c>
    </row>
    <row r="166" spans="3:10" ht="21" customHeight="1" x14ac:dyDescent="0.25">
      <c r="C166" s="39">
        <v>1048</v>
      </c>
      <c r="D166" s="28">
        <f>IFERROR(VLOOKUP($C166,Tabla_Documentos[],2,FALSE),"")</f>
        <v>45768</v>
      </c>
      <c r="E166" s="34" t="str">
        <f>IFERROR(VLOOKUP($C166,Tabla_Documentos[],3,FALSE),"")</f>
        <v>3231880-0</v>
      </c>
      <c r="F166" s="35" t="str">
        <f>IFERROR(VLOOKUP($C166,Tabla_Documentos[],4,FALSE),"")</f>
        <v>ERNESTO OMAR MOLINA MOLINA</v>
      </c>
      <c r="G166" s="38">
        <f>IFERROR(VLOOKUP($C166,Tabla_Documentos[],5,FALSE),"")</f>
        <v>20000</v>
      </c>
      <c r="H166" s="29" t="str">
        <f>IFERROR(VLOOKUP($C166,Tabla_Documentos[],6,FALSE),"")</f>
        <v>PUBLICIDAD</v>
      </c>
      <c r="I166" s="38">
        <f>IFERROR(VLOOKUP($C166,Tabla_Documentos[],5,FALSE),"")</f>
        <v>20000</v>
      </c>
      <c r="J166" s="25">
        <v>45768</v>
      </c>
    </row>
    <row r="167" spans="3:10" ht="21" customHeight="1" x14ac:dyDescent="0.25">
      <c r="C167" s="39">
        <v>1049</v>
      </c>
      <c r="D167" s="28">
        <f>IFERROR(VLOOKUP($C167,Tabla_Documentos[],2,FALSE),"")</f>
        <v>45769</v>
      </c>
      <c r="E167" s="34" t="str">
        <f>IFERROR(VLOOKUP($C167,Tabla_Documentos[],3,FALSE),"")</f>
        <v>76948401-9</v>
      </c>
      <c r="F167" s="35" t="str">
        <f>IFERROR(VLOOKUP($C167,Tabla_Documentos[],4,FALSE),"")</f>
        <v>ZACH PROYECTOS SA</v>
      </c>
      <c r="G167" s="38">
        <f>IFERROR(VLOOKUP($C167,Tabla_Documentos[],5,FALSE),"")</f>
        <v>451010</v>
      </c>
      <c r="H167" s="29" t="str">
        <f>IFERROR(VLOOKUP($C167,Tabla_Documentos[],6,FALSE),"")</f>
        <v>PUBLICIDAD</v>
      </c>
      <c r="I167" s="38">
        <f>IFERROR(VLOOKUP($C167,Tabla_Documentos[],5,FALSE),"")</f>
        <v>451010</v>
      </c>
      <c r="J167" s="25">
        <v>45833</v>
      </c>
    </row>
    <row r="168" spans="3:10" ht="21" customHeight="1" x14ac:dyDescent="0.25">
      <c r="C168" s="39">
        <v>1050</v>
      </c>
      <c r="D168" s="28">
        <f>IFERROR(VLOOKUP($C168,Tabla_Documentos[],2,FALSE),"")</f>
        <v>45771</v>
      </c>
      <c r="E168" s="34" t="str">
        <f>IFERROR(VLOOKUP($C168,Tabla_Documentos[],3,FALSE),"")</f>
        <v>78083174-K</v>
      </c>
      <c r="F168" s="35" t="str">
        <f>IFERROR(VLOOKUP($C168,Tabla_Documentos[],4,FALSE),"")</f>
        <v>DWORK SPA</v>
      </c>
      <c r="G168" s="38">
        <f>IFERROR(VLOOKUP($C168,Tabla_Documentos[],5,FALSE),"")</f>
        <v>642600</v>
      </c>
      <c r="H168" s="29" t="str">
        <f>IFERROR(VLOOKUP($C168,Tabla_Documentos[],6,FALSE),"")</f>
        <v>PUBLICIDAD</v>
      </c>
      <c r="I168" s="38">
        <f>IFERROR(VLOOKUP($C168,Tabla_Documentos[],5,FALSE),"")</f>
        <v>642600</v>
      </c>
      <c r="J168" s="25">
        <v>45771</v>
      </c>
    </row>
    <row r="169" spans="3:10" ht="21" customHeight="1" x14ac:dyDescent="0.25">
      <c r="C169" s="39">
        <v>1055</v>
      </c>
      <c r="D169" s="28">
        <f>IFERROR(VLOOKUP($C169,Tabla_Documentos[],2,FALSE),"")</f>
        <v>45772</v>
      </c>
      <c r="E169" s="34" t="str">
        <f>IFERROR(VLOOKUP($C169,Tabla_Documentos[],3,FALSE),"")</f>
        <v>76881519-4</v>
      </c>
      <c r="F169" s="35" t="str">
        <f>IFERROR(VLOOKUP($C169,Tabla_Documentos[],4,FALSE),"")</f>
        <v>CENTRO DE MANTENIMIENTO AUTOMOTRIZ Y MAQUINARIA SPA</v>
      </c>
      <c r="G169" s="38">
        <f>IFERROR(VLOOKUP($C169,Tabla_Documentos[],5,FALSE),"")</f>
        <v>226100</v>
      </c>
      <c r="H169" s="29" t="str">
        <f>IFERROR(VLOOKUP($C169,Tabla_Documentos[],6,FALSE),"")</f>
        <v>PUBLICIDAD</v>
      </c>
      <c r="I169" s="38">
        <f>IFERROR(VLOOKUP($C169,Tabla_Documentos[],5,FALSE),"")</f>
        <v>226100</v>
      </c>
      <c r="J169" s="25">
        <v>45782</v>
      </c>
    </row>
    <row r="170" spans="3:10" ht="21" customHeight="1" x14ac:dyDescent="0.25">
      <c r="C170" s="39">
        <v>1056</v>
      </c>
      <c r="D170" s="28">
        <f>IFERROR(VLOOKUP($C170,Tabla_Documentos[],2,FALSE),"")</f>
        <v>45772</v>
      </c>
      <c r="E170" s="34" t="str">
        <f>IFERROR(VLOOKUP($C170,Tabla_Documentos[],3,FALSE),"")</f>
        <v>76679762-8</v>
      </c>
      <c r="F170" s="35" t="str">
        <f>IFERROR(VLOOKUP($C170,Tabla_Documentos[],4,FALSE),"")</f>
        <v>INGENIERIA Y PROYECTOS ELECTRICOS LIMITADA</v>
      </c>
      <c r="G170" s="38">
        <f>IFERROR(VLOOKUP($C170,Tabla_Documentos[],5,FALSE),"")</f>
        <v>45000</v>
      </c>
      <c r="H170" s="29" t="str">
        <f>IFERROR(VLOOKUP($C170,Tabla_Documentos[],6,FALSE),"")</f>
        <v>PUBLICIDAD</v>
      </c>
      <c r="I170" s="38">
        <f>IFERROR(VLOOKUP($C170,Tabla_Documentos[],5,FALSE),"")</f>
        <v>45000</v>
      </c>
      <c r="J170" s="25">
        <v>45772</v>
      </c>
    </row>
    <row r="171" spans="3:10" ht="21" customHeight="1" x14ac:dyDescent="0.25">
      <c r="C171" s="39">
        <v>1057</v>
      </c>
      <c r="D171" s="28">
        <f>IFERROR(VLOOKUP($C171,Tabla_Documentos[],2,FALSE),"")</f>
        <v>45775</v>
      </c>
      <c r="E171" s="34" t="str">
        <f>IFERROR(VLOOKUP($C171,Tabla_Documentos[],3,FALSE),"")</f>
        <v>77723189-8</v>
      </c>
      <c r="F171" s="35" t="str">
        <f>IFERROR(VLOOKUP($C171,Tabla_Documentos[],4,FALSE),"")</f>
        <v>SEMINET SPA</v>
      </c>
      <c r="G171" s="38">
        <f>IFERROR(VLOOKUP($C171,Tabla_Documentos[],5,FALSE),"")</f>
        <v>194208</v>
      </c>
      <c r="H171" s="29" t="str">
        <f>IFERROR(VLOOKUP($C171,Tabla_Documentos[],6,FALSE),"")</f>
        <v>BELEN</v>
      </c>
      <c r="I171" s="38">
        <f>IFERROR(VLOOKUP($C171,Tabla_Documentos[],5,FALSE),"")</f>
        <v>194208</v>
      </c>
      <c r="J171" s="25">
        <v>45807</v>
      </c>
    </row>
    <row r="172" spans="3:10" ht="21" customHeight="1" x14ac:dyDescent="0.25">
      <c r="C172" s="39">
        <v>1059</v>
      </c>
      <c r="D172" s="28">
        <f>IFERROR(VLOOKUP($C172,Tabla_Documentos[],2,FALSE),"")</f>
        <v>45775</v>
      </c>
      <c r="E172" s="34" t="str">
        <f>IFERROR(VLOOKUP($C172,Tabla_Documentos[],3,FALSE),"")</f>
        <v>77511008-2</v>
      </c>
      <c r="F172" s="35" t="str">
        <f>IFERROR(VLOOKUP($C172,Tabla_Documentos[],4,FALSE),"")</f>
        <v>MULTISERVICIOS SANABRIA SPA</v>
      </c>
      <c r="G172" s="38">
        <f>IFERROR(VLOOKUP($C172,Tabla_Documentos[],5,FALSE),"")</f>
        <v>126140</v>
      </c>
      <c r="H172" s="29" t="str">
        <f>IFERROR(VLOOKUP($C172,Tabla_Documentos[],6,FALSE),"")</f>
        <v>PUBLICIDAD</v>
      </c>
      <c r="I172" s="38">
        <f>IFERROR(VLOOKUP($C172,Tabla_Documentos[],5,FALSE),"")</f>
        <v>126140</v>
      </c>
      <c r="J172" s="25">
        <v>45775</v>
      </c>
    </row>
    <row r="173" spans="3:10" ht="21" customHeight="1" x14ac:dyDescent="0.25">
      <c r="C173" s="39">
        <v>1060</v>
      </c>
      <c r="D173" s="28">
        <f>IFERROR(VLOOKUP($C173,Tabla_Documentos[],2,FALSE),"")</f>
        <v>45776</v>
      </c>
      <c r="E173" s="34" t="str">
        <f>IFERROR(VLOOKUP($C173,Tabla_Documentos[],3,FALSE),"")</f>
        <v>77723189-8</v>
      </c>
      <c r="F173" s="35" t="str">
        <f>IFERROR(VLOOKUP($C173,Tabla_Documentos[],4,FALSE),"")</f>
        <v>SEMINET SPA</v>
      </c>
      <c r="G173" s="38">
        <f>IFERROR(VLOOKUP($C173,Tabla_Documentos[],5,FALSE),"")</f>
        <v>100674</v>
      </c>
      <c r="H173" s="29" t="str">
        <f>IFERROR(VLOOKUP($C173,Tabla_Documentos[],6,FALSE),"")</f>
        <v>BELEN</v>
      </c>
      <c r="I173" s="38">
        <f>IFERROR(VLOOKUP($C173,Tabla_Documentos[],5,FALSE),"")</f>
        <v>100674</v>
      </c>
      <c r="J173" s="25">
        <v>45807</v>
      </c>
    </row>
    <row r="174" spans="3:10" ht="21" customHeight="1" x14ac:dyDescent="0.25">
      <c r="C174" s="39">
        <v>1061</v>
      </c>
      <c r="D174" s="28">
        <f>IFERROR(VLOOKUP($C174,Tabla_Documentos[],2,FALSE),"")</f>
        <v>45776</v>
      </c>
      <c r="E174" s="34" t="str">
        <f>IFERROR(VLOOKUP($C174,Tabla_Documentos[],3,FALSE),"")</f>
        <v>96792430-K</v>
      </c>
      <c r="F174" s="35" t="str">
        <f>IFERROR(VLOOKUP($C174,Tabla_Documentos[],4,FALSE),"")</f>
        <v>SODIMAC S.A.</v>
      </c>
      <c r="G174" s="38">
        <f>IFERROR(VLOOKUP($C174,Tabla_Documentos[],5,FALSE),"")</f>
        <v>142324</v>
      </c>
      <c r="H174" s="29" t="str">
        <f>IFERROR(VLOOKUP($C174,Tabla_Documentos[],6,FALSE),"")</f>
        <v>BELEN</v>
      </c>
      <c r="I174" s="38">
        <f>IFERROR(VLOOKUP($C174,Tabla_Documentos[],5,FALSE),"")</f>
        <v>142324</v>
      </c>
      <c r="J174" s="25">
        <v>45806</v>
      </c>
    </row>
    <row r="175" spans="3:10" ht="21" customHeight="1" x14ac:dyDescent="0.25">
      <c r="C175" s="39">
        <v>1062</v>
      </c>
      <c r="D175" s="28">
        <f>IFERROR(VLOOKUP($C175,Tabla_Documentos[],2,FALSE),"")</f>
        <v>45776</v>
      </c>
      <c r="E175" s="34" t="str">
        <f>IFERROR(VLOOKUP($C175,Tabla_Documentos[],3,FALSE),"")</f>
        <v>96792430-K</v>
      </c>
      <c r="F175" s="35" t="str">
        <f>IFERROR(VLOOKUP($C175,Tabla_Documentos[],4,FALSE),"")</f>
        <v>SODIMAC S.A.</v>
      </c>
      <c r="G175" s="38">
        <f>IFERROR(VLOOKUP($C175,Tabla_Documentos[],5,FALSE),"")</f>
        <v>696150</v>
      </c>
      <c r="H175" s="29" t="str">
        <f>IFERROR(VLOOKUP($C175,Tabla_Documentos[],6,FALSE),"")</f>
        <v>BELEN</v>
      </c>
      <c r="I175" s="38">
        <f>IFERROR(VLOOKUP($C175,Tabla_Documentos[],5,FALSE),"")</f>
        <v>696150</v>
      </c>
      <c r="J175" s="25">
        <v>45806</v>
      </c>
    </row>
    <row r="176" spans="3:10" ht="21" customHeight="1" x14ac:dyDescent="0.25">
      <c r="C176" s="39">
        <v>1063</v>
      </c>
      <c r="D176" s="28">
        <f>IFERROR(VLOOKUP($C176,Tabla_Documentos[],2,FALSE),"")</f>
        <v>45777</v>
      </c>
      <c r="E176" s="34" t="str">
        <f>IFERROR(VLOOKUP($C176,Tabla_Documentos[],3,FALSE),"")</f>
        <v>78110199-0</v>
      </c>
      <c r="F176" s="35" t="str">
        <f>IFERROR(VLOOKUP($C176,Tabla_Documentos[],4,FALSE),"")</f>
        <v>SOLEDAD DE LOS ANGELES LEIVA UGARTE  TRASLADO Y TRANSPORTES  E.I.R.L.</v>
      </c>
      <c r="G176" s="38">
        <f>IFERROR(VLOOKUP($C176,Tabla_Documentos[],5,FALSE),"")</f>
        <v>250000</v>
      </c>
      <c r="H176" s="29" t="str">
        <f>IFERROR(VLOOKUP($C176,Tabla_Documentos[],6,FALSE),"")</f>
        <v>PUBLICIDAD</v>
      </c>
      <c r="I176" s="38">
        <f>IFERROR(VLOOKUP($C176,Tabla_Documentos[],5,FALSE),"")</f>
        <v>250000</v>
      </c>
      <c r="J176" s="25">
        <v>45777</v>
      </c>
    </row>
    <row r="177" spans="3:10" ht="21" customHeight="1" x14ac:dyDescent="0.25">
      <c r="C177" s="39">
        <v>1064</v>
      </c>
      <c r="D177" s="28">
        <f>IFERROR(VLOOKUP($C177,Tabla_Documentos[],2,FALSE),"")</f>
        <v>45777</v>
      </c>
      <c r="E177" s="34" t="str">
        <f>IFERROR(VLOOKUP($C177,Tabla_Documentos[],3,FALSE),"")</f>
        <v>7307203-4</v>
      </c>
      <c r="F177" s="35" t="str">
        <f>IFERROR(VLOOKUP($C177,Tabla_Documentos[],4,FALSE),"")</f>
        <v>CECILIA MARCELA MATULIC CARMONA</v>
      </c>
      <c r="G177" s="38">
        <f>IFERROR(VLOOKUP($C177,Tabla_Documentos[],5,FALSE),"")</f>
        <v>90000</v>
      </c>
      <c r="H177" s="29" t="str">
        <f>IFERROR(VLOOKUP($C177,Tabla_Documentos[],6,FALSE),"")</f>
        <v>PUBLICIDAD</v>
      </c>
      <c r="I177" s="38">
        <f>IFERROR(VLOOKUP($C177,Tabla_Documentos[],5,FALSE),"")</f>
        <v>90000</v>
      </c>
      <c r="J177" s="25">
        <v>45777</v>
      </c>
    </row>
    <row r="178" spans="3:10" ht="21" customHeight="1" x14ac:dyDescent="0.25">
      <c r="C178" s="39">
        <v>1065</v>
      </c>
      <c r="D178" s="28">
        <f>IFERROR(VLOOKUP($C178,Tabla_Documentos[],2,FALSE),"")</f>
        <v>45779</v>
      </c>
      <c r="E178" s="34" t="str">
        <f>IFERROR(VLOOKUP($C178,Tabla_Documentos[],3,FALSE),"")</f>
        <v>77978769-9</v>
      </c>
      <c r="F178" s="35" t="str">
        <f>IFERROR(VLOOKUP($C178,Tabla_Documentos[],4,FALSE),"")</f>
        <v>PALMON SPA</v>
      </c>
      <c r="G178" s="38">
        <f>IFERROR(VLOOKUP($C178,Tabla_Documentos[],5,FALSE),"")</f>
        <v>117810</v>
      </c>
      <c r="H178" s="29" t="str">
        <f>IFERROR(VLOOKUP($C178,Tabla_Documentos[],6,FALSE),"")</f>
        <v>PUBLICIDAD</v>
      </c>
      <c r="I178" s="38">
        <f>IFERROR(VLOOKUP($C178,Tabla_Documentos[],5,FALSE),"")</f>
        <v>117810</v>
      </c>
      <c r="J178" s="25">
        <v>45779</v>
      </c>
    </row>
    <row r="179" spans="3:10" ht="21" customHeight="1" x14ac:dyDescent="0.25">
      <c r="C179" s="39">
        <v>1066</v>
      </c>
      <c r="D179" s="28">
        <f>IFERROR(VLOOKUP($C179,Tabla_Documentos[],2,FALSE),"")</f>
        <v>45779</v>
      </c>
      <c r="E179" s="34" t="str">
        <f>IFERROR(VLOOKUP($C179,Tabla_Documentos[],3,FALSE),"")</f>
        <v>76744135-5</v>
      </c>
      <c r="F179" s="35" t="str">
        <f>IFERROR(VLOOKUP($C179,Tabla_Documentos[],4,FALSE),"")</f>
        <v>PATAGONIA SERVICIOS SPA</v>
      </c>
      <c r="G179" s="38">
        <f>IFERROR(VLOOKUP($C179,Tabla_Documentos[],5,FALSE),"")</f>
        <v>2856000</v>
      </c>
      <c r="H179" s="29" t="str">
        <f>IFERROR(VLOOKUP($C179,Tabla_Documentos[],6,FALSE),"")</f>
        <v>OBRAS CIVILES</v>
      </c>
      <c r="I179" s="38">
        <f>IFERROR(VLOOKUP($C179,Tabla_Documentos[],5,FALSE),"")</f>
        <v>2856000</v>
      </c>
      <c r="J179" s="25">
        <v>45817</v>
      </c>
    </row>
    <row r="180" spans="3:10" ht="21" customHeight="1" x14ac:dyDescent="0.25">
      <c r="C180" s="39">
        <v>1068</v>
      </c>
      <c r="D180" s="28">
        <f>IFERROR(VLOOKUP($C180,Tabla_Documentos[],2,FALSE),"")</f>
        <v>45779</v>
      </c>
      <c r="E180" s="34" t="str">
        <f>IFERROR(VLOOKUP($C180,Tabla_Documentos[],3,FALSE),"")</f>
        <v>76686138-5</v>
      </c>
      <c r="F180" s="35" t="str">
        <f>IFERROR(VLOOKUP($C180,Tabla_Documentos[],4,FALSE),"")</f>
        <v>SKC RED SPA</v>
      </c>
      <c r="G180" s="38">
        <f>IFERROR(VLOOKUP($C180,Tabla_Documentos[],5,FALSE),"")</f>
        <v>416500</v>
      </c>
      <c r="H180" s="29" t="str">
        <f>IFERROR(VLOOKUP($C180,Tabla_Documentos[],6,FALSE),"")</f>
        <v>PUBLICIDAD</v>
      </c>
      <c r="I180" s="38">
        <f>IFERROR(VLOOKUP($C180,Tabla_Documentos[],5,FALSE),"")</f>
        <v>416500</v>
      </c>
      <c r="J180" s="25">
        <v>45806</v>
      </c>
    </row>
    <row r="181" spans="3:10" ht="21" customHeight="1" x14ac:dyDescent="0.25">
      <c r="C181" s="39">
        <v>1069</v>
      </c>
      <c r="D181" s="28">
        <f>IFERROR(VLOOKUP($C181,Tabla_Documentos[],2,FALSE),"")</f>
        <v>45779</v>
      </c>
      <c r="E181" s="34" t="str">
        <f>IFERROR(VLOOKUP($C181,Tabla_Documentos[],3,FALSE),"")</f>
        <v>76686138-5</v>
      </c>
      <c r="F181" s="35" t="str">
        <f>IFERROR(VLOOKUP($C181,Tabla_Documentos[],4,FALSE),"")</f>
        <v>SKC RED SPA</v>
      </c>
      <c r="G181" s="38">
        <f>IFERROR(VLOOKUP($C181,Tabla_Documentos[],5,FALSE),"")</f>
        <v>95200</v>
      </c>
      <c r="H181" s="29" t="str">
        <f>IFERROR(VLOOKUP($C181,Tabla_Documentos[],6,FALSE),"")</f>
        <v>PUBLICIDAD</v>
      </c>
      <c r="I181" s="38">
        <f>IFERROR(VLOOKUP($C181,Tabla_Documentos[],5,FALSE),"")</f>
        <v>95200</v>
      </c>
      <c r="J181" s="25">
        <v>45806</v>
      </c>
    </row>
    <row r="182" spans="3:10" ht="21" customHeight="1" x14ac:dyDescent="0.25">
      <c r="C182" s="39">
        <v>1070</v>
      </c>
      <c r="D182" s="28">
        <f>IFERROR(VLOOKUP($C182,Tabla_Documentos[],2,FALSE),"")</f>
        <v>45779</v>
      </c>
      <c r="E182" s="34" t="str">
        <f>IFERROR(VLOOKUP($C182,Tabla_Documentos[],3,FALSE),"")</f>
        <v>76686138-5</v>
      </c>
      <c r="F182" s="35" t="str">
        <f>IFERROR(VLOOKUP($C182,Tabla_Documentos[],4,FALSE),"")</f>
        <v>SKC RED SPA</v>
      </c>
      <c r="G182" s="38">
        <f>IFERROR(VLOOKUP($C182,Tabla_Documentos[],5,FALSE),"")</f>
        <v>297500</v>
      </c>
      <c r="H182" s="29" t="str">
        <f>IFERROR(VLOOKUP($C182,Tabla_Documentos[],6,FALSE),"")</f>
        <v>PUBLICIDAD</v>
      </c>
      <c r="I182" s="38">
        <f>IFERROR(VLOOKUP($C182,Tabla_Documentos[],5,FALSE),"")</f>
        <v>297500</v>
      </c>
      <c r="J182" s="25">
        <v>45806</v>
      </c>
    </row>
    <row r="183" spans="3:10" ht="21" customHeight="1" x14ac:dyDescent="0.25">
      <c r="C183" s="39">
        <v>1071</v>
      </c>
      <c r="D183" s="28">
        <f>IFERROR(VLOOKUP($C183,Tabla_Documentos[],2,FALSE),"")</f>
        <v>45779</v>
      </c>
      <c r="E183" s="34" t="str">
        <f>IFERROR(VLOOKUP($C183,Tabla_Documentos[],3,FALSE),"")</f>
        <v>76686138-5</v>
      </c>
      <c r="F183" s="35" t="str">
        <f>IFERROR(VLOOKUP($C183,Tabla_Documentos[],4,FALSE),"")</f>
        <v>SKC RED SPA</v>
      </c>
      <c r="G183" s="38">
        <f>IFERROR(VLOOKUP($C183,Tabla_Documentos[],5,FALSE),"")</f>
        <v>178500</v>
      </c>
      <c r="H183" s="29" t="str">
        <f>IFERROR(VLOOKUP($C183,Tabla_Documentos[],6,FALSE),"")</f>
        <v>PUBLICIDAD</v>
      </c>
      <c r="I183" s="38">
        <f>IFERROR(VLOOKUP($C183,Tabla_Documentos[],5,FALSE),"")</f>
        <v>178500</v>
      </c>
      <c r="J183" s="25">
        <v>45806</v>
      </c>
    </row>
    <row r="184" spans="3:10" ht="21" customHeight="1" x14ac:dyDescent="0.25">
      <c r="C184" s="39">
        <v>1072</v>
      </c>
      <c r="D184" s="28">
        <f>IFERROR(VLOOKUP($C184,Tabla_Documentos[],2,FALSE),"")</f>
        <v>45779</v>
      </c>
      <c r="E184" s="34" t="str">
        <f>IFERROR(VLOOKUP($C184,Tabla_Documentos[],3,FALSE),"")</f>
        <v>76346498-9</v>
      </c>
      <c r="F184" s="35" t="str">
        <f>IFERROR(VLOOKUP($C184,Tabla_Documentos[],4,FALSE),"")</f>
        <v>CONSTRUCTORA CARLOS ALBERTO ANDRES ALBISTUR REYES E.I.R.L.</v>
      </c>
      <c r="G184" s="38">
        <f>IFERROR(VLOOKUP($C184,Tabla_Documentos[],5,FALSE),"")</f>
        <v>358904</v>
      </c>
      <c r="H184" s="29" t="str">
        <f>IFERROR(VLOOKUP($C184,Tabla_Documentos[],6,FALSE),"")</f>
        <v>PUBLICIDAD</v>
      </c>
      <c r="I184" s="38">
        <f>IFERROR(VLOOKUP($C184,Tabla_Documentos[],5,FALSE),"")</f>
        <v>358904</v>
      </c>
      <c r="J184" s="25">
        <v>45796</v>
      </c>
    </row>
    <row r="185" spans="3:10" ht="21" customHeight="1" x14ac:dyDescent="0.25">
      <c r="C185" s="39">
        <v>1073</v>
      </c>
      <c r="D185" s="28">
        <f>IFERROR(VLOOKUP($C185,Tabla_Documentos[],2,FALSE),"")</f>
        <v>45779</v>
      </c>
      <c r="E185" s="34" t="str">
        <f>IFERROR(VLOOKUP($C185,Tabla_Documentos[],3,FALSE),"")</f>
        <v>76346498-9</v>
      </c>
      <c r="F185" s="35" t="str">
        <f>IFERROR(VLOOKUP($C185,Tabla_Documentos[],4,FALSE),"")</f>
        <v>CONSTRUCTORA CARLOS ALBERTO ANDRES ALBISTUR REYES E.I.R.L.</v>
      </c>
      <c r="G185" s="38">
        <f>IFERROR(VLOOKUP($C185,Tabla_Documentos[],5,FALSE),"")</f>
        <v>35700</v>
      </c>
      <c r="H185" s="29" t="str">
        <f>IFERROR(VLOOKUP($C185,Tabla_Documentos[],6,FALSE),"")</f>
        <v>PUBLICIDAD</v>
      </c>
      <c r="I185" s="38">
        <f>IFERROR(VLOOKUP($C185,Tabla_Documentos[],5,FALSE),"")</f>
        <v>35700</v>
      </c>
      <c r="J185" s="25">
        <v>45796</v>
      </c>
    </row>
    <row r="186" spans="3:10" ht="21" customHeight="1" x14ac:dyDescent="0.25">
      <c r="C186" s="39">
        <v>1074</v>
      </c>
      <c r="D186" s="28">
        <f>IFERROR(VLOOKUP($C186,Tabla_Documentos[],2,FALSE),"")</f>
        <v>45779</v>
      </c>
      <c r="E186" s="34" t="str">
        <f>IFERROR(VLOOKUP($C186,Tabla_Documentos[],3,FALSE),"")</f>
        <v>76686138-5</v>
      </c>
      <c r="F186" s="35" t="str">
        <f>IFERROR(VLOOKUP($C186,Tabla_Documentos[],4,FALSE),"")</f>
        <v>SKC RED SPA</v>
      </c>
      <c r="G186" s="38">
        <f>IFERROR(VLOOKUP($C186,Tabla_Documentos[],5,FALSE),"")</f>
        <v>345100</v>
      </c>
      <c r="H186" s="29" t="str">
        <f>IFERROR(VLOOKUP($C186,Tabla_Documentos[],6,FALSE),"")</f>
        <v>PUBLICIDAD</v>
      </c>
      <c r="I186" s="38">
        <f>IFERROR(VLOOKUP($C186,Tabla_Documentos[],5,FALSE),"")</f>
        <v>345100</v>
      </c>
      <c r="J186" s="25">
        <v>45779</v>
      </c>
    </row>
    <row r="187" spans="3:10" ht="21" customHeight="1" x14ac:dyDescent="0.25">
      <c r="C187" s="39">
        <v>1075</v>
      </c>
      <c r="D187" s="28">
        <f>IFERROR(VLOOKUP($C187,Tabla_Documentos[],2,FALSE),"")</f>
        <v>45779</v>
      </c>
      <c r="E187" s="34" t="str">
        <f>IFERROR(VLOOKUP($C187,Tabla_Documentos[],3,FALSE),"")</f>
        <v>76346498-9</v>
      </c>
      <c r="F187" s="35" t="str">
        <f>IFERROR(VLOOKUP($C187,Tabla_Documentos[],4,FALSE),"")</f>
        <v>CONSTRUCTORA CARLOS ALBERTO ANDRES ALBISTUR REYES E.I.R.L.</v>
      </c>
      <c r="G187" s="38">
        <f>IFERROR(VLOOKUP($C187,Tabla_Documentos[],5,FALSE),"")</f>
        <v>71400</v>
      </c>
      <c r="H187" s="29" t="str">
        <f>IFERROR(VLOOKUP($C187,Tabla_Documentos[],6,FALSE),"")</f>
        <v>PUBLICIDAD</v>
      </c>
      <c r="I187" s="38">
        <f>IFERROR(VLOOKUP($C187,Tabla_Documentos[],5,FALSE),"")</f>
        <v>71400</v>
      </c>
      <c r="J187" s="25">
        <v>45789</v>
      </c>
    </row>
    <row r="188" spans="3:10" ht="21" customHeight="1" x14ac:dyDescent="0.25">
      <c r="C188" s="39">
        <v>1076</v>
      </c>
      <c r="D188" s="28">
        <f>IFERROR(VLOOKUP($C188,Tabla_Documentos[],2,FALSE),"")</f>
        <v>45779</v>
      </c>
      <c r="E188" s="34" t="str">
        <f>IFERROR(VLOOKUP($C188,Tabla_Documentos[],3,FALSE),"")</f>
        <v>76346498-9</v>
      </c>
      <c r="F188" s="35" t="str">
        <f>IFERROR(VLOOKUP($C188,Tabla_Documentos[],4,FALSE),"")</f>
        <v>CONSTRUCTORA CARLOS ALBERTO ANDRES ALBISTUR REYES E.I.R.L.</v>
      </c>
      <c r="G188" s="38">
        <f>IFERROR(VLOOKUP($C188,Tabla_Documentos[],5,FALSE),"")</f>
        <v>35700</v>
      </c>
      <c r="H188" s="29" t="str">
        <f>IFERROR(VLOOKUP($C188,Tabla_Documentos[],6,FALSE),"")</f>
        <v>PUBLICIDAD</v>
      </c>
      <c r="I188" s="38">
        <f>IFERROR(VLOOKUP($C188,Tabla_Documentos[],5,FALSE),"")</f>
        <v>35700</v>
      </c>
      <c r="J188" s="25">
        <v>45789</v>
      </c>
    </row>
    <row r="189" spans="3:10" ht="21" customHeight="1" x14ac:dyDescent="0.25">
      <c r="C189" s="39">
        <v>1077</v>
      </c>
      <c r="D189" s="28">
        <f>IFERROR(VLOOKUP($C189,Tabla_Documentos[],2,FALSE),"")</f>
        <v>45779</v>
      </c>
      <c r="E189" s="34" t="str">
        <f>IFERROR(VLOOKUP($C189,Tabla_Documentos[],3,FALSE),"")</f>
        <v>76646820-9</v>
      </c>
      <c r="F189" s="35" t="str">
        <f>IFERROR(VLOOKUP($C189,Tabla_Documentos[],4,FALSE),"")</f>
        <v>SERVICIOS,TRANSPORTE Y ARRIENDO DE MAQUINARIAS LIMITADA</v>
      </c>
      <c r="G189" s="38">
        <f>IFERROR(VLOOKUP($C189,Tabla_Documentos[],5,FALSE),"")</f>
        <v>529550</v>
      </c>
      <c r="H189" s="29" t="str">
        <f>IFERROR(VLOOKUP($C189,Tabla_Documentos[],6,FALSE),"")</f>
        <v>PUBLICIDAD</v>
      </c>
      <c r="I189" s="38">
        <f>IFERROR(VLOOKUP($C189,Tabla_Documentos[],5,FALSE),"")</f>
        <v>529550</v>
      </c>
      <c r="J189" s="25">
        <v>45779</v>
      </c>
    </row>
    <row r="190" spans="3:10" ht="21" customHeight="1" x14ac:dyDescent="0.25">
      <c r="C190" s="39">
        <v>1078</v>
      </c>
      <c r="D190" s="28">
        <f>IFERROR(VLOOKUP($C190,Tabla_Documentos[],2,FALSE),"")</f>
        <v>45779</v>
      </c>
      <c r="E190" s="34" t="str">
        <f>IFERROR(VLOOKUP($C190,Tabla_Documentos[],3,FALSE),"")</f>
        <v>76032289-K</v>
      </c>
      <c r="F190" s="35" t="str">
        <f>IFERROR(VLOOKUP($C190,Tabla_Documentos[],4,FALSE),"")</f>
        <v>PAVIMENTOS CHILENOS LIMITADA</v>
      </c>
      <c r="G190" s="38">
        <f>IFERROR(VLOOKUP($C190,Tabla_Documentos[],5,FALSE),"")</f>
        <v>155295</v>
      </c>
      <c r="H190" s="29" t="str">
        <f>IFERROR(VLOOKUP($C190,Tabla_Documentos[],6,FALSE),"")</f>
        <v>PUBLICIDAD</v>
      </c>
      <c r="I190" s="38">
        <f>IFERROR(VLOOKUP($C190,Tabla_Documentos[],5,FALSE),"")</f>
        <v>155295</v>
      </c>
      <c r="J190" s="25">
        <v>45793</v>
      </c>
    </row>
    <row r="191" spans="3:10" ht="21" customHeight="1" x14ac:dyDescent="0.25">
      <c r="C191" s="39">
        <v>1079</v>
      </c>
      <c r="D191" s="28">
        <f>IFERROR(VLOOKUP($C191,Tabla_Documentos[],2,FALSE),"")</f>
        <v>45779</v>
      </c>
      <c r="E191" s="34" t="str">
        <f>IFERROR(VLOOKUP($C191,Tabla_Documentos[],3,FALSE),"")</f>
        <v>77490658-4</v>
      </c>
      <c r="F191" s="35" t="str">
        <f>IFERROR(VLOOKUP($C191,Tabla_Documentos[],4,FALSE),"")</f>
        <v>SA INVERSIONES SPA</v>
      </c>
      <c r="G191" s="38">
        <f>IFERROR(VLOOKUP($C191,Tabla_Documentos[],5,FALSE),"")</f>
        <v>928200</v>
      </c>
      <c r="H191" s="29" t="str">
        <f>IFERROR(VLOOKUP($C191,Tabla_Documentos[],6,FALSE),"")</f>
        <v>PUBLICIDAD</v>
      </c>
      <c r="I191" s="38">
        <f>IFERROR(VLOOKUP($C191,Tabla_Documentos[],5,FALSE),"")</f>
        <v>928200</v>
      </c>
      <c r="J191" s="25">
        <v>45779</v>
      </c>
    </row>
    <row r="192" spans="3:10" ht="21" customHeight="1" x14ac:dyDescent="0.25">
      <c r="C192" s="39">
        <v>1080</v>
      </c>
      <c r="D192" s="28">
        <f>IFERROR(VLOOKUP($C192,Tabla_Documentos[],2,FALSE),"")</f>
        <v>45779</v>
      </c>
      <c r="E192" s="34" t="str">
        <f>IFERROR(VLOOKUP($C192,Tabla_Documentos[],3,FALSE),"")</f>
        <v>76478614-9</v>
      </c>
      <c r="F192" s="35" t="str">
        <f>IFERROR(VLOOKUP($C192,Tabla_Documentos[],4,FALSE),"")</f>
        <v>INGENIERIA C Y G LIMITADA</v>
      </c>
      <c r="G192" s="38">
        <f>IFERROR(VLOOKUP($C192,Tabla_Documentos[],5,FALSE),"")</f>
        <v>791350</v>
      </c>
      <c r="H192" s="29" t="str">
        <f>IFERROR(VLOOKUP($C192,Tabla_Documentos[],6,FALSE),"")</f>
        <v>PUBLICIDAD</v>
      </c>
      <c r="I192" s="38">
        <f>IFERROR(VLOOKUP($C192,Tabla_Documentos[],5,FALSE),"")</f>
        <v>791350</v>
      </c>
      <c r="J192" s="25">
        <v>45813</v>
      </c>
    </row>
    <row r="193" spans="3:10" ht="21" customHeight="1" x14ac:dyDescent="0.25">
      <c r="C193" s="39">
        <v>1081</v>
      </c>
      <c r="D193" s="28">
        <f>IFERROR(VLOOKUP($C193,Tabla_Documentos[],2,FALSE),"")</f>
        <v>45779</v>
      </c>
      <c r="E193" s="34" t="str">
        <f>IFERROR(VLOOKUP($C193,Tabla_Documentos[],3,FALSE),"")</f>
        <v>76478614-9</v>
      </c>
      <c r="F193" s="35" t="str">
        <f>IFERROR(VLOOKUP($C193,Tabla_Documentos[],4,FALSE),"")</f>
        <v>INGENIERIA C Y G LIMITADA</v>
      </c>
      <c r="G193" s="38">
        <f>IFERROR(VLOOKUP($C193,Tabla_Documentos[],5,FALSE),"")</f>
        <v>128520</v>
      </c>
      <c r="H193" s="29" t="str">
        <f>IFERROR(VLOOKUP($C193,Tabla_Documentos[],6,FALSE),"")</f>
        <v>PUBLICIDAD</v>
      </c>
      <c r="I193" s="38">
        <f>IFERROR(VLOOKUP($C193,Tabla_Documentos[],5,FALSE),"")</f>
        <v>128520</v>
      </c>
      <c r="J193" s="25">
        <v>45813</v>
      </c>
    </row>
    <row r="194" spans="3:10" ht="21" customHeight="1" x14ac:dyDescent="0.25">
      <c r="C194" s="39">
        <v>1082</v>
      </c>
      <c r="D194" s="28">
        <f>IFERROR(VLOOKUP($C194,Tabla_Documentos[],2,FALSE),"")</f>
        <v>45779</v>
      </c>
      <c r="E194" s="34" t="str">
        <f>IFERROR(VLOOKUP($C194,Tabla_Documentos[],3,FALSE),"")</f>
        <v>77313060-4</v>
      </c>
      <c r="F194" s="35" t="str">
        <f>IFERROR(VLOOKUP($C194,Tabla_Documentos[],4,FALSE),"")</f>
        <v>COMERCIAL SERPAN SPA</v>
      </c>
      <c r="G194" s="38">
        <f>IFERROR(VLOOKUP($C194,Tabla_Documentos[],5,FALSE),"")</f>
        <v>11900</v>
      </c>
      <c r="H194" s="29" t="str">
        <f>IFERROR(VLOOKUP($C194,Tabla_Documentos[],6,FALSE),"")</f>
        <v>PUBLICIDAD</v>
      </c>
      <c r="I194" s="38">
        <f>IFERROR(VLOOKUP($C194,Tabla_Documentos[],5,FALSE),"")</f>
        <v>11900</v>
      </c>
      <c r="J194" s="25">
        <v>45814</v>
      </c>
    </row>
    <row r="195" spans="3:10" ht="21" customHeight="1" x14ac:dyDescent="0.25">
      <c r="C195" s="39">
        <v>1083</v>
      </c>
      <c r="D195" s="28">
        <f>IFERROR(VLOOKUP($C195,Tabla_Documentos[],2,FALSE),"")</f>
        <v>45779</v>
      </c>
      <c r="E195" s="34" t="str">
        <f>IFERROR(VLOOKUP($C195,Tabla_Documentos[],3,FALSE),"")</f>
        <v>77313060-4</v>
      </c>
      <c r="F195" s="35" t="str">
        <f>IFERROR(VLOOKUP($C195,Tabla_Documentos[],4,FALSE),"")</f>
        <v>COMERCIAL SERPAN SPA</v>
      </c>
      <c r="G195" s="38">
        <f>IFERROR(VLOOKUP($C195,Tabla_Documentos[],5,FALSE),"")</f>
        <v>11900</v>
      </c>
      <c r="H195" s="29" t="str">
        <f>IFERROR(VLOOKUP($C195,Tabla_Documentos[],6,FALSE),"")</f>
        <v>PUBLICIDAD</v>
      </c>
      <c r="I195" s="38">
        <f>IFERROR(VLOOKUP($C195,Tabla_Documentos[],5,FALSE),"")</f>
        <v>11900</v>
      </c>
      <c r="J195" s="25">
        <v>45814</v>
      </c>
    </row>
    <row r="196" spans="3:10" ht="21" customHeight="1" x14ac:dyDescent="0.25">
      <c r="C196" s="39">
        <v>1084</v>
      </c>
      <c r="D196" s="28">
        <f>IFERROR(VLOOKUP($C196,Tabla_Documentos[],2,FALSE),"")</f>
        <v>45779</v>
      </c>
      <c r="E196" s="34" t="str">
        <f>IFERROR(VLOOKUP($C196,Tabla_Documentos[],3,FALSE),"")</f>
        <v>77313060-4</v>
      </c>
      <c r="F196" s="35" t="str">
        <f>IFERROR(VLOOKUP($C196,Tabla_Documentos[],4,FALSE),"")</f>
        <v>COMERCIAL SERPAN SPA</v>
      </c>
      <c r="G196" s="38">
        <f>IFERROR(VLOOKUP($C196,Tabla_Documentos[],5,FALSE),"")</f>
        <v>11900</v>
      </c>
      <c r="H196" s="29" t="str">
        <f>IFERROR(VLOOKUP($C196,Tabla_Documentos[],6,FALSE),"")</f>
        <v>PUBLICIDAD</v>
      </c>
      <c r="I196" s="38">
        <f>IFERROR(VLOOKUP($C196,Tabla_Documentos[],5,FALSE),"")</f>
        <v>11900</v>
      </c>
      <c r="J196" s="25">
        <v>45814</v>
      </c>
    </row>
    <row r="197" spans="3:10" ht="21" customHeight="1" x14ac:dyDescent="0.25">
      <c r="C197" s="39">
        <v>1085</v>
      </c>
      <c r="D197" s="28">
        <f>IFERROR(VLOOKUP($C197,Tabla_Documentos[],2,FALSE),"")</f>
        <v>45779</v>
      </c>
      <c r="E197" s="34" t="str">
        <f>IFERROR(VLOOKUP($C197,Tabla_Documentos[],3,FALSE),"")</f>
        <v>76346498-9</v>
      </c>
      <c r="F197" s="35" t="str">
        <f>IFERROR(VLOOKUP($C197,Tabla_Documentos[],4,FALSE),"")</f>
        <v>CONSTRUCTORA CARLOS ALBERTO ANDRES ALBISTUR REYES E.I.R.L.</v>
      </c>
      <c r="G197" s="38">
        <f>IFERROR(VLOOKUP($C197,Tabla_Documentos[],5,FALSE),"")</f>
        <v>151368</v>
      </c>
      <c r="H197" s="29" t="str">
        <f>IFERROR(VLOOKUP($C197,Tabla_Documentos[],6,FALSE),"")</f>
        <v>PUBLICIDAD</v>
      </c>
      <c r="I197" s="38">
        <f>IFERROR(VLOOKUP($C197,Tabla_Documentos[],5,FALSE),"")</f>
        <v>151368</v>
      </c>
      <c r="J197" s="25">
        <v>45796</v>
      </c>
    </row>
    <row r="198" spans="3:10" ht="21" customHeight="1" x14ac:dyDescent="0.25">
      <c r="C198" s="39">
        <v>1086</v>
      </c>
      <c r="D198" s="28">
        <f>IFERROR(VLOOKUP($C198,Tabla_Documentos[],2,FALSE),"")</f>
        <v>45780</v>
      </c>
      <c r="E198" s="34" t="str">
        <f>IFERROR(VLOOKUP($C198,Tabla_Documentos[],3,FALSE),"")</f>
        <v>18403693-2</v>
      </c>
      <c r="F198" s="35" t="str">
        <f>IFERROR(VLOOKUP($C198,Tabla_Documentos[],4,FALSE),"")</f>
        <v>CAROLINA ANDREA BARRERA QUINELEN</v>
      </c>
      <c r="G198" s="38">
        <f>IFERROR(VLOOKUP($C198,Tabla_Documentos[],5,FALSE),"")</f>
        <v>250000</v>
      </c>
      <c r="H198" s="29" t="str">
        <f>IFERROR(VLOOKUP($C198,Tabla_Documentos[],6,FALSE),"")</f>
        <v>PUBLICIDAD</v>
      </c>
      <c r="I198" s="38">
        <f>IFERROR(VLOOKUP($C198,Tabla_Documentos[],5,FALSE),"")</f>
        <v>250000</v>
      </c>
      <c r="J198" s="25">
        <v>45780</v>
      </c>
    </row>
    <row r="199" spans="3:10" ht="21" customHeight="1" x14ac:dyDescent="0.25">
      <c r="C199" s="39">
        <v>1087</v>
      </c>
      <c r="D199" s="28">
        <f>IFERROR(VLOOKUP($C199,Tabla_Documentos[],2,FALSE),"")</f>
        <v>45782</v>
      </c>
      <c r="E199" s="34" t="str">
        <f>IFERROR(VLOOKUP($C199,Tabla_Documentos[],3,FALSE),"")</f>
        <v>76451155-7</v>
      </c>
      <c r="F199" s="35" t="str">
        <f>IFERROR(VLOOKUP($C199,Tabla_Documentos[],4,FALSE),"")</f>
        <v>IMPORTADORA Y COMERCIAL JOMIAL LIMITADA</v>
      </c>
      <c r="G199" s="38">
        <f>IFERROR(VLOOKUP($C199,Tabla_Documentos[],5,FALSE),"")</f>
        <v>35700</v>
      </c>
      <c r="H199" s="29" t="str">
        <f>IFERROR(VLOOKUP($C199,Tabla_Documentos[],6,FALSE),"")</f>
        <v>PUBLICIDAD</v>
      </c>
      <c r="I199" s="38">
        <f>IFERROR(VLOOKUP($C199,Tabla_Documentos[],5,FALSE),"")</f>
        <v>35700</v>
      </c>
      <c r="J199" s="25">
        <v>45782</v>
      </c>
    </row>
    <row r="200" spans="3:10" ht="21" customHeight="1" x14ac:dyDescent="0.25">
      <c r="C200" s="39">
        <v>1088</v>
      </c>
      <c r="D200" s="28">
        <f>IFERROR(VLOOKUP($C200,Tabla_Documentos[],2,FALSE),"")</f>
        <v>45782</v>
      </c>
      <c r="E200" s="34" t="str">
        <f>IFERROR(VLOOKUP($C200,Tabla_Documentos[],3,FALSE),"")</f>
        <v>77471172-4</v>
      </c>
      <c r="F200" s="35" t="str">
        <f>IFERROR(VLOOKUP($C200,Tabla_Documentos[],4,FALSE),"")</f>
        <v>AMAZONAS SPA</v>
      </c>
      <c r="G200" s="38">
        <f>IFERROR(VLOOKUP($C200,Tabla_Documentos[],5,FALSE),"")</f>
        <v>20000</v>
      </c>
      <c r="H200" s="29" t="str">
        <f>IFERROR(VLOOKUP($C200,Tabla_Documentos[],6,FALSE),"")</f>
        <v>PUBLICIDAD</v>
      </c>
      <c r="I200" s="38">
        <f>IFERROR(VLOOKUP($C200,Tabla_Documentos[],5,FALSE),"")</f>
        <v>20000</v>
      </c>
      <c r="J200" s="25">
        <v>45782</v>
      </c>
    </row>
    <row r="201" spans="3:10" ht="21" customHeight="1" x14ac:dyDescent="0.25">
      <c r="C201" s="39">
        <v>1089</v>
      </c>
      <c r="D201" s="28">
        <f>IFERROR(VLOOKUP($C201,Tabla_Documentos[],2,FALSE),"")</f>
        <v>45782</v>
      </c>
      <c r="E201" s="34" t="str">
        <f>IFERROR(VLOOKUP($C201,Tabla_Documentos[],3,FALSE),"")</f>
        <v>77902909-3</v>
      </c>
      <c r="F201" s="35" t="str">
        <f>IFERROR(VLOOKUP($C201,Tabla_Documentos[],4,FALSE),"")</f>
        <v>SERVICIOS DE INGENIERIA MIRAITEK TI SPA</v>
      </c>
      <c r="G201" s="38">
        <f>IFERROR(VLOOKUP($C201,Tabla_Documentos[],5,FALSE),"")</f>
        <v>100000</v>
      </c>
      <c r="H201" s="29" t="str">
        <f>IFERROR(VLOOKUP($C201,Tabla_Documentos[],6,FALSE),"")</f>
        <v>PUBLICIDAD</v>
      </c>
      <c r="I201" s="38">
        <f>IFERROR(VLOOKUP($C201,Tabla_Documentos[],5,FALSE),"")</f>
        <v>100000</v>
      </c>
      <c r="J201" s="25">
        <v>45782</v>
      </c>
    </row>
    <row r="202" spans="3:10" ht="21" customHeight="1" x14ac:dyDescent="0.25">
      <c r="C202" s="39">
        <v>1090</v>
      </c>
      <c r="D202" s="28">
        <f>IFERROR(VLOOKUP($C202,Tabla_Documentos[],2,FALSE),"")</f>
        <v>45783</v>
      </c>
      <c r="E202" s="34" t="str">
        <f>IFERROR(VLOOKUP($C202,Tabla_Documentos[],3,FALSE),"")</f>
        <v>76744135-5</v>
      </c>
      <c r="F202" s="35" t="str">
        <f>IFERROR(VLOOKUP($C202,Tabla_Documentos[],4,FALSE),"")</f>
        <v>PATAGONIA SERVICIOS SPA</v>
      </c>
      <c r="G202" s="38">
        <f>IFERROR(VLOOKUP($C202,Tabla_Documentos[],5,FALSE),"")</f>
        <v>1190000</v>
      </c>
      <c r="H202" s="29" t="str">
        <f>IFERROR(VLOOKUP($C202,Tabla_Documentos[],6,FALSE),"")</f>
        <v>OBRAS CIVILES</v>
      </c>
      <c r="I202" s="38">
        <f>IFERROR(VLOOKUP($C202,Tabla_Documentos[],5,FALSE),"")</f>
        <v>1190000</v>
      </c>
      <c r="J202" s="25">
        <v>45868</v>
      </c>
    </row>
    <row r="203" spans="3:10" ht="21" customHeight="1" x14ac:dyDescent="0.25">
      <c r="C203" s="39">
        <v>1091</v>
      </c>
      <c r="D203" s="28">
        <f>IFERROR(VLOOKUP($C203,Tabla_Documentos[],2,FALSE),"")</f>
        <v>45783</v>
      </c>
      <c r="E203" s="34" t="str">
        <f>IFERROR(VLOOKUP($C203,Tabla_Documentos[],3,FALSE),"")</f>
        <v>76744135-5</v>
      </c>
      <c r="F203" s="35" t="str">
        <f>IFERROR(VLOOKUP($C203,Tabla_Documentos[],4,FALSE),"")</f>
        <v>PATAGONIA SERVICIOS SPA</v>
      </c>
      <c r="G203" s="38">
        <f>IFERROR(VLOOKUP($C203,Tabla_Documentos[],5,FALSE),"")</f>
        <v>3796100</v>
      </c>
      <c r="H203" s="29" t="str">
        <f>IFERROR(VLOOKUP($C203,Tabla_Documentos[],6,FALSE),"")</f>
        <v>OBRAS CIVILES</v>
      </c>
      <c r="I203" s="38">
        <f>IFERROR(VLOOKUP($C203,Tabla_Documentos[],5,FALSE),"")</f>
        <v>3796100</v>
      </c>
      <c r="J203" s="25">
        <v>45853</v>
      </c>
    </row>
    <row r="204" spans="3:10" ht="21" customHeight="1" x14ac:dyDescent="0.25">
      <c r="C204" s="39">
        <v>1092</v>
      </c>
      <c r="D204" s="28">
        <f>IFERROR(VLOOKUP($C204,Tabla_Documentos[],2,FALSE),"")</f>
        <v>45783</v>
      </c>
      <c r="E204" s="34" t="str">
        <f>IFERROR(VLOOKUP($C204,Tabla_Documentos[],3,FALSE),"")</f>
        <v>76744135-5</v>
      </c>
      <c r="F204" s="35" t="str">
        <f>IFERROR(VLOOKUP($C204,Tabla_Documentos[],4,FALSE),"")</f>
        <v>PATAGONIA SERVICIOS SPA</v>
      </c>
      <c r="G204" s="38">
        <f>IFERROR(VLOOKUP($C204,Tabla_Documentos[],5,FALSE),"")</f>
        <v>2975000</v>
      </c>
      <c r="H204" s="29" t="str">
        <f>IFERROR(VLOOKUP($C204,Tabla_Documentos[],6,FALSE),"")</f>
        <v>OBRAS CIVILES</v>
      </c>
      <c r="I204" s="38">
        <f>IFERROR(VLOOKUP($C204,Tabla_Documentos[],5,FALSE),"")</f>
        <v>2975000</v>
      </c>
      <c r="J204" s="25">
        <v>45859</v>
      </c>
    </row>
    <row r="205" spans="3:10" ht="21" customHeight="1" x14ac:dyDescent="0.25">
      <c r="C205" s="39">
        <v>1093</v>
      </c>
      <c r="D205" s="28">
        <f>IFERROR(VLOOKUP($C205,Tabla_Documentos[],2,FALSE),"")</f>
        <v>45783</v>
      </c>
      <c r="E205" s="34" t="str">
        <f>IFERROR(VLOOKUP($C205,Tabla_Documentos[],3,FALSE),"")</f>
        <v>78747740-2</v>
      </c>
      <c r="F205" s="35" t="str">
        <f>IFERROR(VLOOKUP($C205,Tabla_Documentos[],4,FALSE),"")</f>
        <v>SERVICIOS INDUSTRIALES WARNER SPA</v>
      </c>
      <c r="G205" s="38">
        <f>IFERROR(VLOOKUP($C205,Tabla_Documentos[],5,FALSE),"")</f>
        <v>142800</v>
      </c>
      <c r="H205" s="29" t="str">
        <f>IFERROR(VLOOKUP($C205,Tabla_Documentos[],6,FALSE),"")</f>
        <v>OBRAS CIVILES</v>
      </c>
      <c r="I205" s="38">
        <f>IFERROR(VLOOKUP($C205,Tabla_Documentos[],5,FALSE),"")</f>
        <v>142800</v>
      </c>
      <c r="J205" s="25">
        <v>45790</v>
      </c>
    </row>
    <row r="206" spans="3:10" ht="21" customHeight="1" x14ac:dyDescent="0.25">
      <c r="C206" s="39">
        <v>1094</v>
      </c>
      <c r="D206" s="28">
        <f>IFERROR(VLOOKUP($C206,Tabla_Documentos[],2,FALSE),"")</f>
        <v>45783</v>
      </c>
      <c r="E206" s="34" t="str">
        <f>IFERROR(VLOOKUP($C206,Tabla_Documentos[],3,FALSE),"")</f>
        <v>99598680-9</v>
      </c>
      <c r="F206" s="35" t="str">
        <f>IFERROR(VLOOKUP($C206,Tabla_Documentos[],4,FALSE),"")</f>
        <v>GRAN CASINO DE COPIAPO S.A.</v>
      </c>
      <c r="G206" s="38">
        <f>IFERROR(VLOOKUP($C206,Tabla_Documentos[],5,FALSE),"")</f>
        <v>5890500</v>
      </c>
      <c r="H206" s="29" t="str">
        <f>IFERROR(VLOOKUP($C206,Tabla_Documentos[],6,FALSE),"")</f>
        <v>OBRAS CIVILES</v>
      </c>
      <c r="I206" s="38">
        <f>IFERROR(VLOOKUP($C206,Tabla_Documentos[],5,FALSE),"")</f>
        <v>5890500</v>
      </c>
      <c r="J206" s="25">
        <v>45827</v>
      </c>
    </row>
    <row r="207" spans="3:10" ht="21" customHeight="1" x14ac:dyDescent="0.25">
      <c r="C207" s="39">
        <v>1095</v>
      </c>
      <c r="D207" s="28">
        <f>IFERROR(VLOOKUP($C207,Tabla_Documentos[],2,FALSE),"")</f>
        <v>45784</v>
      </c>
      <c r="E207" s="34" t="str">
        <f>IFERROR(VLOOKUP($C207,Tabla_Documentos[],3,FALSE),"")</f>
        <v>77524646-4</v>
      </c>
      <c r="F207" s="35" t="str">
        <f>IFERROR(VLOOKUP($C207,Tabla_Documentos[],4,FALSE),"")</f>
        <v>SOCIEDAD COMERCIAL MASKOLANDIA Y COMPAÑIA LIMITADA</v>
      </c>
      <c r="G207" s="38">
        <f>IFERROR(VLOOKUP($C207,Tabla_Documentos[],5,FALSE),"")</f>
        <v>15000</v>
      </c>
      <c r="H207" s="29" t="str">
        <f>IFERROR(VLOOKUP($C207,Tabla_Documentos[],6,FALSE),"")</f>
        <v>PUBLICIDAD</v>
      </c>
      <c r="I207" s="38">
        <f>IFERROR(VLOOKUP($C207,Tabla_Documentos[],5,FALSE),"")</f>
        <v>15000</v>
      </c>
      <c r="J207" s="25">
        <v>45784</v>
      </c>
    </row>
    <row r="208" spans="3:10" ht="21" customHeight="1" x14ac:dyDescent="0.25">
      <c r="C208" s="39">
        <v>1096</v>
      </c>
      <c r="D208" s="28">
        <f>IFERROR(VLOOKUP($C208,Tabla_Documentos[],2,FALSE),"")</f>
        <v>45784</v>
      </c>
      <c r="E208" s="34" t="str">
        <f>IFERROR(VLOOKUP($C208,Tabla_Documentos[],3,FALSE),"")</f>
        <v>77183342-K</v>
      </c>
      <c r="F208" s="35" t="str">
        <f>IFERROR(VLOOKUP($C208,Tabla_Documentos[],4,FALSE),"")</f>
        <v>TRANSPORTE Y SERVICIO ALEXIS ALEJANDRO SARRIA ALDEA EMPRESA INDIVIDUAL</v>
      </c>
      <c r="G208" s="38">
        <f>IFERROR(VLOOKUP($C208,Tabla_Documentos[],5,FALSE),"")</f>
        <v>20000</v>
      </c>
      <c r="H208" s="29" t="str">
        <f>IFERROR(VLOOKUP($C208,Tabla_Documentos[],6,FALSE),"")</f>
        <v>PUBLICIDAD</v>
      </c>
      <c r="I208" s="38">
        <f>IFERROR(VLOOKUP($C208,Tabla_Documentos[],5,FALSE),"")</f>
        <v>20000</v>
      </c>
      <c r="J208" s="25">
        <v>45784</v>
      </c>
    </row>
    <row r="209" spans="3:10" ht="21" customHeight="1" x14ac:dyDescent="0.25">
      <c r="C209" s="39">
        <v>1097</v>
      </c>
      <c r="D209" s="28">
        <f>IFERROR(VLOOKUP($C209,Tabla_Documentos[],2,FALSE),"")</f>
        <v>45784</v>
      </c>
      <c r="E209" s="34" t="str">
        <f>IFERROR(VLOOKUP($C209,Tabla_Documentos[],3,FALSE),"")</f>
        <v>76258990-7</v>
      </c>
      <c r="F209" s="35" t="str">
        <f>IFERROR(VLOOKUP($C209,Tabla_Documentos[],4,FALSE),"")</f>
        <v>ON STREET S.A.</v>
      </c>
      <c r="G209" s="38">
        <f>IFERROR(VLOOKUP($C209,Tabla_Documentos[],5,FALSE),"")</f>
        <v>20000</v>
      </c>
      <c r="H209" s="29" t="str">
        <f>IFERROR(VLOOKUP($C209,Tabla_Documentos[],6,FALSE),"")</f>
        <v>PUBLICIDAD</v>
      </c>
      <c r="I209" s="38">
        <f>IFERROR(VLOOKUP($C209,Tabla_Documentos[],5,FALSE),"")</f>
        <v>20000</v>
      </c>
      <c r="J209" s="25">
        <v>45784</v>
      </c>
    </row>
    <row r="210" spans="3:10" ht="21" customHeight="1" x14ac:dyDescent="0.25">
      <c r="C210" s="39">
        <v>1098</v>
      </c>
      <c r="D210" s="28">
        <f>IFERROR(VLOOKUP($C210,Tabla_Documentos[],2,FALSE),"")</f>
        <v>45784</v>
      </c>
      <c r="E210" s="34" t="str">
        <f>IFERROR(VLOOKUP($C210,Tabla_Documentos[],3,FALSE),"")</f>
        <v>76419914-6</v>
      </c>
      <c r="F210" s="35" t="str">
        <f>IFERROR(VLOOKUP($C210,Tabla_Documentos[],4,FALSE),"")</f>
        <v>SOCIEDAD DE SERVICIOS FUNERARIOS S.A.</v>
      </c>
      <c r="G210" s="38">
        <f>IFERROR(VLOOKUP($C210,Tabla_Documentos[],5,FALSE),"")</f>
        <v>285000</v>
      </c>
      <c r="H210" s="29" t="str">
        <f>IFERROR(VLOOKUP($C210,Tabla_Documentos[],6,FALSE),"")</f>
        <v>PUBLICIDAD</v>
      </c>
      <c r="I210" s="38">
        <f>IFERROR(VLOOKUP($C210,Tabla_Documentos[],5,FALSE),"")</f>
        <v>285000</v>
      </c>
      <c r="J210" s="25">
        <v>45800</v>
      </c>
    </row>
    <row r="211" spans="3:10" ht="21" customHeight="1" x14ac:dyDescent="0.25">
      <c r="C211" s="39">
        <v>1099</v>
      </c>
      <c r="D211" s="28">
        <f>IFERROR(VLOOKUP($C211,Tabla_Documentos[],2,FALSE),"")</f>
        <v>45785</v>
      </c>
      <c r="E211" s="34" t="str">
        <f>IFERROR(VLOOKUP($C211,Tabla_Documentos[],3,FALSE),"")</f>
        <v>76713010-4</v>
      </c>
      <c r="F211" s="35" t="str">
        <f>IFERROR(VLOOKUP($C211,Tabla_Documentos[],4,FALSE),"")</f>
        <v>SERVICIOS INDS JOSE SANTOS OSSA MANICKE EIRL</v>
      </c>
      <c r="G211" s="38">
        <f>IFERROR(VLOOKUP($C211,Tabla_Documentos[],5,FALSE),"")</f>
        <v>20000</v>
      </c>
      <c r="H211" s="29" t="str">
        <f>IFERROR(VLOOKUP($C211,Tabla_Documentos[],6,FALSE),"")</f>
        <v>PUBLICIDAD</v>
      </c>
      <c r="I211" s="38">
        <f>IFERROR(VLOOKUP($C211,Tabla_Documentos[],5,FALSE),"")</f>
        <v>20000</v>
      </c>
      <c r="J211" s="25">
        <v>45785</v>
      </c>
    </row>
    <row r="212" spans="3:10" ht="21" customHeight="1" x14ac:dyDescent="0.25">
      <c r="C212" s="39">
        <v>1100</v>
      </c>
      <c r="D212" s="28">
        <f>IFERROR(VLOOKUP($C212,Tabla_Documentos[],2,FALSE),"")</f>
        <v>45785</v>
      </c>
      <c r="E212" s="34" t="str">
        <f>IFERROR(VLOOKUP($C212,Tabla_Documentos[],3,FALSE),"")</f>
        <v>76586659-6</v>
      </c>
      <c r="F212" s="35" t="str">
        <f>IFERROR(VLOOKUP($C212,Tabla_Documentos[],4,FALSE),"")</f>
        <v>ESPACIO LUAN SPA</v>
      </c>
      <c r="G212" s="38">
        <f>IFERROR(VLOOKUP($C212,Tabla_Documentos[],5,FALSE),"")</f>
        <v>20000</v>
      </c>
      <c r="H212" s="29" t="str">
        <f>IFERROR(VLOOKUP($C212,Tabla_Documentos[],6,FALSE),"")</f>
        <v>PUBLICIDAD</v>
      </c>
      <c r="I212" s="38">
        <f>IFERROR(VLOOKUP($C212,Tabla_Documentos[],5,FALSE),"")</f>
        <v>20000</v>
      </c>
      <c r="J212" s="25">
        <v>45785</v>
      </c>
    </row>
    <row r="213" spans="3:10" ht="21" customHeight="1" x14ac:dyDescent="0.25">
      <c r="C213" s="39">
        <v>1101</v>
      </c>
      <c r="D213" s="28">
        <f>IFERROR(VLOOKUP($C213,Tabla_Documentos[],2,FALSE),"")</f>
        <v>45785</v>
      </c>
      <c r="E213" s="34" t="str">
        <f>IFERROR(VLOOKUP($C213,Tabla_Documentos[],3,FALSE),"")</f>
        <v>99598680-9</v>
      </c>
      <c r="F213" s="35" t="str">
        <f>IFERROR(VLOOKUP($C213,Tabla_Documentos[],4,FALSE),"")</f>
        <v>GRAN CASINO DE COPIAPO S.A.</v>
      </c>
      <c r="G213" s="38">
        <f>IFERROR(VLOOKUP($C213,Tabla_Documentos[],5,FALSE),"")</f>
        <v>2669170</v>
      </c>
      <c r="H213" s="29" t="str">
        <f>IFERROR(VLOOKUP($C213,Tabla_Documentos[],6,FALSE),"")</f>
        <v>OBRAS CIVILES</v>
      </c>
      <c r="I213" s="38">
        <f>IFERROR(VLOOKUP($C213,Tabla_Documentos[],5,FALSE),"")</f>
        <v>2669170</v>
      </c>
      <c r="J213" s="25">
        <v>45800</v>
      </c>
    </row>
    <row r="214" spans="3:10" ht="21" customHeight="1" x14ac:dyDescent="0.25">
      <c r="C214" s="39">
        <v>1102</v>
      </c>
      <c r="D214" s="28">
        <f>IFERROR(VLOOKUP($C214,Tabla_Documentos[],2,FALSE),"")</f>
        <v>45786</v>
      </c>
      <c r="E214" s="34" t="str">
        <f>IFERROR(VLOOKUP($C214,Tabla_Documentos[],3,FALSE),"")</f>
        <v>78747740-2</v>
      </c>
      <c r="F214" s="35" t="str">
        <f>IFERROR(VLOOKUP($C214,Tabla_Documentos[],4,FALSE),"")</f>
        <v>SERVICIOS INDUSTRIALES WARNER SPA</v>
      </c>
      <c r="G214" s="38">
        <f>IFERROR(VLOOKUP($C214,Tabla_Documentos[],5,FALSE),"")</f>
        <v>1190000</v>
      </c>
      <c r="H214" s="29" t="str">
        <f>IFERROR(VLOOKUP($C214,Tabla_Documentos[],6,FALSE),"")</f>
        <v>OBRAS CIVILES</v>
      </c>
      <c r="I214" s="38">
        <f>IFERROR(VLOOKUP($C214,Tabla_Documentos[],5,FALSE),"")</f>
        <v>1190000</v>
      </c>
      <c r="J214" s="25">
        <v>45770</v>
      </c>
    </row>
    <row r="215" spans="3:10" ht="21" customHeight="1" x14ac:dyDescent="0.25">
      <c r="C215" s="39">
        <v>1103</v>
      </c>
      <c r="D215" s="28">
        <f>IFERROR(VLOOKUP($C215,Tabla_Documentos[],2,FALSE),"")</f>
        <v>45786</v>
      </c>
      <c r="E215" s="34" t="str">
        <f>IFERROR(VLOOKUP($C215,Tabla_Documentos[],3,FALSE),"")</f>
        <v>76974491-6</v>
      </c>
      <c r="F215" s="35" t="str">
        <f>IFERROR(VLOOKUP($C215,Tabla_Documentos[],4,FALSE),"")</f>
        <v>SERVICIOS INFORMATICOS APROSYSTEMS SPA</v>
      </c>
      <c r="G215" s="38">
        <f>IFERROR(VLOOKUP($C215,Tabla_Documentos[],5,FALSE),"")</f>
        <v>120000</v>
      </c>
      <c r="H215" s="29" t="str">
        <f>IFERROR(VLOOKUP($C215,Tabla_Documentos[],6,FALSE),"")</f>
        <v>PUBLICIDAD</v>
      </c>
      <c r="I215" s="38">
        <f>IFERROR(VLOOKUP($C215,Tabla_Documentos[],5,FALSE),"")</f>
        <v>120000</v>
      </c>
      <c r="J215" s="25">
        <v>45786</v>
      </c>
    </row>
    <row r="216" spans="3:10" ht="21" customHeight="1" x14ac:dyDescent="0.25">
      <c r="C216" s="39">
        <v>1104</v>
      </c>
      <c r="D216" s="28">
        <f>IFERROR(VLOOKUP($C216,Tabla_Documentos[],2,FALSE),"")</f>
        <v>45787</v>
      </c>
      <c r="E216" s="34" t="str">
        <f>IFERROR(VLOOKUP($C216,Tabla_Documentos[],3,FALSE),"")</f>
        <v>76848781-2</v>
      </c>
      <c r="F216" s="35" t="str">
        <f>IFERROR(VLOOKUP($C216,Tabla_Documentos[],4,FALSE),"")</f>
        <v>MENA E HIJOS SPA</v>
      </c>
      <c r="G216" s="38">
        <f>IFERROR(VLOOKUP($C216,Tabla_Documentos[],5,FALSE),"")</f>
        <v>71400</v>
      </c>
      <c r="H216" s="29" t="str">
        <f>IFERROR(VLOOKUP($C216,Tabla_Documentos[],6,FALSE),"")</f>
        <v>PUBLICIDAD</v>
      </c>
      <c r="I216" s="38">
        <f>IFERROR(VLOOKUP($C216,Tabla_Documentos[],5,FALSE),"")</f>
        <v>71400</v>
      </c>
      <c r="J216" s="25">
        <v>45787</v>
      </c>
    </row>
    <row r="217" spans="3:10" ht="21" customHeight="1" x14ac:dyDescent="0.25">
      <c r="C217" s="39">
        <v>1105</v>
      </c>
      <c r="D217" s="28">
        <f>IFERROR(VLOOKUP($C217,Tabla_Documentos[],2,FALSE),"")</f>
        <v>45787</v>
      </c>
      <c r="E217" s="34" t="str">
        <f>IFERROR(VLOOKUP($C217,Tabla_Documentos[],3,FALSE),"")</f>
        <v>76848781-2</v>
      </c>
      <c r="F217" s="35" t="str">
        <f>IFERROR(VLOOKUP($C217,Tabla_Documentos[],4,FALSE),"")</f>
        <v>MENA E HIJOS SPA</v>
      </c>
      <c r="G217" s="38">
        <f>IFERROR(VLOOKUP($C217,Tabla_Documentos[],5,FALSE),"")</f>
        <v>5950</v>
      </c>
      <c r="H217" s="29" t="str">
        <f>IFERROR(VLOOKUP($C217,Tabla_Documentos[],6,FALSE),"")</f>
        <v>PUBLICIDAD</v>
      </c>
      <c r="I217" s="38">
        <f>IFERROR(VLOOKUP($C217,Tabla_Documentos[],5,FALSE),"")</f>
        <v>5950</v>
      </c>
      <c r="J217" s="25">
        <v>45787</v>
      </c>
    </row>
    <row r="218" spans="3:10" ht="21" customHeight="1" x14ac:dyDescent="0.25">
      <c r="C218" s="39">
        <v>1107</v>
      </c>
      <c r="D218" s="28">
        <f>IFERROR(VLOOKUP($C218,Tabla_Documentos[],2,FALSE),"")</f>
        <v>45787</v>
      </c>
      <c r="E218" s="34" t="str">
        <f>IFERROR(VLOOKUP($C218,Tabla_Documentos[],3,FALSE),"")</f>
        <v>77520219-K</v>
      </c>
      <c r="F218" s="35" t="str">
        <f>IFERROR(VLOOKUP($C218,Tabla_Documentos[],4,FALSE),"")</f>
        <v>AILUV SPA</v>
      </c>
      <c r="G218" s="38">
        <f>IFERROR(VLOOKUP($C218,Tabla_Documentos[],5,FALSE),"")</f>
        <v>23800</v>
      </c>
      <c r="H218" s="29" t="str">
        <f>IFERROR(VLOOKUP($C218,Tabla_Documentos[],6,FALSE),"")</f>
        <v>PUBLICIDAD</v>
      </c>
      <c r="I218" s="38">
        <f>IFERROR(VLOOKUP($C218,Tabla_Documentos[],5,FALSE),"")</f>
        <v>23800</v>
      </c>
      <c r="J218" s="25">
        <v>45787</v>
      </c>
    </row>
    <row r="219" spans="3:10" ht="21" customHeight="1" x14ac:dyDescent="0.25">
      <c r="C219" s="39">
        <v>1108</v>
      </c>
      <c r="D219" s="28">
        <f>IFERROR(VLOOKUP($C219,Tabla_Documentos[],2,FALSE),"")</f>
        <v>45787</v>
      </c>
      <c r="E219" s="34" t="str">
        <f>IFERROR(VLOOKUP($C219,Tabla_Documentos[],3,FALSE),"")</f>
        <v>77280057-6</v>
      </c>
      <c r="F219" s="35" t="str">
        <f>IFERROR(VLOOKUP($C219,Tabla_Documentos[],4,FALSE),"")</f>
        <v>COMERCIALIZADORA Y SERVICIOS VILNA GALIANO E.I.R.L.</v>
      </c>
      <c r="G219" s="38">
        <f>IFERROR(VLOOKUP($C219,Tabla_Documentos[],5,FALSE),"")</f>
        <v>35000</v>
      </c>
      <c r="H219" s="29" t="str">
        <f>IFERROR(VLOOKUP($C219,Tabla_Documentos[],6,FALSE),"")</f>
        <v>PUBLICIDAD</v>
      </c>
      <c r="I219" s="38">
        <f>IFERROR(VLOOKUP($C219,Tabla_Documentos[],5,FALSE),"")</f>
        <v>35000</v>
      </c>
      <c r="J219" s="25">
        <v>45787</v>
      </c>
    </row>
    <row r="220" spans="3:10" ht="21" customHeight="1" x14ac:dyDescent="0.25">
      <c r="C220" s="39">
        <v>1109</v>
      </c>
      <c r="D220" s="28">
        <f>IFERROR(VLOOKUP($C220,Tabla_Documentos[],2,FALSE),"")</f>
        <v>45789</v>
      </c>
      <c r="E220" s="34" t="str">
        <f>IFERROR(VLOOKUP($C220,Tabla_Documentos[],3,FALSE),"")</f>
        <v>76515035-3</v>
      </c>
      <c r="F220" s="35" t="str">
        <f>IFERROR(VLOOKUP($C220,Tabla_Documentos[],4,FALSE),"")</f>
        <v>INGENIERIA PD GROUP LIMITADA</v>
      </c>
      <c r="G220" s="38">
        <f>IFERROR(VLOOKUP($C220,Tabla_Documentos[],5,FALSE),"")</f>
        <v>30000</v>
      </c>
      <c r="H220" s="29" t="str">
        <f>IFERROR(VLOOKUP($C220,Tabla_Documentos[],6,FALSE),"")</f>
        <v>PUBLICIDAD</v>
      </c>
      <c r="I220" s="38">
        <f>IFERROR(VLOOKUP($C220,Tabla_Documentos[],5,FALSE),"")</f>
        <v>30000</v>
      </c>
      <c r="J220" s="25">
        <v>45789</v>
      </c>
    </row>
    <row r="221" spans="3:10" ht="21" customHeight="1" x14ac:dyDescent="0.25">
      <c r="C221" s="39">
        <v>1110</v>
      </c>
      <c r="D221" s="28">
        <f>IFERROR(VLOOKUP($C221,Tabla_Documentos[],2,FALSE),"")</f>
        <v>45789</v>
      </c>
      <c r="E221" s="34" t="str">
        <f>IFERROR(VLOOKUP($C221,Tabla_Documentos[],3,FALSE),"")</f>
        <v>96532730-4</v>
      </c>
      <c r="F221" s="35" t="str">
        <f>IFERROR(VLOOKUP($C221,Tabla_Documentos[],4,FALSE),"")</f>
        <v>MICROTEC SPA</v>
      </c>
      <c r="G221" s="38">
        <f>IFERROR(VLOOKUP($C221,Tabla_Documentos[],5,FALSE),"")</f>
        <v>23800</v>
      </c>
      <c r="H221" s="29" t="str">
        <f>IFERROR(VLOOKUP($C221,Tabla_Documentos[],6,FALSE),"")</f>
        <v>PUBLICIDAD</v>
      </c>
      <c r="I221" s="38">
        <f>IFERROR(VLOOKUP($C221,Tabla_Documentos[],5,FALSE),"")</f>
        <v>23800</v>
      </c>
      <c r="J221" s="25">
        <v>45789</v>
      </c>
    </row>
    <row r="222" spans="3:10" ht="21" customHeight="1" x14ac:dyDescent="0.25">
      <c r="C222" s="39">
        <v>1111</v>
      </c>
      <c r="D222" s="28">
        <f>IFERROR(VLOOKUP($C222,Tabla_Documentos[],2,FALSE),"")</f>
        <v>45789</v>
      </c>
      <c r="E222" s="34" t="str">
        <f>IFERROR(VLOOKUP($C222,Tabla_Documentos[],3,FALSE),"")</f>
        <v>77520219-K</v>
      </c>
      <c r="F222" s="35" t="str">
        <f>IFERROR(VLOOKUP($C222,Tabla_Documentos[],4,FALSE),"")</f>
        <v>AILUV SPA</v>
      </c>
      <c r="G222" s="38">
        <f>IFERROR(VLOOKUP($C222,Tabla_Documentos[],5,FALSE),"")</f>
        <v>20000</v>
      </c>
      <c r="H222" s="29" t="str">
        <f>IFERROR(VLOOKUP($C222,Tabla_Documentos[],6,FALSE),"")</f>
        <v>PUBLICIDAD</v>
      </c>
      <c r="I222" s="38">
        <f>IFERROR(VLOOKUP($C222,Tabla_Documentos[],5,FALSE),"")</f>
        <v>20000</v>
      </c>
      <c r="J222" s="25">
        <v>45789</v>
      </c>
    </row>
    <row r="223" spans="3:10" ht="21" customHeight="1" x14ac:dyDescent="0.25">
      <c r="C223" s="39">
        <v>1112</v>
      </c>
      <c r="D223" s="28">
        <f>IFERROR(VLOOKUP($C223,Tabla_Documentos[],2,FALSE),"")</f>
        <v>45789</v>
      </c>
      <c r="E223" s="34" t="str">
        <f>IFERROR(VLOOKUP($C223,Tabla_Documentos[],3,FALSE),"")</f>
        <v>90844000-5</v>
      </c>
      <c r="F223" s="35" t="str">
        <f>IFERROR(VLOOKUP($C223,Tabla_Documentos[],4,FALSE),"")</f>
        <v>KUPFER HERMANOS SA</v>
      </c>
      <c r="G223" s="38">
        <f>IFERROR(VLOOKUP($C223,Tabla_Documentos[],5,FALSE),"")</f>
        <v>107100</v>
      </c>
      <c r="H223" s="29" t="str">
        <f>IFERROR(VLOOKUP($C223,Tabla_Documentos[],6,FALSE),"")</f>
        <v>PUBLICIDAD</v>
      </c>
      <c r="I223" s="38">
        <f>IFERROR(VLOOKUP($C223,Tabla_Documentos[],5,FALSE),"")</f>
        <v>107100</v>
      </c>
      <c r="J223" s="25">
        <v>45789</v>
      </c>
    </row>
    <row r="224" spans="3:10" ht="21" customHeight="1" x14ac:dyDescent="0.25">
      <c r="C224" s="39">
        <v>1113</v>
      </c>
      <c r="D224" s="28">
        <f>IFERROR(VLOOKUP($C224,Tabla_Documentos[],2,FALSE),"")</f>
        <v>45789</v>
      </c>
      <c r="E224" s="34" t="str">
        <f>IFERROR(VLOOKUP($C224,Tabla_Documentos[],3,FALSE),"")</f>
        <v>76686138-5</v>
      </c>
      <c r="F224" s="35" t="str">
        <f>IFERROR(VLOOKUP($C224,Tabla_Documentos[],4,FALSE),"")</f>
        <v>SKC RED SPA</v>
      </c>
      <c r="G224" s="38">
        <f>IFERROR(VLOOKUP($C224,Tabla_Documentos[],5,FALSE),"")</f>
        <v>17850</v>
      </c>
      <c r="H224" s="29" t="str">
        <f>IFERROR(VLOOKUP($C224,Tabla_Documentos[],6,FALSE),"")</f>
        <v>PUBLICIDAD</v>
      </c>
      <c r="I224" s="38">
        <f>IFERROR(VLOOKUP($C224,Tabla_Documentos[],5,FALSE),"")</f>
        <v>17850</v>
      </c>
      <c r="J224" s="25">
        <v>45820</v>
      </c>
    </row>
    <row r="225" spans="3:10" ht="21" customHeight="1" x14ac:dyDescent="0.25">
      <c r="C225" s="39">
        <v>1114</v>
      </c>
      <c r="D225" s="28">
        <f>IFERROR(VLOOKUP($C225,Tabla_Documentos[],2,FALSE),"")</f>
        <v>45789</v>
      </c>
      <c r="E225" s="34" t="str">
        <f>IFERROR(VLOOKUP($C225,Tabla_Documentos[],3,FALSE),"")</f>
        <v>76686138-5</v>
      </c>
      <c r="F225" s="35" t="str">
        <f>IFERROR(VLOOKUP($C225,Tabla_Documentos[],4,FALSE),"")</f>
        <v>SKC RED SPA</v>
      </c>
      <c r="G225" s="38">
        <f>IFERROR(VLOOKUP($C225,Tabla_Documentos[],5,FALSE),"")</f>
        <v>17850</v>
      </c>
      <c r="H225" s="29" t="str">
        <f>IFERROR(VLOOKUP($C225,Tabla_Documentos[],6,FALSE),"")</f>
        <v>PUBLICIDAD</v>
      </c>
      <c r="I225" s="38">
        <f>IFERROR(VLOOKUP($C225,Tabla_Documentos[],5,FALSE),"")</f>
        <v>17850</v>
      </c>
      <c r="J225" s="25">
        <v>45820</v>
      </c>
    </row>
    <row r="226" spans="3:10" ht="21" customHeight="1" x14ac:dyDescent="0.25">
      <c r="C226" s="39">
        <v>1115</v>
      </c>
      <c r="D226" s="28">
        <f>IFERROR(VLOOKUP($C226,Tabla_Documentos[],2,FALSE),"")</f>
        <v>45789</v>
      </c>
      <c r="E226" s="34" t="str">
        <f>IFERROR(VLOOKUP($C226,Tabla_Documentos[],3,FALSE),"")</f>
        <v>76686138-5</v>
      </c>
      <c r="F226" s="35" t="str">
        <f>IFERROR(VLOOKUP($C226,Tabla_Documentos[],4,FALSE),"")</f>
        <v>SKC RED SPA</v>
      </c>
      <c r="G226" s="38">
        <f>IFERROR(VLOOKUP($C226,Tabla_Documentos[],5,FALSE),"")</f>
        <v>17850</v>
      </c>
      <c r="H226" s="29" t="str">
        <f>IFERROR(VLOOKUP($C226,Tabla_Documentos[],6,FALSE),"")</f>
        <v>PUBLICIDAD</v>
      </c>
      <c r="I226" s="38">
        <f>IFERROR(VLOOKUP($C226,Tabla_Documentos[],5,FALSE),"")</f>
        <v>17850</v>
      </c>
      <c r="J226" s="25">
        <v>45820</v>
      </c>
    </row>
    <row r="227" spans="3:10" ht="21" customHeight="1" x14ac:dyDescent="0.25">
      <c r="C227" s="39">
        <v>1116</v>
      </c>
      <c r="D227" s="28">
        <f>IFERROR(VLOOKUP($C227,Tabla_Documentos[],2,FALSE),"")</f>
        <v>45789</v>
      </c>
      <c r="E227" s="34" t="str">
        <f>IFERROR(VLOOKUP($C227,Tabla_Documentos[],3,FALSE),"")</f>
        <v>76686138-5</v>
      </c>
      <c r="F227" s="35" t="str">
        <f>IFERROR(VLOOKUP($C227,Tabla_Documentos[],4,FALSE),"")</f>
        <v>SKC RED SPA</v>
      </c>
      <c r="G227" s="38">
        <f>IFERROR(VLOOKUP($C227,Tabla_Documentos[],5,FALSE),"")</f>
        <v>17850</v>
      </c>
      <c r="H227" s="29" t="str">
        <f>IFERROR(VLOOKUP($C227,Tabla_Documentos[],6,FALSE),"")</f>
        <v>PUBLICIDAD</v>
      </c>
      <c r="I227" s="38">
        <f>IFERROR(VLOOKUP($C227,Tabla_Documentos[],5,FALSE),"")</f>
        <v>17850</v>
      </c>
      <c r="J227" s="25">
        <v>45820</v>
      </c>
    </row>
    <row r="228" spans="3:10" ht="21" customHeight="1" x14ac:dyDescent="0.25">
      <c r="C228" s="39">
        <v>1117</v>
      </c>
      <c r="D228" s="28">
        <f>IFERROR(VLOOKUP($C228,Tabla_Documentos[],2,FALSE),"")</f>
        <v>45789</v>
      </c>
      <c r="E228" s="34" t="str">
        <f>IFERROR(VLOOKUP($C228,Tabla_Documentos[],3,FALSE),"")</f>
        <v>76686138-5</v>
      </c>
      <c r="F228" s="35" t="str">
        <f>IFERROR(VLOOKUP($C228,Tabla_Documentos[],4,FALSE),"")</f>
        <v>SKC RED SPA</v>
      </c>
      <c r="G228" s="38">
        <f>IFERROR(VLOOKUP($C228,Tabla_Documentos[],5,FALSE),"")</f>
        <v>101150</v>
      </c>
      <c r="H228" s="29" t="str">
        <f>IFERROR(VLOOKUP($C228,Tabla_Documentos[],6,FALSE),"")</f>
        <v>PUBLICIDAD</v>
      </c>
      <c r="I228" s="38">
        <f>IFERROR(VLOOKUP($C228,Tabla_Documentos[],5,FALSE),"")</f>
        <v>101150</v>
      </c>
      <c r="J228" s="25">
        <v>45820</v>
      </c>
    </row>
    <row r="229" spans="3:10" ht="21" customHeight="1" x14ac:dyDescent="0.25">
      <c r="C229" s="39">
        <v>1118</v>
      </c>
      <c r="D229" s="28">
        <f>IFERROR(VLOOKUP($C229,Tabla_Documentos[],2,FALSE),"")</f>
        <v>45789</v>
      </c>
      <c r="E229" s="34" t="str">
        <f>IFERROR(VLOOKUP($C229,Tabla_Documentos[],3,FALSE),"")</f>
        <v>76346498-9</v>
      </c>
      <c r="F229" s="35" t="str">
        <f>IFERROR(VLOOKUP($C229,Tabla_Documentos[],4,FALSE),"")</f>
        <v>CONSTRUCTORA CARLOS ALBERTO ANDRES ALBISTUR REYES E.I.R.L.</v>
      </c>
      <c r="G229" s="38">
        <f>IFERROR(VLOOKUP($C229,Tabla_Documentos[],5,FALSE),"")</f>
        <v>416500</v>
      </c>
      <c r="H229" s="29" t="str">
        <f>IFERROR(VLOOKUP($C229,Tabla_Documentos[],6,FALSE),"")</f>
        <v>PUBLICIDAD</v>
      </c>
      <c r="I229" s="38">
        <f>IFERROR(VLOOKUP($C229,Tabla_Documentos[],5,FALSE),"")</f>
        <v>416500</v>
      </c>
      <c r="J229" s="25">
        <v>45849</v>
      </c>
    </row>
    <row r="230" spans="3:10" ht="21" customHeight="1" x14ac:dyDescent="0.25">
      <c r="C230" s="39">
        <v>1119</v>
      </c>
      <c r="D230" s="28">
        <f>IFERROR(VLOOKUP($C230,Tabla_Documentos[],2,FALSE),"")</f>
        <v>45789</v>
      </c>
      <c r="E230" s="34" t="str">
        <f>IFERROR(VLOOKUP($C230,Tabla_Documentos[],3,FALSE),"")</f>
        <v>76346498-9</v>
      </c>
      <c r="F230" s="35" t="str">
        <f>IFERROR(VLOOKUP($C230,Tabla_Documentos[],4,FALSE),"")</f>
        <v>CONSTRUCTORA CARLOS ALBERTO ANDRES ALBISTUR REYES E.I.R.L.</v>
      </c>
      <c r="G230" s="38">
        <f>IFERROR(VLOOKUP($C230,Tabla_Documentos[],5,FALSE),"")</f>
        <v>235620</v>
      </c>
      <c r="H230" s="29" t="str">
        <f>IFERROR(VLOOKUP($C230,Tabla_Documentos[],6,FALSE),"")</f>
        <v>PUBLICIDAD</v>
      </c>
      <c r="I230" s="38">
        <f>IFERROR(VLOOKUP($C230,Tabla_Documentos[],5,FALSE),"")</f>
        <v>235620</v>
      </c>
      <c r="J230" s="25">
        <v>45796</v>
      </c>
    </row>
    <row r="231" spans="3:10" ht="21" customHeight="1" x14ac:dyDescent="0.25">
      <c r="C231" s="39">
        <v>1120</v>
      </c>
      <c r="D231" s="28">
        <f>IFERROR(VLOOKUP($C231,Tabla_Documentos[],2,FALSE),"")</f>
        <v>45789</v>
      </c>
      <c r="E231" s="34" t="str">
        <f>IFERROR(VLOOKUP($C231,Tabla_Documentos[],3,FALSE),"")</f>
        <v>76334979-9</v>
      </c>
      <c r="F231" s="35" t="str">
        <f>IFERROR(VLOOKUP($C231,Tabla_Documentos[],4,FALSE),"")</f>
        <v>ELECTRICIDAD CRISTIAN ANDRÉS CASTRO VILLANUEVA EMPRESA INDIVIDUAL</v>
      </c>
      <c r="G231" s="38">
        <f>IFERROR(VLOOKUP($C231,Tabla_Documentos[],5,FALSE),"")</f>
        <v>23800</v>
      </c>
      <c r="H231" s="29" t="str">
        <f>IFERROR(VLOOKUP($C231,Tabla_Documentos[],6,FALSE),"")</f>
        <v>PUBLICIDAD</v>
      </c>
      <c r="I231" s="38">
        <f>IFERROR(VLOOKUP($C231,Tabla_Documentos[],5,FALSE),"")</f>
        <v>23800</v>
      </c>
      <c r="J231" s="25">
        <v>45789</v>
      </c>
    </row>
    <row r="232" spans="3:10" ht="21" customHeight="1" x14ac:dyDescent="0.25">
      <c r="C232" s="39">
        <v>1122</v>
      </c>
      <c r="D232" s="28">
        <f>IFERROR(VLOOKUP($C232,Tabla_Documentos[],2,FALSE),"")</f>
        <v>45790</v>
      </c>
      <c r="E232" s="34" t="str">
        <f>IFERROR(VLOOKUP($C232,Tabla_Documentos[],3,FALSE),"")</f>
        <v>78924390-5</v>
      </c>
      <c r="F232" s="35" t="str">
        <f>IFERROR(VLOOKUP($C232,Tabla_Documentos[],4,FALSE),"")</f>
        <v>PARQUES HERNAN JOHNSON LTDA</v>
      </c>
      <c r="G232" s="38">
        <f>IFERROR(VLOOKUP($C232,Tabla_Documentos[],5,FALSE),"")</f>
        <v>47600</v>
      </c>
      <c r="H232" s="29" t="str">
        <f>IFERROR(VLOOKUP($C232,Tabla_Documentos[],6,FALSE),"")</f>
        <v>PUBLICIDAD</v>
      </c>
      <c r="I232" s="38">
        <f>IFERROR(VLOOKUP($C232,Tabla_Documentos[],5,FALSE),"")</f>
        <v>47600</v>
      </c>
      <c r="J232" s="25">
        <v>45790</v>
      </c>
    </row>
    <row r="233" spans="3:10" ht="21" customHeight="1" x14ac:dyDescent="0.25">
      <c r="C233" s="39">
        <v>1123</v>
      </c>
      <c r="D233" s="28">
        <f>IFERROR(VLOOKUP($C233,Tabla_Documentos[],2,FALSE),"")</f>
        <v>45790</v>
      </c>
      <c r="E233" s="34" t="str">
        <f>IFERROR(VLOOKUP($C233,Tabla_Documentos[],3,FALSE),"")</f>
        <v>90844000-5</v>
      </c>
      <c r="F233" s="35" t="str">
        <f>IFERROR(VLOOKUP($C233,Tabla_Documentos[],4,FALSE),"")</f>
        <v>KUPFER HERMANOS SA</v>
      </c>
      <c r="G233" s="38">
        <f>IFERROR(VLOOKUP($C233,Tabla_Documentos[],5,FALSE),"")</f>
        <v>29750</v>
      </c>
      <c r="H233" s="29" t="str">
        <f>IFERROR(VLOOKUP($C233,Tabla_Documentos[],6,FALSE),"")</f>
        <v>PUBLICIDAD</v>
      </c>
      <c r="I233" s="38">
        <f>IFERROR(VLOOKUP($C233,Tabla_Documentos[],5,FALSE),"")</f>
        <v>29750</v>
      </c>
      <c r="J233" s="25">
        <v>45790</v>
      </c>
    </row>
    <row r="234" spans="3:10" ht="21" customHeight="1" x14ac:dyDescent="0.25">
      <c r="C234" s="39">
        <v>1124</v>
      </c>
      <c r="D234" s="28">
        <f>IFERROR(VLOOKUP($C234,Tabla_Documentos[],2,FALSE),"")</f>
        <v>45791</v>
      </c>
      <c r="E234" s="34" t="str">
        <f>IFERROR(VLOOKUP($C234,Tabla_Documentos[],3,FALSE),"")</f>
        <v>77758444-8</v>
      </c>
      <c r="F234" s="35" t="str">
        <f>IFERROR(VLOOKUP($C234,Tabla_Documentos[],4,FALSE),"")</f>
        <v>TRANSPORTE DOBLE C SPA</v>
      </c>
      <c r="G234" s="38">
        <f>IFERROR(VLOOKUP($C234,Tabla_Documentos[],5,FALSE),"")</f>
        <v>749700</v>
      </c>
      <c r="H234" s="29" t="str">
        <f>IFERROR(VLOOKUP($C234,Tabla_Documentos[],6,FALSE),"")</f>
        <v>PUBLICIDAD</v>
      </c>
      <c r="I234" s="38">
        <f>IFERROR(VLOOKUP($C234,Tabla_Documentos[],5,FALSE),"")</f>
        <v>749700</v>
      </c>
      <c r="J234" s="25">
        <v>45791</v>
      </c>
    </row>
    <row r="235" spans="3:10" ht="21" customHeight="1" x14ac:dyDescent="0.25">
      <c r="C235" s="39">
        <v>1125</v>
      </c>
      <c r="D235" s="28">
        <f>IFERROR(VLOOKUP($C235,Tabla_Documentos[],2,FALSE),"")</f>
        <v>45791</v>
      </c>
      <c r="E235" s="34" t="str">
        <f>IFERROR(VLOOKUP($C235,Tabla_Documentos[],3,FALSE),"")</f>
        <v>76891489-3</v>
      </c>
      <c r="F235" s="35" t="str">
        <f>IFERROR(VLOOKUP($C235,Tabla_Documentos[],4,FALSE),"")</f>
        <v>CONSTRUCCIÓN, SERVICIOS INTEGRALES, INGENIERÍA Y CONSULTORIA OPPORTUNITY</v>
      </c>
      <c r="G235" s="38">
        <f>IFERROR(VLOOKUP($C235,Tabla_Documentos[],5,FALSE),"")</f>
        <v>35700</v>
      </c>
      <c r="H235" s="29" t="str">
        <f>IFERROR(VLOOKUP($C235,Tabla_Documentos[],6,FALSE),"")</f>
        <v>PUBLICIDAD</v>
      </c>
      <c r="I235" s="38">
        <f>IFERROR(VLOOKUP($C235,Tabla_Documentos[],5,FALSE),"")</f>
        <v>35700</v>
      </c>
      <c r="J235" s="25">
        <v>45791</v>
      </c>
    </row>
    <row r="236" spans="3:10" ht="21" customHeight="1" x14ac:dyDescent="0.25">
      <c r="C236" s="39">
        <v>1126</v>
      </c>
      <c r="D236" s="28">
        <f>IFERROR(VLOOKUP($C236,Tabla_Documentos[],2,FALSE),"")</f>
        <v>45791</v>
      </c>
      <c r="E236" s="34" t="str">
        <f>IFERROR(VLOOKUP($C236,Tabla_Documentos[],3,FALSE),"")</f>
        <v>77117830-8</v>
      </c>
      <c r="F236" s="35" t="str">
        <f>IFERROR(VLOOKUP($C236,Tabla_Documentos[],4,FALSE),"")</f>
        <v>FOUCHER Y NOGUEIRA LIMITADA</v>
      </c>
      <c r="G236" s="38">
        <f>IFERROR(VLOOKUP($C236,Tabla_Documentos[],5,FALSE),"")</f>
        <v>39999</v>
      </c>
      <c r="H236" s="29" t="str">
        <f>IFERROR(VLOOKUP($C236,Tabla_Documentos[],6,FALSE),"")</f>
        <v>PUBLICIDAD</v>
      </c>
      <c r="I236" s="38">
        <f>IFERROR(VLOOKUP($C236,Tabla_Documentos[],5,FALSE),"")</f>
        <v>39999</v>
      </c>
      <c r="J236" s="25">
        <v>45791</v>
      </c>
    </row>
    <row r="237" spans="3:10" ht="21" customHeight="1" x14ac:dyDescent="0.25">
      <c r="C237" s="39">
        <v>1127</v>
      </c>
      <c r="D237" s="28">
        <f>IFERROR(VLOOKUP($C237,Tabla_Documentos[],2,FALSE),"")</f>
        <v>45792</v>
      </c>
      <c r="E237" s="34" t="str">
        <f>IFERROR(VLOOKUP($C237,Tabla_Documentos[],3,FALSE),"")</f>
        <v>76239400-6</v>
      </c>
      <c r="F237" s="35" t="str">
        <f>IFERROR(VLOOKUP($C237,Tabla_Documentos[],4,FALSE),"")</f>
        <v>SOC INMOBILIARIA DE INVERSIONES DEL REY LIMITADA</v>
      </c>
      <c r="G237" s="38">
        <f>IFERROR(VLOOKUP($C237,Tabla_Documentos[],5,FALSE),"")</f>
        <v>23800</v>
      </c>
      <c r="H237" s="29" t="str">
        <f>IFERROR(VLOOKUP($C237,Tabla_Documentos[],6,FALSE),"")</f>
        <v>PUBLICIDAD</v>
      </c>
      <c r="I237" s="38">
        <f>IFERROR(VLOOKUP($C237,Tabla_Documentos[],5,FALSE),"")</f>
        <v>23800</v>
      </c>
      <c r="J237" s="25">
        <v>45792</v>
      </c>
    </row>
    <row r="238" spans="3:10" ht="21" customHeight="1" x14ac:dyDescent="0.25">
      <c r="C238" s="39">
        <v>1128</v>
      </c>
      <c r="D238" s="28">
        <f>IFERROR(VLOOKUP($C238,Tabla_Documentos[],2,FALSE),"")</f>
        <v>45793</v>
      </c>
      <c r="E238" s="34" t="str">
        <f>IFERROR(VLOOKUP($C238,Tabla_Documentos[],3,FALSE),"")</f>
        <v>78205140-7</v>
      </c>
      <c r="F238" s="35" t="str">
        <f>IFERROR(VLOOKUP($C238,Tabla_Documentos[],4,FALSE),"")</f>
        <v>COMERCIAL PRODECO LIMITADA</v>
      </c>
      <c r="G238" s="38">
        <f>IFERROR(VLOOKUP($C238,Tabla_Documentos[],5,FALSE),"")</f>
        <v>17850</v>
      </c>
      <c r="H238" s="29" t="str">
        <f>IFERROR(VLOOKUP($C238,Tabla_Documentos[],6,FALSE),"")</f>
        <v>PUBLICIDAD</v>
      </c>
      <c r="I238" s="38">
        <f>IFERROR(VLOOKUP($C238,Tabla_Documentos[],5,FALSE),"")</f>
        <v>17850</v>
      </c>
      <c r="J238" s="25">
        <v>45793</v>
      </c>
    </row>
    <row r="239" spans="3:10" ht="21" customHeight="1" x14ac:dyDescent="0.25">
      <c r="C239" s="39">
        <v>1129</v>
      </c>
      <c r="D239" s="28">
        <f>IFERROR(VLOOKUP($C239,Tabla_Documentos[],2,FALSE),"")</f>
        <v>45796</v>
      </c>
      <c r="E239" s="34" t="str">
        <f>IFERROR(VLOOKUP($C239,Tabla_Documentos[],3,FALSE),"")</f>
        <v>78415820-9</v>
      </c>
      <c r="F239" s="35" t="str">
        <f>IFERROR(VLOOKUP($C239,Tabla_Documentos[],4,FALSE),"")</f>
        <v>AGRICOLA MILLAHUE LTDA</v>
      </c>
      <c r="G239" s="38">
        <f>IFERROR(VLOOKUP($C239,Tabla_Documentos[],5,FALSE),"")</f>
        <v>15000</v>
      </c>
      <c r="H239" s="29" t="str">
        <f>IFERROR(VLOOKUP($C239,Tabla_Documentos[],6,FALSE),"")</f>
        <v>PUBLICIDAD</v>
      </c>
      <c r="I239" s="38">
        <f>IFERROR(VLOOKUP($C239,Tabla_Documentos[],5,FALSE),"")</f>
        <v>15000</v>
      </c>
      <c r="J239" s="25">
        <v>45796</v>
      </c>
    </row>
    <row r="240" spans="3:10" ht="21" customHeight="1" x14ac:dyDescent="0.25">
      <c r="C240" s="39">
        <v>1130</v>
      </c>
      <c r="D240" s="28">
        <f>IFERROR(VLOOKUP($C240,Tabla_Documentos[],2,FALSE),"")</f>
        <v>45796</v>
      </c>
      <c r="E240" s="34" t="str">
        <f>IFERROR(VLOOKUP($C240,Tabla_Documentos[],3,FALSE),"")</f>
        <v>76686138-5</v>
      </c>
      <c r="F240" s="35" t="str">
        <f>IFERROR(VLOOKUP($C240,Tabla_Documentos[],4,FALSE),"")</f>
        <v>SKC RED SPA</v>
      </c>
      <c r="G240" s="38">
        <f>IFERROR(VLOOKUP($C240,Tabla_Documentos[],5,FALSE),"")</f>
        <v>17850</v>
      </c>
      <c r="H240" s="29" t="str">
        <f>IFERROR(VLOOKUP($C240,Tabla_Documentos[],6,FALSE),"")</f>
        <v>PUBLICIDAD</v>
      </c>
      <c r="I240" s="38">
        <f>IFERROR(VLOOKUP($C240,Tabla_Documentos[],5,FALSE),"")</f>
        <v>17850</v>
      </c>
      <c r="J240" s="25">
        <v>45833</v>
      </c>
    </row>
    <row r="241" spans="3:10" ht="21" customHeight="1" x14ac:dyDescent="0.25">
      <c r="C241" s="39">
        <v>1134</v>
      </c>
      <c r="D241" s="28">
        <f>IFERROR(VLOOKUP($C241,Tabla_Documentos[],2,FALSE),"")</f>
        <v>45796</v>
      </c>
      <c r="E241" s="34" t="str">
        <f>IFERROR(VLOOKUP($C241,Tabla_Documentos[],3,FALSE),"")</f>
        <v>77741219-1</v>
      </c>
      <c r="F241" s="35" t="str">
        <f>IFERROR(VLOOKUP($C241,Tabla_Documentos[],4,FALSE),"")</f>
        <v>AT-RENTAL SPA</v>
      </c>
      <c r="G241" s="38">
        <f>IFERROR(VLOOKUP($C241,Tabla_Documentos[],5,FALSE),"")</f>
        <v>20000</v>
      </c>
      <c r="H241" s="29" t="str">
        <f>IFERROR(VLOOKUP($C241,Tabla_Documentos[],6,FALSE),"")</f>
        <v>PUBLICIDAD</v>
      </c>
      <c r="I241" s="38">
        <f>IFERROR(VLOOKUP($C241,Tabla_Documentos[],5,FALSE),"")</f>
        <v>20000</v>
      </c>
      <c r="J241" s="25">
        <v>45796</v>
      </c>
    </row>
    <row r="242" spans="3:10" ht="21" customHeight="1" x14ac:dyDescent="0.25">
      <c r="C242" s="39">
        <v>1135</v>
      </c>
      <c r="D242" s="28">
        <f>IFERROR(VLOOKUP($C242,Tabla_Documentos[],2,FALSE),"")</f>
        <v>45796</v>
      </c>
      <c r="E242" s="34" t="str">
        <f>IFERROR(VLOOKUP($C242,Tabla_Documentos[],3,FALSE),"")</f>
        <v>76280382-8</v>
      </c>
      <c r="F242" s="35" t="str">
        <f>IFERROR(VLOOKUP($C242,Tabla_Documentos[],4,FALSE),"")</f>
        <v>SEGURIDAD PRIVADA CENTURIONS LIMITADA</v>
      </c>
      <c r="G242" s="38">
        <f>IFERROR(VLOOKUP($C242,Tabla_Documentos[],5,FALSE),"")</f>
        <v>333200</v>
      </c>
      <c r="H242" s="29" t="str">
        <f>IFERROR(VLOOKUP($C242,Tabla_Documentos[],6,FALSE),"")</f>
        <v>PUBLICIDAD</v>
      </c>
      <c r="I242" s="38">
        <f>IFERROR(VLOOKUP($C242,Tabla_Documentos[],5,FALSE),"")</f>
        <v>333200</v>
      </c>
      <c r="J242" s="25">
        <v>45796</v>
      </c>
    </row>
    <row r="243" spans="3:10" ht="21" customHeight="1" x14ac:dyDescent="0.25">
      <c r="C243" s="39">
        <v>1136</v>
      </c>
      <c r="D243" s="28">
        <f>IFERROR(VLOOKUP($C243,Tabla_Documentos[],2,FALSE),"")</f>
        <v>45796</v>
      </c>
      <c r="E243" s="34" t="str">
        <f>IFERROR(VLOOKUP($C243,Tabla_Documentos[],3,FALSE),"")</f>
        <v>77382153-4</v>
      </c>
      <c r="F243" s="35" t="str">
        <f>IFERROR(VLOOKUP($C243,Tabla_Documentos[],4,FALSE),"")</f>
        <v>AUCAN LOGISTIC SPA</v>
      </c>
      <c r="G243" s="38">
        <f>IFERROR(VLOOKUP($C243,Tabla_Documentos[],5,FALSE),"")</f>
        <v>101150</v>
      </c>
      <c r="H243" s="29" t="str">
        <f>IFERROR(VLOOKUP($C243,Tabla_Documentos[],6,FALSE),"")</f>
        <v>PUBLICIDAD</v>
      </c>
      <c r="I243" s="38">
        <f>IFERROR(VLOOKUP($C243,Tabla_Documentos[],5,FALSE),"")</f>
        <v>101150</v>
      </c>
      <c r="J243" s="25">
        <v>45796</v>
      </c>
    </row>
    <row r="244" spans="3:10" ht="21" customHeight="1" x14ac:dyDescent="0.25">
      <c r="C244" s="39">
        <v>1137</v>
      </c>
      <c r="D244" s="28">
        <f>IFERROR(VLOOKUP($C244,Tabla_Documentos[],2,FALSE),"")</f>
        <v>45797</v>
      </c>
      <c r="E244" s="34" t="str">
        <f>IFERROR(VLOOKUP($C244,Tabla_Documentos[],3,FALSE),"")</f>
        <v>76946732-7</v>
      </c>
      <c r="F244" s="35" t="str">
        <f>IFERROR(VLOOKUP($C244,Tabla_Documentos[],4,FALSE),"")</f>
        <v>SERVICIOS DE INGENIERIA Y MAESTRANZA SPA</v>
      </c>
      <c r="G244" s="38">
        <f>IFERROR(VLOOKUP($C244,Tabla_Documentos[],5,FALSE),"")</f>
        <v>354194</v>
      </c>
      <c r="H244" s="29" t="str">
        <f>IFERROR(VLOOKUP($C244,Tabla_Documentos[],6,FALSE),"")</f>
        <v>PUBLICIDAD</v>
      </c>
      <c r="I244" s="38">
        <f>IFERROR(VLOOKUP($C244,Tabla_Documentos[],5,FALSE),"")</f>
        <v>354194</v>
      </c>
      <c r="J244" s="25">
        <v>45799</v>
      </c>
    </row>
    <row r="245" spans="3:10" ht="21" customHeight="1" x14ac:dyDescent="0.25">
      <c r="C245" s="39">
        <v>1138</v>
      </c>
      <c r="D245" s="28">
        <f>IFERROR(VLOOKUP($C245,Tabla_Documentos[],2,FALSE),"")</f>
        <v>45797</v>
      </c>
      <c r="E245" s="34" t="str">
        <f>IFERROR(VLOOKUP($C245,Tabla_Documentos[],3,FALSE),"")</f>
        <v>18218891-3</v>
      </c>
      <c r="F245" s="35" t="str">
        <f>IFERROR(VLOOKUP($C245,Tabla_Documentos[],4,FALSE),"")</f>
        <v>FERNANDO ESTEBAN DIAZ SANQUINETTI</v>
      </c>
      <c r="G245" s="38">
        <f>IFERROR(VLOOKUP($C245,Tabla_Documentos[],5,FALSE),"")</f>
        <v>29750</v>
      </c>
      <c r="H245" s="29" t="str">
        <f>IFERROR(VLOOKUP($C245,Tabla_Documentos[],6,FALSE),"")</f>
        <v>PUBLICIDAD</v>
      </c>
      <c r="I245" s="38">
        <f>IFERROR(VLOOKUP($C245,Tabla_Documentos[],5,FALSE),"")</f>
        <v>29750</v>
      </c>
      <c r="J245" s="25">
        <v>45797</v>
      </c>
    </row>
    <row r="246" spans="3:10" ht="21" customHeight="1" x14ac:dyDescent="0.25">
      <c r="C246" s="39">
        <v>1139</v>
      </c>
      <c r="D246" s="28">
        <f>IFERROR(VLOOKUP($C246,Tabla_Documentos[],2,FALSE),"")</f>
        <v>45797</v>
      </c>
      <c r="E246" s="34" t="str">
        <f>IFERROR(VLOOKUP($C246,Tabla_Documentos[],3,FALSE),"")</f>
        <v>76008735-1</v>
      </c>
      <c r="F246" s="35" t="str">
        <f>IFERROR(VLOOKUP($C246,Tabla_Documentos[],4,FALSE),"")</f>
        <v>SERVICIOS DE INGENIERIA ELECTRICA LIMITADA</v>
      </c>
      <c r="G246" s="38">
        <f>IFERROR(VLOOKUP($C246,Tabla_Documentos[],5,FALSE),"")</f>
        <v>5000</v>
      </c>
      <c r="H246" s="29" t="str">
        <f>IFERROR(VLOOKUP($C246,Tabla_Documentos[],6,FALSE),"")</f>
        <v>PUBLICIDAD</v>
      </c>
      <c r="I246" s="38">
        <f>IFERROR(VLOOKUP($C246,Tabla_Documentos[],5,FALSE),"")</f>
        <v>5000</v>
      </c>
      <c r="J246" s="25">
        <v>45797</v>
      </c>
    </row>
    <row r="247" spans="3:10" ht="21" customHeight="1" x14ac:dyDescent="0.25">
      <c r="C247" s="39">
        <v>1140</v>
      </c>
      <c r="D247" s="28">
        <f>IFERROR(VLOOKUP($C247,Tabla_Documentos[],2,FALSE),"")</f>
        <v>45798</v>
      </c>
      <c r="E247" s="34" t="str">
        <f>IFERROR(VLOOKUP($C247,Tabla_Documentos[],3,FALSE),"")</f>
        <v>77313060-4</v>
      </c>
      <c r="F247" s="35" t="str">
        <f>IFERROR(VLOOKUP($C247,Tabla_Documentos[],4,FALSE),"")</f>
        <v>COMERCIAL SERPAN SPA</v>
      </c>
      <c r="G247" s="38">
        <f>IFERROR(VLOOKUP($C247,Tabla_Documentos[],5,FALSE),"")</f>
        <v>17850</v>
      </c>
      <c r="H247" s="29" t="str">
        <f>IFERROR(VLOOKUP($C247,Tabla_Documentos[],6,FALSE),"")</f>
        <v>PUBLICIDAD</v>
      </c>
      <c r="I247" s="38">
        <f>IFERROR(VLOOKUP($C247,Tabla_Documentos[],5,FALSE),"")</f>
        <v>17850</v>
      </c>
      <c r="J247" s="25">
        <v>45842</v>
      </c>
    </row>
    <row r="248" spans="3:10" ht="21" customHeight="1" x14ac:dyDescent="0.25">
      <c r="C248" s="39">
        <v>1141</v>
      </c>
      <c r="D248" s="28">
        <f>IFERROR(VLOOKUP($C248,Tabla_Documentos[],2,FALSE),"")</f>
        <v>45798</v>
      </c>
      <c r="E248" s="34" t="str">
        <f>IFERROR(VLOOKUP($C248,Tabla_Documentos[],3,FALSE),"")</f>
        <v>77313060-4</v>
      </c>
      <c r="F248" s="35" t="str">
        <f>IFERROR(VLOOKUP($C248,Tabla_Documentos[],4,FALSE),"")</f>
        <v>COMERCIAL SERPAN SPA</v>
      </c>
      <c r="G248" s="38">
        <f>IFERROR(VLOOKUP($C248,Tabla_Documentos[],5,FALSE),"")</f>
        <v>17850</v>
      </c>
      <c r="H248" s="29" t="str">
        <f>IFERROR(VLOOKUP($C248,Tabla_Documentos[],6,FALSE),"")</f>
        <v>PUBLICIDAD</v>
      </c>
      <c r="I248" s="38">
        <f>IFERROR(VLOOKUP($C248,Tabla_Documentos[],5,FALSE),"")</f>
        <v>17850</v>
      </c>
      <c r="J248" s="25">
        <v>45842</v>
      </c>
    </row>
    <row r="249" spans="3:10" ht="21" customHeight="1" x14ac:dyDescent="0.25">
      <c r="C249" s="39">
        <v>1142</v>
      </c>
      <c r="D249" s="28">
        <f>IFERROR(VLOOKUP($C249,Tabla_Documentos[],2,FALSE),"")</f>
        <v>45798</v>
      </c>
      <c r="E249" s="34" t="str">
        <f>IFERROR(VLOOKUP($C249,Tabla_Documentos[],3,FALSE),"")</f>
        <v>76686138-5</v>
      </c>
      <c r="F249" s="35" t="str">
        <f>IFERROR(VLOOKUP($C249,Tabla_Documentos[],4,FALSE),"")</f>
        <v>SKC RED SPA</v>
      </c>
      <c r="G249" s="38">
        <f>IFERROR(VLOOKUP($C249,Tabla_Documentos[],5,FALSE),"")</f>
        <v>190400</v>
      </c>
      <c r="H249" s="29" t="str">
        <f>IFERROR(VLOOKUP($C249,Tabla_Documentos[],6,FALSE),"")</f>
        <v>PUBLICIDAD</v>
      </c>
      <c r="I249" s="38">
        <f>IFERROR(VLOOKUP($C249,Tabla_Documentos[],5,FALSE),"")</f>
        <v>190400</v>
      </c>
      <c r="J249" s="25">
        <v>45827</v>
      </c>
    </row>
    <row r="250" spans="3:10" ht="21" customHeight="1" x14ac:dyDescent="0.25">
      <c r="C250" s="39">
        <v>1143</v>
      </c>
      <c r="D250" s="28">
        <f>IFERROR(VLOOKUP($C250,Tabla_Documentos[],2,FALSE),"")</f>
        <v>45798</v>
      </c>
      <c r="E250" s="34" t="str">
        <f>IFERROR(VLOOKUP($C250,Tabla_Documentos[],3,FALSE),"")</f>
        <v>77313060-4</v>
      </c>
      <c r="F250" s="35" t="str">
        <f>IFERROR(VLOOKUP($C250,Tabla_Documentos[],4,FALSE),"")</f>
        <v>COMERCIAL SERPAN SPA</v>
      </c>
      <c r="G250" s="38">
        <f>IFERROR(VLOOKUP($C250,Tabla_Documentos[],5,FALSE),"")</f>
        <v>17850</v>
      </c>
      <c r="H250" s="29" t="str">
        <f>IFERROR(VLOOKUP($C250,Tabla_Documentos[],6,FALSE),"")</f>
        <v>PUBLICIDAD</v>
      </c>
      <c r="I250" s="38">
        <f>IFERROR(VLOOKUP($C250,Tabla_Documentos[],5,FALSE),"")</f>
        <v>17850</v>
      </c>
      <c r="J250" s="25">
        <v>45842</v>
      </c>
    </row>
    <row r="251" spans="3:10" ht="21" customHeight="1" x14ac:dyDescent="0.25">
      <c r="C251" s="39">
        <v>1144</v>
      </c>
      <c r="D251" s="28">
        <f>IFERROR(VLOOKUP($C251,Tabla_Documentos[],2,FALSE),"")</f>
        <v>45798</v>
      </c>
      <c r="E251" s="34" t="str">
        <f>IFERROR(VLOOKUP($C251,Tabla_Documentos[],3,FALSE),"")</f>
        <v>77313060-4</v>
      </c>
      <c r="F251" s="35" t="str">
        <f>IFERROR(VLOOKUP($C251,Tabla_Documentos[],4,FALSE),"")</f>
        <v>COMERCIAL SERPAN SPA</v>
      </c>
      <c r="G251" s="38">
        <f>IFERROR(VLOOKUP($C251,Tabla_Documentos[],5,FALSE),"")</f>
        <v>17850</v>
      </c>
      <c r="H251" s="29" t="str">
        <f>IFERROR(VLOOKUP($C251,Tabla_Documentos[],6,FALSE),"")</f>
        <v>PUBLICIDAD</v>
      </c>
      <c r="I251" s="38">
        <f>IFERROR(VLOOKUP($C251,Tabla_Documentos[],5,FALSE),"")</f>
        <v>17850</v>
      </c>
      <c r="J251" s="25">
        <v>45842</v>
      </c>
    </row>
    <row r="252" spans="3:10" ht="21" customHeight="1" x14ac:dyDescent="0.25">
      <c r="C252" s="39">
        <v>1145</v>
      </c>
      <c r="D252" s="28">
        <f>IFERROR(VLOOKUP($C252,Tabla_Documentos[],2,FALSE),"")</f>
        <v>45798</v>
      </c>
      <c r="E252" s="34" t="str">
        <f>IFERROR(VLOOKUP($C252,Tabla_Documentos[],3,FALSE),"")</f>
        <v>77313060-4</v>
      </c>
      <c r="F252" s="35" t="str">
        <f>IFERROR(VLOOKUP($C252,Tabla_Documentos[],4,FALSE),"")</f>
        <v>COMERCIAL SERPAN SPA</v>
      </c>
      <c r="G252" s="38">
        <f>IFERROR(VLOOKUP($C252,Tabla_Documentos[],5,FALSE),"")</f>
        <v>17850</v>
      </c>
      <c r="H252" s="29" t="str">
        <f>IFERROR(VLOOKUP($C252,Tabla_Documentos[],6,FALSE),"")</f>
        <v>PUBLICIDAD</v>
      </c>
      <c r="I252" s="38">
        <f>IFERROR(VLOOKUP($C252,Tabla_Documentos[],5,FALSE),"")</f>
        <v>17850</v>
      </c>
      <c r="J252" s="25">
        <v>45842</v>
      </c>
    </row>
    <row r="253" spans="3:10" ht="21" customHeight="1" x14ac:dyDescent="0.25">
      <c r="C253" s="39">
        <v>1146</v>
      </c>
      <c r="D253" s="28">
        <f>IFERROR(VLOOKUP($C253,Tabla_Documentos[],2,FALSE),"")</f>
        <v>45798</v>
      </c>
      <c r="E253" s="34" t="str">
        <f>IFERROR(VLOOKUP($C253,Tabla_Documentos[],3,FALSE),"")</f>
        <v>77313060-4</v>
      </c>
      <c r="F253" s="35" t="str">
        <f>IFERROR(VLOOKUP($C253,Tabla_Documentos[],4,FALSE),"")</f>
        <v>COMERCIAL SERPAN SPA</v>
      </c>
      <c r="G253" s="38">
        <f>IFERROR(VLOOKUP($C253,Tabla_Documentos[],5,FALSE),"")</f>
        <v>17850</v>
      </c>
      <c r="H253" s="29" t="str">
        <f>IFERROR(VLOOKUP($C253,Tabla_Documentos[],6,FALSE),"")</f>
        <v>PUBLICIDAD</v>
      </c>
      <c r="I253" s="38">
        <f>IFERROR(VLOOKUP($C253,Tabla_Documentos[],5,FALSE),"")</f>
        <v>17850</v>
      </c>
      <c r="J253" s="25">
        <v>45842</v>
      </c>
    </row>
    <row r="254" spans="3:10" ht="21" customHeight="1" x14ac:dyDescent="0.25">
      <c r="C254" s="39">
        <v>1147</v>
      </c>
      <c r="D254" s="28">
        <f>IFERROR(VLOOKUP($C254,Tabla_Documentos[],2,FALSE),"")</f>
        <v>45798</v>
      </c>
      <c r="E254" s="34" t="str">
        <f>IFERROR(VLOOKUP($C254,Tabla_Documentos[],3,FALSE),"")</f>
        <v>77313060-4</v>
      </c>
      <c r="F254" s="35" t="str">
        <f>IFERROR(VLOOKUP($C254,Tabla_Documentos[],4,FALSE),"")</f>
        <v>COMERCIAL SERPAN SPA</v>
      </c>
      <c r="G254" s="38">
        <f>IFERROR(VLOOKUP($C254,Tabla_Documentos[],5,FALSE),"")</f>
        <v>17850</v>
      </c>
      <c r="H254" s="29" t="str">
        <f>IFERROR(VLOOKUP($C254,Tabla_Documentos[],6,FALSE),"")</f>
        <v>PUBLICIDAD</v>
      </c>
      <c r="I254" s="38">
        <f>IFERROR(VLOOKUP($C254,Tabla_Documentos[],5,FALSE),"")</f>
        <v>17850</v>
      </c>
      <c r="J254" s="25">
        <v>45842</v>
      </c>
    </row>
    <row r="255" spans="3:10" ht="21" customHeight="1" x14ac:dyDescent="0.25">
      <c r="C255" s="39">
        <v>1148</v>
      </c>
      <c r="D255" s="28">
        <f>IFERROR(VLOOKUP($C255,Tabla_Documentos[],2,FALSE),"")</f>
        <v>45798</v>
      </c>
      <c r="E255" s="34" t="str">
        <f>IFERROR(VLOOKUP($C255,Tabla_Documentos[],3,FALSE),"")</f>
        <v>77313060-4</v>
      </c>
      <c r="F255" s="35" t="str">
        <f>IFERROR(VLOOKUP($C255,Tabla_Documentos[],4,FALSE),"")</f>
        <v>COMERCIAL SERPAN SPA</v>
      </c>
      <c r="G255" s="38">
        <f>IFERROR(VLOOKUP($C255,Tabla_Documentos[],5,FALSE),"")</f>
        <v>17850</v>
      </c>
      <c r="H255" s="29" t="str">
        <f>IFERROR(VLOOKUP($C255,Tabla_Documentos[],6,FALSE),"")</f>
        <v>PUBLICIDAD</v>
      </c>
      <c r="I255" s="38">
        <f>IFERROR(VLOOKUP($C255,Tabla_Documentos[],5,FALSE),"")</f>
        <v>17850</v>
      </c>
      <c r="J255" s="25">
        <v>45842</v>
      </c>
    </row>
    <row r="256" spans="3:10" ht="21" customHeight="1" x14ac:dyDescent="0.25">
      <c r="C256" s="39">
        <v>1149</v>
      </c>
      <c r="D256" s="28">
        <f>IFERROR(VLOOKUP($C256,Tabla_Documentos[],2,FALSE),"")</f>
        <v>45798</v>
      </c>
      <c r="E256" s="34" t="str">
        <f>IFERROR(VLOOKUP($C256,Tabla_Documentos[],3,FALSE),"")</f>
        <v>77313060-4</v>
      </c>
      <c r="F256" s="35" t="str">
        <f>IFERROR(VLOOKUP($C256,Tabla_Documentos[],4,FALSE),"")</f>
        <v>COMERCIAL SERPAN SPA</v>
      </c>
      <c r="G256" s="38">
        <f>IFERROR(VLOOKUP($C256,Tabla_Documentos[],5,FALSE),"")</f>
        <v>17850</v>
      </c>
      <c r="H256" s="29" t="str">
        <f>IFERROR(VLOOKUP($C256,Tabla_Documentos[],6,FALSE),"")</f>
        <v>PUBLICIDAD</v>
      </c>
      <c r="I256" s="38">
        <f>IFERROR(VLOOKUP($C256,Tabla_Documentos[],5,FALSE),"")</f>
        <v>17850</v>
      </c>
      <c r="J256" s="25">
        <v>45842</v>
      </c>
    </row>
    <row r="257" spans="3:10" ht="21" customHeight="1" x14ac:dyDescent="0.25">
      <c r="C257" s="39">
        <v>1150</v>
      </c>
      <c r="D257" s="28">
        <f>IFERROR(VLOOKUP($C257,Tabla_Documentos[],2,FALSE),"")</f>
        <v>45798</v>
      </c>
      <c r="E257" s="34" t="str">
        <f>IFERROR(VLOOKUP($C257,Tabla_Documentos[],3,FALSE),"")</f>
        <v>77313060-4</v>
      </c>
      <c r="F257" s="35" t="str">
        <f>IFERROR(VLOOKUP($C257,Tabla_Documentos[],4,FALSE),"")</f>
        <v>COMERCIAL SERPAN SPA</v>
      </c>
      <c r="G257" s="38">
        <f>IFERROR(VLOOKUP($C257,Tabla_Documentos[],5,FALSE),"")</f>
        <v>17850</v>
      </c>
      <c r="H257" s="29" t="str">
        <f>IFERROR(VLOOKUP($C257,Tabla_Documentos[],6,FALSE),"")</f>
        <v>PUBLICIDAD</v>
      </c>
      <c r="I257" s="38">
        <f>IFERROR(VLOOKUP($C257,Tabla_Documentos[],5,FALSE),"")</f>
        <v>17850</v>
      </c>
      <c r="J257" s="25">
        <v>45842</v>
      </c>
    </row>
    <row r="258" spans="3:10" ht="21" customHeight="1" x14ac:dyDescent="0.25">
      <c r="C258" s="39">
        <v>1151</v>
      </c>
      <c r="D258" s="28">
        <f>IFERROR(VLOOKUP($C258,Tabla_Documentos[],2,FALSE),"")</f>
        <v>45798</v>
      </c>
      <c r="E258" s="34" t="str">
        <f>IFERROR(VLOOKUP($C258,Tabla_Documentos[],3,FALSE),"")</f>
        <v>77313060-4</v>
      </c>
      <c r="F258" s="35" t="str">
        <f>IFERROR(VLOOKUP($C258,Tabla_Documentos[],4,FALSE),"")</f>
        <v>COMERCIAL SERPAN SPA</v>
      </c>
      <c r="G258" s="38">
        <f>IFERROR(VLOOKUP($C258,Tabla_Documentos[],5,FALSE),"")</f>
        <v>11900</v>
      </c>
      <c r="H258" s="29" t="str">
        <f>IFERROR(VLOOKUP($C258,Tabla_Documentos[],6,FALSE),"")</f>
        <v>PUBLICIDAD</v>
      </c>
      <c r="I258" s="38">
        <f>IFERROR(VLOOKUP($C258,Tabla_Documentos[],5,FALSE),"")</f>
        <v>11900</v>
      </c>
      <c r="J258" s="25">
        <v>45842</v>
      </c>
    </row>
    <row r="259" spans="3:10" ht="21" customHeight="1" x14ac:dyDescent="0.25">
      <c r="C259" s="39">
        <v>1152</v>
      </c>
      <c r="D259" s="28">
        <f>IFERROR(VLOOKUP($C259,Tabla_Documentos[],2,FALSE),"")</f>
        <v>45798</v>
      </c>
      <c r="E259" s="34" t="str">
        <f>IFERROR(VLOOKUP($C259,Tabla_Documentos[],3,FALSE),"")</f>
        <v>77313060-4</v>
      </c>
      <c r="F259" s="35" t="str">
        <f>IFERROR(VLOOKUP($C259,Tabla_Documentos[],4,FALSE),"")</f>
        <v>COMERCIAL SERPAN SPA</v>
      </c>
      <c r="G259" s="38">
        <f>IFERROR(VLOOKUP($C259,Tabla_Documentos[],5,FALSE),"")</f>
        <v>11900</v>
      </c>
      <c r="H259" s="29" t="str">
        <f>IFERROR(VLOOKUP($C259,Tabla_Documentos[],6,FALSE),"")</f>
        <v>PUBLICIDAD</v>
      </c>
      <c r="I259" s="38">
        <f>IFERROR(VLOOKUP($C259,Tabla_Documentos[],5,FALSE),"")</f>
        <v>11900</v>
      </c>
      <c r="J259" s="25">
        <v>45842</v>
      </c>
    </row>
    <row r="260" spans="3:10" ht="21" customHeight="1" x14ac:dyDescent="0.25">
      <c r="C260" s="39">
        <v>1153</v>
      </c>
      <c r="D260" s="28">
        <f>IFERROR(VLOOKUP($C260,Tabla_Documentos[],2,FALSE),"")</f>
        <v>45798</v>
      </c>
      <c r="E260" s="34" t="str">
        <f>IFERROR(VLOOKUP($C260,Tabla_Documentos[],3,FALSE),"")</f>
        <v>77313060-4</v>
      </c>
      <c r="F260" s="35" t="str">
        <f>IFERROR(VLOOKUP($C260,Tabla_Documentos[],4,FALSE),"")</f>
        <v>COMERCIAL SERPAN SPA</v>
      </c>
      <c r="G260" s="38">
        <f>IFERROR(VLOOKUP($C260,Tabla_Documentos[],5,FALSE),"")</f>
        <v>11900</v>
      </c>
      <c r="H260" s="29" t="str">
        <f>IFERROR(VLOOKUP($C260,Tabla_Documentos[],6,FALSE),"")</f>
        <v>PUBLICIDAD</v>
      </c>
      <c r="I260" s="38">
        <f>IFERROR(VLOOKUP($C260,Tabla_Documentos[],5,FALSE),"")</f>
        <v>11900</v>
      </c>
      <c r="J260" s="25">
        <v>45842</v>
      </c>
    </row>
    <row r="261" spans="3:10" ht="21" customHeight="1" x14ac:dyDescent="0.25">
      <c r="C261" s="39">
        <v>1155</v>
      </c>
      <c r="D261" s="28">
        <f>IFERROR(VLOOKUP($C261,Tabla_Documentos[],2,FALSE),"")</f>
        <v>45798</v>
      </c>
      <c r="E261" s="34" t="str">
        <f>IFERROR(VLOOKUP($C261,Tabla_Documentos[],3,FALSE),"")</f>
        <v>77313060-4</v>
      </c>
      <c r="F261" s="35" t="str">
        <f>IFERROR(VLOOKUP($C261,Tabla_Documentos[],4,FALSE),"")</f>
        <v>COMERCIAL SERPAN SPA</v>
      </c>
      <c r="G261" s="38">
        <f>IFERROR(VLOOKUP($C261,Tabla_Documentos[],5,FALSE),"")</f>
        <v>11900</v>
      </c>
      <c r="H261" s="29" t="str">
        <f>IFERROR(VLOOKUP($C261,Tabla_Documentos[],6,FALSE),"")</f>
        <v>PUBLICIDAD</v>
      </c>
      <c r="I261" s="38">
        <f>IFERROR(VLOOKUP($C261,Tabla_Documentos[],5,FALSE),"")</f>
        <v>11900</v>
      </c>
      <c r="J261" s="25">
        <v>45842</v>
      </c>
    </row>
    <row r="262" spans="3:10" ht="21" customHeight="1" x14ac:dyDescent="0.25">
      <c r="C262" s="39">
        <v>1156</v>
      </c>
      <c r="D262" s="28">
        <f>IFERROR(VLOOKUP($C262,Tabla_Documentos[],2,FALSE),"")</f>
        <v>45798</v>
      </c>
      <c r="E262" s="34" t="str">
        <f>IFERROR(VLOOKUP($C262,Tabla_Documentos[],3,FALSE),"")</f>
        <v>77313060-4</v>
      </c>
      <c r="F262" s="35" t="str">
        <f>IFERROR(VLOOKUP($C262,Tabla_Documentos[],4,FALSE),"")</f>
        <v>COMERCIAL SERPAN SPA</v>
      </c>
      <c r="G262" s="38">
        <f>IFERROR(VLOOKUP($C262,Tabla_Documentos[],5,FALSE),"")</f>
        <v>11900</v>
      </c>
      <c r="H262" s="29" t="str">
        <f>IFERROR(VLOOKUP($C262,Tabla_Documentos[],6,FALSE),"")</f>
        <v>PUBLICIDAD</v>
      </c>
      <c r="I262" s="38">
        <f>IFERROR(VLOOKUP($C262,Tabla_Documentos[],5,FALSE),"")</f>
        <v>11900</v>
      </c>
      <c r="J262" s="25">
        <v>45842</v>
      </c>
    </row>
    <row r="263" spans="3:10" ht="21" customHeight="1" x14ac:dyDescent="0.25">
      <c r="C263" s="39">
        <v>1157</v>
      </c>
      <c r="D263" s="28">
        <f>IFERROR(VLOOKUP($C263,Tabla_Documentos[],2,FALSE),"")</f>
        <v>45798</v>
      </c>
      <c r="E263" s="34" t="str">
        <f>IFERROR(VLOOKUP($C263,Tabla_Documentos[],3,FALSE),"")</f>
        <v>76897208-7</v>
      </c>
      <c r="F263" s="35" t="str">
        <f>IFERROR(VLOOKUP($C263,Tabla_Documentos[],4,FALSE),"")</f>
        <v>JSTEC SPA</v>
      </c>
      <c r="G263" s="38">
        <f>IFERROR(VLOOKUP($C263,Tabla_Documentos[],5,FALSE),"")</f>
        <v>17850</v>
      </c>
      <c r="H263" s="29" t="str">
        <f>IFERROR(VLOOKUP($C263,Tabla_Documentos[],6,FALSE),"")</f>
        <v>PUBLICIDAD</v>
      </c>
      <c r="I263" s="38">
        <f>IFERROR(VLOOKUP($C263,Tabla_Documentos[],5,FALSE),"")</f>
        <v>17850</v>
      </c>
      <c r="J263" s="25">
        <v>45798</v>
      </c>
    </row>
    <row r="264" spans="3:10" ht="21" customHeight="1" x14ac:dyDescent="0.25">
      <c r="C264" s="39">
        <v>1158</v>
      </c>
      <c r="D264" s="28">
        <f>IFERROR(VLOOKUP($C264,Tabla_Documentos[],2,FALSE),"")</f>
        <v>45800</v>
      </c>
      <c r="E264" s="34" t="str">
        <f>IFERROR(VLOOKUP($C264,Tabla_Documentos[],3,FALSE),"")</f>
        <v>77007600-5</v>
      </c>
      <c r="F264" s="35" t="str">
        <f>IFERROR(VLOOKUP($C264,Tabla_Documentos[],4,FALSE),"")</f>
        <v>ALGORITMOS Y MEDICIONES AMBIENTALES SPA</v>
      </c>
      <c r="G264" s="38">
        <f>IFERROR(VLOOKUP($C264,Tabla_Documentos[],5,FALSE),"")</f>
        <v>20000</v>
      </c>
      <c r="H264" s="29" t="str">
        <f>IFERROR(VLOOKUP($C264,Tabla_Documentos[],6,FALSE),"")</f>
        <v>PUBLICIDAD</v>
      </c>
      <c r="I264" s="38">
        <f>IFERROR(VLOOKUP($C264,Tabla_Documentos[],5,FALSE),"")</f>
        <v>20000</v>
      </c>
      <c r="J264" s="25">
        <v>45800</v>
      </c>
    </row>
    <row r="265" spans="3:10" ht="21" customHeight="1" x14ac:dyDescent="0.25">
      <c r="C265" s="39">
        <v>1159</v>
      </c>
      <c r="D265" s="28">
        <f>IFERROR(VLOOKUP($C265,Tabla_Documentos[],2,FALSE),"")</f>
        <v>45800</v>
      </c>
      <c r="E265" s="34" t="str">
        <f>IFERROR(VLOOKUP($C265,Tabla_Documentos[],3,FALSE),"")</f>
        <v>77539753-5</v>
      </c>
      <c r="F265" s="35" t="str">
        <f>IFERROR(VLOOKUP($C265,Tabla_Documentos[],4,FALSE),"")</f>
        <v>INTRAMIN SPA</v>
      </c>
      <c r="G265" s="38">
        <f>IFERROR(VLOOKUP($C265,Tabla_Documentos[],5,FALSE),"")</f>
        <v>43316</v>
      </c>
      <c r="H265" s="29" t="str">
        <f>IFERROR(VLOOKUP($C265,Tabla_Documentos[],6,FALSE),"")</f>
        <v>PUBLICIDAD</v>
      </c>
      <c r="I265" s="38">
        <f>IFERROR(VLOOKUP($C265,Tabla_Documentos[],5,FALSE),"")</f>
        <v>43316</v>
      </c>
      <c r="J265" s="25">
        <v>45800</v>
      </c>
    </row>
    <row r="266" spans="3:10" ht="21" customHeight="1" x14ac:dyDescent="0.25">
      <c r="C266" s="39">
        <v>1160</v>
      </c>
      <c r="D266" s="28">
        <f>IFERROR(VLOOKUP($C266,Tabla_Documentos[],2,FALSE),"")</f>
        <v>45800</v>
      </c>
      <c r="E266" s="34" t="str">
        <f>IFERROR(VLOOKUP($C266,Tabla_Documentos[],3,FALSE),"")</f>
        <v>77723189-8</v>
      </c>
      <c r="F266" s="35" t="str">
        <f>IFERROR(VLOOKUP($C266,Tabla_Documentos[],4,FALSE),"")</f>
        <v>SEMINET SPA</v>
      </c>
      <c r="G266" s="38">
        <f>IFERROR(VLOOKUP($C266,Tabla_Documentos[],5,FALSE),"")</f>
        <v>9520</v>
      </c>
      <c r="H266" s="29" t="str">
        <f>IFERROR(VLOOKUP($C266,Tabla_Documentos[],6,FALSE),"")</f>
        <v>BELEN</v>
      </c>
      <c r="I266" s="38">
        <f>IFERROR(VLOOKUP($C266,Tabla_Documentos[],5,FALSE),"")</f>
        <v>9520</v>
      </c>
      <c r="J266" s="25">
        <v>45800</v>
      </c>
    </row>
    <row r="267" spans="3:10" ht="21" customHeight="1" x14ac:dyDescent="0.25">
      <c r="C267" s="39">
        <v>1161</v>
      </c>
      <c r="D267" s="28">
        <f>IFERROR(VLOOKUP($C267,Tabla_Documentos[],2,FALSE),"")</f>
        <v>45800</v>
      </c>
      <c r="E267" s="34" t="str">
        <f>IFERROR(VLOOKUP($C267,Tabla_Documentos[],3,FALSE),"")</f>
        <v>78747740-2</v>
      </c>
      <c r="F267" s="35" t="str">
        <f>IFERROR(VLOOKUP($C267,Tabla_Documentos[],4,FALSE),"")</f>
        <v>SERVICIOS INDUSTRIALES WARNER SPA</v>
      </c>
      <c r="G267" s="38">
        <f>IFERROR(VLOOKUP($C267,Tabla_Documentos[],5,FALSE),"")</f>
        <v>380800</v>
      </c>
      <c r="H267" s="29" t="str">
        <f>IFERROR(VLOOKUP($C267,Tabla_Documentos[],6,FALSE),"")</f>
        <v>PUBLICIDAD</v>
      </c>
      <c r="I267" s="38">
        <f>IFERROR(VLOOKUP($C267,Tabla_Documentos[],5,FALSE),"")</f>
        <v>380800</v>
      </c>
      <c r="J267" s="25">
        <v>45817</v>
      </c>
    </row>
    <row r="268" spans="3:10" ht="21" customHeight="1" x14ac:dyDescent="0.25">
      <c r="C268" s="39">
        <v>1163</v>
      </c>
      <c r="D268" s="28">
        <f>IFERROR(VLOOKUP($C268,Tabla_Documentos[],2,FALSE),"")</f>
        <v>45803</v>
      </c>
      <c r="E268" s="34" t="str">
        <f>IFERROR(VLOOKUP($C268,Tabla_Documentos[],3,FALSE),"")</f>
        <v>77313060-4</v>
      </c>
      <c r="F268" s="35" t="str">
        <f>IFERROR(VLOOKUP($C268,Tabla_Documentos[],4,FALSE),"")</f>
        <v>COMERCIAL SERPAN SPA</v>
      </c>
      <c r="G268" s="38">
        <f>IFERROR(VLOOKUP($C268,Tabla_Documentos[],5,FALSE),"")</f>
        <v>17850</v>
      </c>
      <c r="H268" s="29" t="str">
        <f>IFERROR(VLOOKUP($C268,Tabla_Documentos[],6,FALSE),"")</f>
        <v>PUBLICIDAD</v>
      </c>
      <c r="I268" s="38">
        <f>IFERROR(VLOOKUP($C268,Tabla_Documentos[],5,FALSE),"")</f>
        <v>17850</v>
      </c>
      <c r="J268" s="25">
        <v>45842</v>
      </c>
    </row>
    <row r="269" spans="3:10" ht="21" customHeight="1" x14ac:dyDescent="0.25">
      <c r="C269" s="39">
        <v>1164</v>
      </c>
      <c r="D269" s="28">
        <f>IFERROR(VLOOKUP($C269,Tabla_Documentos[],2,FALSE),"")</f>
        <v>45803</v>
      </c>
      <c r="E269" s="34" t="str">
        <f>IFERROR(VLOOKUP($C269,Tabla_Documentos[],3,FALSE),"")</f>
        <v>77313060-4</v>
      </c>
      <c r="F269" s="35" t="str">
        <f>IFERROR(VLOOKUP($C269,Tabla_Documentos[],4,FALSE),"")</f>
        <v>COMERCIAL SERPAN SPA</v>
      </c>
      <c r="G269" s="38">
        <f>IFERROR(VLOOKUP($C269,Tabla_Documentos[],5,FALSE),"")</f>
        <v>17850</v>
      </c>
      <c r="H269" s="29" t="str">
        <f>IFERROR(VLOOKUP($C269,Tabla_Documentos[],6,FALSE),"")</f>
        <v>PUBLICIDAD</v>
      </c>
      <c r="I269" s="38">
        <f>IFERROR(VLOOKUP($C269,Tabla_Documentos[],5,FALSE),"")</f>
        <v>17850</v>
      </c>
      <c r="J269" s="25">
        <v>45842</v>
      </c>
    </row>
    <row r="270" spans="3:10" ht="21" customHeight="1" x14ac:dyDescent="0.25">
      <c r="C270" s="39">
        <v>1165</v>
      </c>
      <c r="D270" s="28">
        <f>IFERROR(VLOOKUP($C270,Tabla_Documentos[],2,FALSE),"")</f>
        <v>45803</v>
      </c>
      <c r="E270" s="34" t="str">
        <f>IFERROR(VLOOKUP($C270,Tabla_Documentos[],3,FALSE),"")</f>
        <v>77313060-4</v>
      </c>
      <c r="F270" s="35" t="str">
        <f>IFERROR(VLOOKUP($C270,Tabla_Documentos[],4,FALSE),"")</f>
        <v>COMERCIAL SERPAN SPA</v>
      </c>
      <c r="G270" s="38">
        <f>IFERROR(VLOOKUP($C270,Tabla_Documentos[],5,FALSE),"")</f>
        <v>17850</v>
      </c>
      <c r="H270" s="29" t="str">
        <f>IFERROR(VLOOKUP($C270,Tabla_Documentos[],6,FALSE),"")</f>
        <v>PUBLICIDAD</v>
      </c>
      <c r="I270" s="38">
        <f>IFERROR(VLOOKUP($C270,Tabla_Documentos[],5,FALSE),"")</f>
        <v>17850</v>
      </c>
      <c r="J270" s="25">
        <v>45842</v>
      </c>
    </row>
    <row r="271" spans="3:10" ht="21" customHeight="1" x14ac:dyDescent="0.25">
      <c r="C271" s="39">
        <v>1166</v>
      </c>
      <c r="D271" s="28">
        <f>IFERROR(VLOOKUP($C271,Tabla_Documentos[],2,FALSE),"")</f>
        <v>45803</v>
      </c>
      <c r="E271" s="34" t="str">
        <f>IFERROR(VLOOKUP($C271,Tabla_Documentos[],3,FALSE),"")</f>
        <v>77313060-4</v>
      </c>
      <c r="F271" s="35" t="str">
        <f>IFERROR(VLOOKUP($C271,Tabla_Documentos[],4,FALSE),"")</f>
        <v>COMERCIAL SERPAN SPA</v>
      </c>
      <c r="G271" s="38">
        <f>IFERROR(VLOOKUP($C271,Tabla_Documentos[],5,FALSE),"")</f>
        <v>17850</v>
      </c>
      <c r="H271" s="29" t="str">
        <f>IFERROR(VLOOKUP($C271,Tabla_Documentos[],6,FALSE),"")</f>
        <v>PUBLICIDAD</v>
      </c>
      <c r="I271" s="38">
        <f>IFERROR(VLOOKUP($C271,Tabla_Documentos[],5,FALSE),"")</f>
        <v>17850</v>
      </c>
      <c r="J271" s="25">
        <v>45842</v>
      </c>
    </row>
    <row r="272" spans="3:10" ht="21" customHeight="1" x14ac:dyDescent="0.25">
      <c r="C272" s="39">
        <v>1167</v>
      </c>
      <c r="D272" s="28">
        <f>IFERROR(VLOOKUP($C272,Tabla_Documentos[],2,FALSE),"")</f>
        <v>45803</v>
      </c>
      <c r="E272" s="34" t="str">
        <f>IFERROR(VLOOKUP($C272,Tabla_Documentos[],3,FALSE),"")</f>
        <v>96774300-3</v>
      </c>
      <c r="F272" s="35" t="str">
        <f>IFERROR(VLOOKUP($C272,Tabla_Documentos[],4,FALSE),"")</f>
        <v>ENORCHILE S.A.</v>
      </c>
      <c r="G272" s="38">
        <f>IFERROR(VLOOKUP($C272,Tabla_Documentos[],5,FALSE),"")</f>
        <v>29750</v>
      </c>
      <c r="H272" s="29" t="str">
        <f>IFERROR(VLOOKUP($C272,Tabla_Documentos[],6,FALSE),"")</f>
        <v>PUBLICIDAD</v>
      </c>
      <c r="I272" s="38">
        <f>IFERROR(VLOOKUP($C272,Tabla_Documentos[],5,FALSE),"")</f>
        <v>29750</v>
      </c>
      <c r="J272" s="25">
        <v>45803</v>
      </c>
    </row>
    <row r="273" spans="3:10" ht="21" customHeight="1" x14ac:dyDescent="0.25">
      <c r="C273" s="39">
        <v>1168</v>
      </c>
      <c r="D273" s="28">
        <f>IFERROR(VLOOKUP($C273,Tabla_Documentos[],2,FALSE),"")</f>
        <v>45803</v>
      </c>
      <c r="E273" s="34" t="str">
        <f>IFERROR(VLOOKUP($C273,Tabla_Documentos[],3,FALSE),"")</f>
        <v>77313060-4</v>
      </c>
      <c r="F273" s="35" t="str">
        <f>IFERROR(VLOOKUP($C273,Tabla_Documentos[],4,FALSE),"")</f>
        <v>COMERCIAL SERPAN SPA</v>
      </c>
      <c r="G273" s="38">
        <f>IFERROR(VLOOKUP($C273,Tabla_Documentos[],5,FALSE),"")</f>
        <v>17850</v>
      </c>
      <c r="H273" s="29" t="str">
        <f>IFERROR(VLOOKUP($C273,Tabla_Documentos[],6,FALSE),"")</f>
        <v>PUBLICIDAD</v>
      </c>
      <c r="I273" s="38">
        <f>IFERROR(VLOOKUP($C273,Tabla_Documentos[],5,FALSE),"")</f>
        <v>17850</v>
      </c>
      <c r="J273" s="25">
        <v>45842</v>
      </c>
    </row>
    <row r="274" spans="3:10" ht="21" customHeight="1" x14ac:dyDescent="0.25">
      <c r="C274" s="39">
        <v>1169</v>
      </c>
      <c r="D274" s="28">
        <f>IFERROR(VLOOKUP($C274,Tabla_Documentos[],2,FALSE),"")</f>
        <v>45803</v>
      </c>
      <c r="E274" s="34" t="str">
        <f>IFERROR(VLOOKUP($C274,Tabla_Documentos[],3,FALSE),"")</f>
        <v>77313060-4</v>
      </c>
      <c r="F274" s="35" t="str">
        <f>IFERROR(VLOOKUP($C274,Tabla_Documentos[],4,FALSE),"")</f>
        <v>COMERCIAL SERPAN SPA</v>
      </c>
      <c r="G274" s="38">
        <f>IFERROR(VLOOKUP($C274,Tabla_Documentos[],5,FALSE),"")</f>
        <v>17850</v>
      </c>
      <c r="H274" s="29" t="str">
        <f>IFERROR(VLOOKUP($C274,Tabla_Documentos[],6,FALSE),"")</f>
        <v>PUBLICIDAD</v>
      </c>
      <c r="I274" s="38">
        <f>IFERROR(VLOOKUP($C274,Tabla_Documentos[],5,FALSE),"")</f>
        <v>17850</v>
      </c>
      <c r="J274" s="25">
        <v>45842</v>
      </c>
    </row>
    <row r="275" spans="3:10" ht="21" customHeight="1" x14ac:dyDescent="0.25">
      <c r="C275" s="39">
        <v>1170</v>
      </c>
      <c r="D275" s="28">
        <f>IFERROR(VLOOKUP($C275,Tabla_Documentos[],2,FALSE),"")</f>
        <v>45803</v>
      </c>
      <c r="E275" s="34" t="str">
        <f>IFERROR(VLOOKUP($C275,Tabla_Documentos[],3,FALSE),"")</f>
        <v>77313060-4</v>
      </c>
      <c r="F275" s="35" t="str">
        <f>IFERROR(VLOOKUP($C275,Tabla_Documentos[],4,FALSE),"")</f>
        <v>COMERCIAL SERPAN SPA</v>
      </c>
      <c r="G275" s="38">
        <f>IFERROR(VLOOKUP($C275,Tabla_Documentos[],5,FALSE),"")</f>
        <v>17850</v>
      </c>
      <c r="H275" s="29" t="str">
        <f>IFERROR(VLOOKUP($C275,Tabla_Documentos[],6,FALSE),"")</f>
        <v>PUBLICIDAD</v>
      </c>
      <c r="I275" s="38">
        <f>IFERROR(VLOOKUP($C275,Tabla_Documentos[],5,FALSE),"")</f>
        <v>17850</v>
      </c>
      <c r="J275" s="25">
        <v>45842</v>
      </c>
    </row>
    <row r="276" spans="3:10" ht="21" customHeight="1" x14ac:dyDescent="0.25">
      <c r="C276" s="39">
        <v>1171</v>
      </c>
      <c r="D276" s="28">
        <f>IFERROR(VLOOKUP($C276,Tabla_Documentos[],2,FALSE),"")</f>
        <v>45803</v>
      </c>
      <c r="E276" s="34" t="str">
        <f>IFERROR(VLOOKUP($C276,Tabla_Documentos[],3,FALSE),"")</f>
        <v>77313060-4</v>
      </c>
      <c r="F276" s="35" t="str">
        <f>IFERROR(VLOOKUP($C276,Tabla_Documentos[],4,FALSE),"")</f>
        <v>COMERCIAL SERPAN SPA</v>
      </c>
      <c r="G276" s="38">
        <f>IFERROR(VLOOKUP($C276,Tabla_Documentos[],5,FALSE),"")</f>
        <v>17850</v>
      </c>
      <c r="H276" s="29" t="str">
        <f>IFERROR(VLOOKUP($C276,Tabla_Documentos[],6,FALSE),"")</f>
        <v>PUBLICIDAD</v>
      </c>
      <c r="I276" s="38">
        <f>IFERROR(VLOOKUP($C276,Tabla_Documentos[],5,FALSE),"")</f>
        <v>17850</v>
      </c>
      <c r="J276" s="25">
        <v>45842</v>
      </c>
    </row>
    <row r="277" spans="3:10" ht="21" customHeight="1" x14ac:dyDescent="0.25">
      <c r="C277" s="39">
        <v>1172</v>
      </c>
      <c r="D277" s="28">
        <f>IFERROR(VLOOKUP($C277,Tabla_Documentos[],2,FALSE),"")</f>
        <v>45803</v>
      </c>
      <c r="E277" s="34" t="str">
        <f>IFERROR(VLOOKUP($C277,Tabla_Documentos[],3,FALSE),"")</f>
        <v>77313060-4</v>
      </c>
      <c r="F277" s="35" t="str">
        <f>IFERROR(VLOOKUP($C277,Tabla_Documentos[],4,FALSE),"")</f>
        <v>COMERCIAL SERPAN SPA</v>
      </c>
      <c r="G277" s="38">
        <f>IFERROR(VLOOKUP($C277,Tabla_Documentos[],5,FALSE),"")</f>
        <v>17850</v>
      </c>
      <c r="H277" s="29" t="str">
        <f>IFERROR(VLOOKUP($C277,Tabla_Documentos[],6,FALSE),"")</f>
        <v>PUBLICIDAD</v>
      </c>
      <c r="I277" s="38">
        <f>IFERROR(VLOOKUP($C277,Tabla_Documentos[],5,FALSE),"")</f>
        <v>17850</v>
      </c>
      <c r="J277" s="25">
        <v>45842</v>
      </c>
    </row>
    <row r="278" spans="3:10" ht="21" customHeight="1" x14ac:dyDescent="0.25">
      <c r="C278" s="39">
        <v>1173</v>
      </c>
      <c r="D278" s="28">
        <f>IFERROR(VLOOKUP($C278,Tabla_Documentos[],2,FALSE),"")</f>
        <v>45803</v>
      </c>
      <c r="E278" s="34" t="str">
        <f>IFERROR(VLOOKUP($C278,Tabla_Documentos[],3,FALSE),"")</f>
        <v>77511008-2</v>
      </c>
      <c r="F278" s="35" t="str">
        <f>IFERROR(VLOOKUP($C278,Tabla_Documentos[],4,FALSE),"")</f>
        <v>MULTISERVICIOS SANABRIA SPA</v>
      </c>
      <c r="G278" s="38">
        <f>IFERROR(VLOOKUP($C278,Tabla_Documentos[],5,FALSE),"")</f>
        <v>109480</v>
      </c>
      <c r="H278" s="29" t="str">
        <f>IFERROR(VLOOKUP($C278,Tabla_Documentos[],6,FALSE),"")</f>
        <v>PUBLICIDAD</v>
      </c>
      <c r="I278" s="38">
        <f>IFERROR(VLOOKUP($C278,Tabla_Documentos[],5,FALSE),"")</f>
        <v>109480</v>
      </c>
      <c r="J278" s="25">
        <v>45803</v>
      </c>
    </row>
    <row r="279" spans="3:10" ht="21" customHeight="1" x14ac:dyDescent="0.25">
      <c r="C279" s="39">
        <v>1174</v>
      </c>
      <c r="D279" s="28">
        <f>IFERROR(VLOOKUP($C279,Tabla_Documentos[],2,FALSE),"")</f>
        <v>45803</v>
      </c>
      <c r="E279" s="34" t="str">
        <f>IFERROR(VLOOKUP($C279,Tabla_Documentos[],3,FALSE),"")</f>
        <v>77313060-4</v>
      </c>
      <c r="F279" s="35" t="str">
        <f>IFERROR(VLOOKUP($C279,Tabla_Documentos[],4,FALSE),"")</f>
        <v>COMERCIAL SERPAN SPA</v>
      </c>
      <c r="G279" s="38">
        <f>IFERROR(VLOOKUP($C279,Tabla_Documentos[],5,FALSE),"")</f>
        <v>17850</v>
      </c>
      <c r="H279" s="29" t="str">
        <f>IFERROR(VLOOKUP($C279,Tabla_Documentos[],6,FALSE),"")</f>
        <v>PUBLICIDAD</v>
      </c>
      <c r="I279" s="38">
        <f>IFERROR(VLOOKUP($C279,Tabla_Documentos[],5,FALSE),"")</f>
        <v>17850</v>
      </c>
      <c r="J279" s="25">
        <v>45842</v>
      </c>
    </row>
    <row r="280" spans="3:10" ht="21" customHeight="1" x14ac:dyDescent="0.25">
      <c r="C280" s="39">
        <v>1175</v>
      </c>
      <c r="D280" s="28">
        <f>IFERROR(VLOOKUP($C280,Tabla_Documentos[],2,FALSE),"")</f>
        <v>45803</v>
      </c>
      <c r="E280" s="34" t="str">
        <f>IFERROR(VLOOKUP($C280,Tabla_Documentos[],3,FALSE),"")</f>
        <v>77313060-4</v>
      </c>
      <c r="F280" s="35" t="str">
        <f>IFERROR(VLOOKUP($C280,Tabla_Documentos[],4,FALSE),"")</f>
        <v>COMERCIAL SERPAN SPA</v>
      </c>
      <c r="G280" s="38">
        <f>IFERROR(VLOOKUP($C280,Tabla_Documentos[],5,FALSE),"")</f>
        <v>17850</v>
      </c>
      <c r="H280" s="29" t="str">
        <f>IFERROR(VLOOKUP($C280,Tabla_Documentos[],6,FALSE),"")</f>
        <v>PUBLICIDAD</v>
      </c>
      <c r="I280" s="38">
        <f>IFERROR(VLOOKUP($C280,Tabla_Documentos[],5,FALSE),"")</f>
        <v>17850</v>
      </c>
      <c r="J280" s="25">
        <v>45842</v>
      </c>
    </row>
    <row r="281" spans="3:10" ht="21" customHeight="1" x14ac:dyDescent="0.25">
      <c r="C281" s="39">
        <v>1176</v>
      </c>
      <c r="D281" s="28">
        <f>IFERROR(VLOOKUP($C281,Tabla_Documentos[],2,FALSE),"")</f>
        <v>45803</v>
      </c>
      <c r="E281" s="34" t="str">
        <f>IFERROR(VLOOKUP($C281,Tabla_Documentos[],3,FALSE),"")</f>
        <v>77313060-4</v>
      </c>
      <c r="F281" s="35" t="str">
        <f>IFERROR(VLOOKUP($C281,Tabla_Documentos[],4,FALSE),"")</f>
        <v>COMERCIAL SERPAN SPA</v>
      </c>
      <c r="G281" s="38">
        <f>IFERROR(VLOOKUP($C281,Tabla_Documentos[],5,FALSE),"")</f>
        <v>17850</v>
      </c>
      <c r="H281" s="29" t="str">
        <f>IFERROR(VLOOKUP($C281,Tabla_Documentos[],6,FALSE),"")</f>
        <v>PUBLICIDAD</v>
      </c>
      <c r="I281" s="38">
        <f>IFERROR(VLOOKUP($C281,Tabla_Documentos[],5,FALSE),"")</f>
        <v>17850</v>
      </c>
      <c r="J281" s="25">
        <v>45842</v>
      </c>
    </row>
    <row r="282" spans="3:10" ht="21" customHeight="1" x14ac:dyDescent="0.25">
      <c r="C282" s="39">
        <v>1177</v>
      </c>
      <c r="D282" s="28">
        <f>IFERROR(VLOOKUP($C282,Tabla_Documentos[],2,FALSE),"")</f>
        <v>45803</v>
      </c>
      <c r="E282" s="34" t="str">
        <f>IFERROR(VLOOKUP($C282,Tabla_Documentos[],3,FALSE),"")</f>
        <v>77313060-4</v>
      </c>
      <c r="F282" s="35" t="str">
        <f>IFERROR(VLOOKUP($C282,Tabla_Documentos[],4,FALSE),"")</f>
        <v>COMERCIAL SERPAN SPA</v>
      </c>
      <c r="G282" s="38">
        <f>IFERROR(VLOOKUP($C282,Tabla_Documentos[],5,FALSE),"")</f>
        <v>17850</v>
      </c>
      <c r="H282" s="29" t="str">
        <f>IFERROR(VLOOKUP($C282,Tabla_Documentos[],6,FALSE),"")</f>
        <v>PUBLICIDAD</v>
      </c>
      <c r="I282" s="38">
        <f>IFERROR(VLOOKUP($C282,Tabla_Documentos[],5,FALSE),"")</f>
        <v>17850</v>
      </c>
      <c r="J282" s="25">
        <v>45842</v>
      </c>
    </row>
    <row r="283" spans="3:10" ht="21" customHeight="1" x14ac:dyDescent="0.25">
      <c r="C283" s="39">
        <v>1178</v>
      </c>
      <c r="D283" s="28">
        <f>IFERROR(VLOOKUP($C283,Tabla_Documentos[],2,FALSE),"")</f>
        <v>45803</v>
      </c>
      <c r="E283" s="34" t="str">
        <f>IFERROR(VLOOKUP($C283,Tabla_Documentos[],3,FALSE),"")</f>
        <v>77313060-4</v>
      </c>
      <c r="F283" s="35" t="str">
        <f>IFERROR(VLOOKUP($C283,Tabla_Documentos[],4,FALSE),"")</f>
        <v>COMERCIAL SERPAN SPA</v>
      </c>
      <c r="G283" s="38">
        <f>IFERROR(VLOOKUP($C283,Tabla_Documentos[],5,FALSE),"")</f>
        <v>17850</v>
      </c>
      <c r="H283" s="29" t="str">
        <f>IFERROR(VLOOKUP($C283,Tabla_Documentos[],6,FALSE),"")</f>
        <v>PUBLICIDAD</v>
      </c>
      <c r="I283" s="38">
        <f>IFERROR(VLOOKUP($C283,Tabla_Documentos[],5,FALSE),"")</f>
        <v>17850</v>
      </c>
      <c r="J283" s="25">
        <v>45842</v>
      </c>
    </row>
    <row r="284" spans="3:10" ht="21" customHeight="1" x14ac:dyDescent="0.25">
      <c r="C284" s="39">
        <v>1179</v>
      </c>
      <c r="D284" s="28">
        <f>IFERROR(VLOOKUP($C284,Tabla_Documentos[],2,FALSE),"")</f>
        <v>45803</v>
      </c>
      <c r="E284" s="34" t="str">
        <f>IFERROR(VLOOKUP($C284,Tabla_Documentos[],3,FALSE),"")</f>
        <v>77313060-4</v>
      </c>
      <c r="F284" s="35" t="str">
        <f>IFERROR(VLOOKUP($C284,Tabla_Documentos[],4,FALSE),"")</f>
        <v>COMERCIAL SERPAN SPA</v>
      </c>
      <c r="G284" s="38">
        <f>IFERROR(VLOOKUP($C284,Tabla_Documentos[],5,FALSE),"")</f>
        <v>11900</v>
      </c>
      <c r="H284" s="29" t="str">
        <f>IFERROR(VLOOKUP($C284,Tabla_Documentos[],6,FALSE),"")</f>
        <v>PUBLICIDAD</v>
      </c>
      <c r="I284" s="38">
        <f>IFERROR(VLOOKUP($C284,Tabla_Documentos[],5,FALSE),"")</f>
        <v>11900</v>
      </c>
      <c r="J284" s="25">
        <v>45842</v>
      </c>
    </row>
    <row r="285" spans="3:10" ht="21" customHeight="1" x14ac:dyDescent="0.25">
      <c r="C285" s="39">
        <v>1180</v>
      </c>
      <c r="D285" s="28">
        <f>IFERROR(VLOOKUP($C285,Tabla_Documentos[],2,FALSE),"")</f>
        <v>45803</v>
      </c>
      <c r="E285" s="34" t="str">
        <f>IFERROR(VLOOKUP($C285,Tabla_Documentos[],3,FALSE),"")</f>
        <v>77313060-4</v>
      </c>
      <c r="F285" s="35" t="str">
        <f>IFERROR(VLOOKUP($C285,Tabla_Documentos[],4,FALSE),"")</f>
        <v>COMERCIAL SERPAN SPA</v>
      </c>
      <c r="G285" s="38">
        <f>IFERROR(VLOOKUP($C285,Tabla_Documentos[],5,FALSE),"")</f>
        <v>11900</v>
      </c>
      <c r="H285" s="29" t="str">
        <f>IFERROR(VLOOKUP($C285,Tabla_Documentos[],6,FALSE),"")</f>
        <v>PUBLICIDAD</v>
      </c>
      <c r="I285" s="38">
        <f>IFERROR(VLOOKUP($C285,Tabla_Documentos[],5,FALSE),"")</f>
        <v>11900</v>
      </c>
      <c r="J285" s="25">
        <v>45842</v>
      </c>
    </row>
    <row r="286" spans="3:10" ht="21" customHeight="1" x14ac:dyDescent="0.25">
      <c r="C286" s="39">
        <v>1181</v>
      </c>
      <c r="D286" s="28">
        <f>IFERROR(VLOOKUP($C286,Tabla_Documentos[],2,FALSE),"")</f>
        <v>45803</v>
      </c>
      <c r="E286" s="34" t="str">
        <f>IFERROR(VLOOKUP($C286,Tabla_Documentos[],3,FALSE),"")</f>
        <v>77313060-4</v>
      </c>
      <c r="F286" s="35" t="str">
        <f>IFERROR(VLOOKUP($C286,Tabla_Documentos[],4,FALSE),"")</f>
        <v>COMERCIAL SERPAN SPA</v>
      </c>
      <c r="G286" s="38">
        <f>IFERROR(VLOOKUP($C286,Tabla_Documentos[],5,FALSE),"")</f>
        <v>11900</v>
      </c>
      <c r="H286" s="29" t="str">
        <f>IFERROR(VLOOKUP($C286,Tabla_Documentos[],6,FALSE),"")</f>
        <v>PUBLICIDAD</v>
      </c>
      <c r="I286" s="38">
        <f>IFERROR(VLOOKUP($C286,Tabla_Documentos[],5,FALSE),"")</f>
        <v>11900</v>
      </c>
      <c r="J286" s="25">
        <v>45842</v>
      </c>
    </row>
    <row r="287" spans="3:10" ht="21" customHeight="1" x14ac:dyDescent="0.25">
      <c r="C287" s="39">
        <v>1182</v>
      </c>
      <c r="D287" s="28">
        <f>IFERROR(VLOOKUP($C287,Tabla_Documentos[],2,FALSE),"")</f>
        <v>45803</v>
      </c>
      <c r="E287" s="34" t="str">
        <f>IFERROR(VLOOKUP($C287,Tabla_Documentos[],3,FALSE),"")</f>
        <v>77313060-4</v>
      </c>
      <c r="F287" s="35" t="str">
        <f>IFERROR(VLOOKUP($C287,Tabla_Documentos[],4,FALSE),"")</f>
        <v>COMERCIAL SERPAN SPA</v>
      </c>
      <c r="G287" s="38">
        <f>IFERROR(VLOOKUP($C287,Tabla_Documentos[],5,FALSE),"")</f>
        <v>11900</v>
      </c>
      <c r="H287" s="29" t="str">
        <f>IFERROR(VLOOKUP($C287,Tabla_Documentos[],6,FALSE),"")</f>
        <v>PUBLICIDAD</v>
      </c>
      <c r="I287" s="38">
        <f>IFERROR(VLOOKUP($C287,Tabla_Documentos[],5,FALSE),"")</f>
        <v>11900</v>
      </c>
      <c r="J287" s="25">
        <v>45842</v>
      </c>
    </row>
    <row r="288" spans="3:10" ht="21" customHeight="1" x14ac:dyDescent="0.25">
      <c r="C288" s="39">
        <v>1183</v>
      </c>
      <c r="D288" s="28">
        <f>IFERROR(VLOOKUP($C288,Tabla_Documentos[],2,FALSE),"")</f>
        <v>45803</v>
      </c>
      <c r="E288" s="34" t="str">
        <f>IFERROR(VLOOKUP($C288,Tabla_Documentos[],3,FALSE),"")</f>
        <v>77313060-4</v>
      </c>
      <c r="F288" s="35" t="str">
        <f>IFERROR(VLOOKUP($C288,Tabla_Documentos[],4,FALSE),"")</f>
        <v>COMERCIAL SERPAN SPA</v>
      </c>
      <c r="G288" s="38">
        <f>IFERROR(VLOOKUP($C288,Tabla_Documentos[],5,FALSE),"")</f>
        <v>11900</v>
      </c>
      <c r="H288" s="29" t="str">
        <f>IFERROR(VLOOKUP($C288,Tabla_Documentos[],6,FALSE),"")</f>
        <v>PUBLICIDAD</v>
      </c>
      <c r="I288" s="38">
        <f>IFERROR(VLOOKUP($C288,Tabla_Documentos[],5,FALSE),"")</f>
        <v>11900</v>
      </c>
      <c r="J288" s="25">
        <v>45842</v>
      </c>
    </row>
    <row r="289" spans="3:10" ht="21" customHeight="1" x14ac:dyDescent="0.25">
      <c r="C289" s="39">
        <v>1184</v>
      </c>
      <c r="D289" s="28">
        <f>IFERROR(VLOOKUP($C289,Tabla_Documentos[],2,FALSE),"")</f>
        <v>45803</v>
      </c>
      <c r="E289" s="34" t="str">
        <f>IFERROR(VLOOKUP($C289,Tabla_Documentos[],3,FALSE),"")</f>
        <v>77313060-4</v>
      </c>
      <c r="F289" s="35" t="str">
        <f>IFERROR(VLOOKUP($C289,Tabla_Documentos[],4,FALSE),"")</f>
        <v>COMERCIAL SERPAN SPA</v>
      </c>
      <c r="G289" s="38">
        <f>IFERROR(VLOOKUP($C289,Tabla_Documentos[],5,FALSE),"")</f>
        <v>17850</v>
      </c>
      <c r="H289" s="29" t="str">
        <f>IFERROR(VLOOKUP($C289,Tabla_Documentos[],6,FALSE),"")</f>
        <v>PUBLICIDAD</v>
      </c>
      <c r="I289" s="38">
        <f>IFERROR(VLOOKUP($C289,Tabla_Documentos[],5,FALSE),"")</f>
        <v>17850</v>
      </c>
      <c r="J289" s="25">
        <v>45842</v>
      </c>
    </row>
    <row r="290" spans="3:10" ht="21" customHeight="1" x14ac:dyDescent="0.25">
      <c r="C290" s="39">
        <v>1185</v>
      </c>
      <c r="D290" s="28">
        <f>IFERROR(VLOOKUP($C290,Tabla_Documentos[],2,FALSE),"")</f>
        <v>45803</v>
      </c>
      <c r="E290" s="34" t="str">
        <f>IFERROR(VLOOKUP($C290,Tabla_Documentos[],3,FALSE),"")</f>
        <v>77313060-4</v>
      </c>
      <c r="F290" s="35" t="str">
        <f>IFERROR(VLOOKUP($C290,Tabla_Documentos[],4,FALSE),"")</f>
        <v>COMERCIAL SERPAN SPA</v>
      </c>
      <c r="G290" s="38">
        <f>IFERROR(VLOOKUP($C290,Tabla_Documentos[],5,FALSE),"")</f>
        <v>17850</v>
      </c>
      <c r="H290" s="29" t="str">
        <f>IFERROR(VLOOKUP($C290,Tabla_Documentos[],6,FALSE),"")</f>
        <v>PUBLICIDAD</v>
      </c>
      <c r="I290" s="38">
        <f>IFERROR(VLOOKUP($C290,Tabla_Documentos[],5,FALSE),"")</f>
        <v>17850</v>
      </c>
      <c r="J290" s="25">
        <v>45842</v>
      </c>
    </row>
    <row r="291" spans="3:10" ht="21" customHeight="1" x14ac:dyDescent="0.25">
      <c r="C291" s="39">
        <v>1186</v>
      </c>
      <c r="D291" s="28">
        <f>IFERROR(VLOOKUP($C291,Tabla_Documentos[],2,FALSE),"")</f>
        <v>45803</v>
      </c>
      <c r="E291" s="34" t="str">
        <f>IFERROR(VLOOKUP($C291,Tabla_Documentos[],3,FALSE),"")</f>
        <v>77313060-4</v>
      </c>
      <c r="F291" s="35" t="str">
        <f>IFERROR(VLOOKUP($C291,Tabla_Documentos[],4,FALSE),"")</f>
        <v>COMERCIAL SERPAN SPA</v>
      </c>
      <c r="G291" s="38">
        <f>IFERROR(VLOOKUP($C291,Tabla_Documentos[],5,FALSE),"")</f>
        <v>17850</v>
      </c>
      <c r="H291" s="29" t="str">
        <f>IFERROR(VLOOKUP($C291,Tabla_Documentos[],6,FALSE),"")</f>
        <v>PUBLICIDAD</v>
      </c>
      <c r="I291" s="38">
        <f>IFERROR(VLOOKUP($C291,Tabla_Documentos[],5,FALSE),"")</f>
        <v>17850</v>
      </c>
      <c r="J291" s="25">
        <v>45842</v>
      </c>
    </row>
    <row r="292" spans="3:10" ht="21" customHeight="1" x14ac:dyDescent="0.25">
      <c r="C292" s="39">
        <v>1187</v>
      </c>
      <c r="D292" s="28">
        <f>IFERROR(VLOOKUP($C292,Tabla_Documentos[],2,FALSE),"")</f>
        <v>45803</v>
      </c>
      <c r="E292" s="34" t="str">
        <f>IFERROR(VLOOKUP($C292,Tabla_Documentos[],3,FALSE),"")</f>
        <v>77313060-4</v>
      </c>
      <c r="F292" s="35" t="str">
        <f>IFERROR(VLOOKUP($C292,Tabla_Documentos[],4,FALSE),"")</f>
        <v>COMERCIAL SERPAN SPA</v>
      </c>
      <c r="G292" s="38">
        <f>IFERROR(VLOOKUP($C292,Tabla_Documentos[],5,FALSE),"")</f>
        <v>17850</v>
      </c>
      <c r="H292" s="29" t="str">
        <f>IFERROR(VLOOKUP($C292,Tabla_Documentos[],6,FALSE),"")</f>
        <v>PUBLICIDAD</v>
      </c>
      <c r="I292" s="38">
        <f>IFERROR(VLOOKUP($C292,Tabla_Documentos[],5,FALSE),"")</f>
        <v>17850</v>
      </c>
      <c r="J292" s="25">
        <v>45842</v>
      </c>
    </row>
    <row r="293" spans="3:10" ht="21" customHeight="1" x14ac:dyDescent="0.25">
      <c r="C293" s="39">
        <v>1188</v>
      </c>
      <c r="D293" s="28">
        <f>IFERROR(VLOOKUP($C293,Tabla_Documentos[],2,FALSE),"")</f>
        <v>45803</v>
      </c>
      <c r="E293" s="34" t="str">
        <f>IFERROR(VLOOKUP($C293,Tabla_Documentos[],3,FALSE),"")</f>
        <v>77313060-4</v>
      </c>
      <c r="F293" s="35" t="str">
        <f>IFERROR(VLOOKUP($C293,Tabla_Documentos[],4,FALSE),"")</f>
        <v>COMERCIAL SERPAN SPA</v>
      </c>
      <c r="G293" s="38">
        <f>IFERROR(VLOOKUP($C293,Tabla_Documentos[],5,FALSE),"")</f>
        <v>17850</v>
      </c>
      <c r="H293" s="29" t="str">
        <f>IFERROR(VLOOKUP($C293,Tabla_Documentos[],6,FALSE),"")</f>
        <v>PUBLICIDAD</v>
      </c>
      <c r="I293" s="38">
        <f>IFERROR(VLOOKUP($C293,Tabla_Documentos[],5,FALSE),"")</f>
        <v>17850</v>
      </c>
      <c r="J293" s="25">
        <v>45842</v>
      </c>
    </row>
    <row r="294" spans="3:10" ht="21" customHeight="1" x14ac:dyDescent="0.25">
      <c r="C294" s="39">
        <v>1189</v>
      </c>
      <c r="D294" s="28">
        <f>IFERROR(VLOOKUP($C294,Tabla_Documentos[],2,FALSE),"")</f>
        <v>45803</v>
      </c>
      <c r="E294" s="34" t="str">
        <f>IFERROR(VLOOKUP($C294,Tabla_Documentos[],3,FALSE),"")</f>
        <v>77313060-4</v>
      </c>
      <c r="F294" s="35" t="str">
        <f>IFERROR(VLOOKUP($C294,Tabla_Documentos[],4,FALSE),"")</f>
        <v>COMERCIAL SERPAN SPA</v>
      </c>
      <c r="G294" s="38">
        <f>IFERROR(VLOOKUP($C294,Tabla_Documentos[],5,FALSE),"")</f>
        <v>17850</v>
      </c>
      <c r="H294" s="29" t="str">
        <f>IFERROR(VLOOKUP($C294,Tabla_Documentos[],6,FALSE),"")</f>
        <v>PUBLICIDAD</v>
      </c>
      <c r="I294" s="38">
        <f>IFERROR(VLOOKUP($C294,Tabla_Documentos[],5,FALSE),"")</f>
        <v>17850</v>
      </c>
      <c r="J294" s="25">
        <v>45842</v>
      </c>
    </row>
    <row r="295" spans="3:10" ht="21" customHeight="1" x14ac:dyDescent="0.25">
      <c r="C295" s="39">
        <v>1190</v>
      </c>
      <c r="D295" s="28">
        <f>IFERROR(VLOOKUP($C295,Tabla_Documentos[],2,FALSE),"")</f>
        <v>45803</v>
      </c>
      <c r="E295" s="34" t="str">
        <f>IFERROR(VLOOKUP($C295,Tabla_Documentos[],3,FALSE),"")</f>
        <v>77313060-4</v>
      </c>
      <c r="F295" s="35" t="str">
        <f>IFERROR(VLOOKUP($C295,Tabla_Documentos[],4,FALSE),"")</f>
        <v>COMERCIAL SERPAN SPA</v>
      </c>
      <c r="G295" s="38">
        <f>IFERROR(VLOOKUP($C295,Tabla_Documentos[],5,FALSE),"")</f>
        <v>17850</v>
      </c>
      <c r="H295" s="29" t="str">
        <f>IFERROR(VLOOKUP($C295,Tabla_Documentos[],6,FALSE),"")</f>
        <v>PUBLICIDAD</v>
      </c>
      <c r="I295" s="38">
        <f>IFERROR(VLOOKUP($C295,Tabla_Documentos[],5,FALSE),"")</f>
        <v>17850</v>
      </c>
      <c r="J295" s="25">
        <v>45842</v>
      </c>
    </row>
    <row r="296" spans="3:10" ht="21" customHeight="1" x14ac:dyDescent="0.25">
      <c r="C296" s="39">
        <v>1191</v>
      </c>
      <c r="D296" s="28">
        <f>IFERROR(VLOOKUP($C296,Tabla_Documentos[],2,FALSE),"")</f>
        <v>45803</v>
      </c>
      <c r="E296" s="34" t="str">
        <f>IFERROR(VLOOKUP($C296,Tabla_Documentos[],3,FALSE),"")</f>
        <v>77313060-4</v>
      </c>
      <c r="F296" s="35" t="str">
        <f>IFERROR(VLOOKUP($C296,Tabla_Documentos[],4,FALSE),"")</f>
        <v>COMERCIAL SERPAN SPA</v>
      </c>
      <c r="G296" s="38">
        <f>IFERROR(VLOOKUP($C296,Tabla_Documentos[],5,FALSE),"")</f>
        <v>17850</v>
      </c>
      <c r="H296" s="29" t="str">
        <f>IFERROR(VLOOKUP($C296,Tabla_Documentos[],6,FALSE),"")</f>
        <v>PUBLICIDAD</v>
      </c>
      <c r="I296" s="38">
        <f>IFERROR(VLOOKUP($C296,Tabla_Documentos[],5,FALSE),"")</f>
        <v>17850</v>
      </c>
      <c r="J296" s="25">
        <v>45842</v>
      </c>
    </row>
    <row r="297" spans="3:10" ht="21" customHeight="1" x14ac:dyDescent="0.25">
      <c r="C297" s="39">
        <v>1192</v>
      </c>
      <c r="D297" s="28">
        <f>IFERROR(VLOOKUP($C297,Tabla_Documentos[],2,FALSE),"")</f>
        <v>45803</v>
      </c>
      <c r="E297" s="34" t="str">
        <f>IFERROR(VLOOKUP($C297,Tabla_Documentos[],3,FALSE),"")</f>
        <v>77313060-4</v>
      </c>
      <c r="F297" s="35" t="str">
        <f>IFERROR(VLOOKUP($C297,Tabla_Documentos[],4,FALSE),"")</f>
        <v>COMERCIAL SERPAN SPA</v>
      </c>
      <c r="G297" s="38">
        <f>IFERROR(VLOOKUP($C297,Tabla_Documentos[],5,FALSE),"")</f>
        <v>17850</v>
      </c>
      <c r="H297" s="29" t="str">
        <f>IFERROR(VLOOKUP($C297,Tabla_Documentos[],6,FALSE),"")</f>
        <v>PUBLICIDAD</v>
      </c>
      <c r="I297" s="38">
        <f>IFERROR(VLOOKUP($C297,Tabla_Documentos[],5,FALSE),"")</f>
        <v>17850</v>
      </c>
      <c r="J297" s="25">
        <v>45842</v>
      </c>
    </row>
    <row r="298" spans="3:10" ht="21" customHeight="1" x14ac:dyDescent="0.25">
      <c r="C298" s="39">
        <v>1193</v>
      </c>
      <c r="D298" s="28">
        <f>IFERROR(VLOOKUP($C298,Tabla_Documentos[],2,FALSE),"")</f>
        <v>45803</v>
      </c>
      <c r="E298" s="34" t="str">
        <f>IFERROR(VLOOKUP($C298,Tabla_Documentos[],3,FALSE),"")</f>
        <v>77313060-4</v>
      </c>
      <c r="F298" s="35" t="str">
        <f>IFERROR(VLOOKUP($C298,Tabla_Documentos[],4,FALSE),"")</f>
        <v>COMERCIAL SERPAN SPA</v>
      </c>
      <c r="G298" s="38">
        <f>IFERROR(VLOOKUP($C298,Tabla_Documentos[],5,FALSE),"")</f>
        <v>17850</v>
      </c>
      <c r="H298" s="29" t="str">
        <f>IFERROR(VLOOKUP($C298,Tabla_Documentos[],6,FALSE),"")</f>
        <v>PUBLICIDAD</v>
      </c>
      <c r="I298" s="38">
        <f>IFERROR(VLOOKUP($C298,Tabla_Documentos[],5,FALSE),"")</f>
        <v>17850</v>
      </c>
      <c r="J298" s="25">
        <v>45842</v>
      </c>
    </row>
    <row r="299" spans="3:10" ht="21" customHeight="1" x14ac:dyDescent="0.25">
      <c r="C299" s="39">
        <v>1194</v>
      </c>
      <c r="D299" s="28">
        <f>IFERROR(VLOOKUP($C299,Tabla_Documentos[],2,FALSE),"")</f>
        <v>45803</v>
      </c>
      <c r="E299" s="34" t="str">
        <f>IFERROR(VLOOKUP($C299,Tabla_Documentos[],3,FALSE),"")</f>
        <v>77313060-4</v>
      </c>
      <c r="F299" s="35" t="str">
        <f>IFERROR(VLOOKUP($C299,Tabla_Documentos[],4,FALSE),"")</f>
        <v>COMERCIAL SERPAN SPA</v>
      </c>
      <c r="G299" s="38">
        <f>IFERROR(VLOOKUP($C299,Tabla_Documentos[],5,FALSE),"")</f>
        <v>17850</v>
      </c>
      <c r="H299" s="29" t="str">
        <f>IFERROR(VLOOKUP($C299,Tabla_Documentos[],6,FALSE),"")</f>
        <v>PUBLICIDAD</v>
      </c>
      <c r="I299" s="38">
        <f>IFERROR(VLOOKUP($C299,Tabla_Documentos[],5,FALSE),"")</f>
        <v>17850</v>
      </c>
      <c r="J299" s="25">
        <v>45842</v>
      </c>
    </row>
    <row r="300" spans="3:10" ht="21" customHeight="1" x14ac:dyDescent="0.25">
      <c r="C300" s="39">
        <v>1195</v>
      </c>
      <c r="D300" s="28">
        <f>IFERROR(VLOOKUP($C300,Tabla_Documentos[],2,FALSE),"")</f>
        <v>45803</v>
      </c>
      <c r="E300" s="34" t="str">
        <f>IFERROR(VLOOKUP($C300,Tabla_Documentos[],3,FALSE),"")</f>
        <v>77313060-4</v>
      </c>
      <c r="F300" s="35" t="str">
        <f>IFERROR(VLOOKUP($C300,Tabla_Documentos[],4,FALSE),"")</f>
        <v>COMERCIAL SERPAN SPA</v>
      </c>
      <c r="G300" s="38">
        <f>IFERROR(VLOOKUP($C300,Tabla_Documentos[],5,FALSE),"")</f>
        <v>17850</v>
      </c>
      <c r="H300" s="29" t="str">
        <f>IFERROR(VLOOKUP($C300,Tabla_Documentos[],6,FALSE),"")</f>
        <v>PUBLICIDAD</v>
      </c>
      <c r="I300" s="38">
        <f>IFERROR(VLOOKUP($C300,Tabla_Documentos[],5,FALSE),"")</f>
        <v>17850</v>
      </c>
      <c r="J300" s="25">
        <v>45842</v>
      </c>
    </row>
    <row r="301" spans="3:10" ht="21" customHeight="1" x14ac:dyDescent="0.25">
      <c r="C301" s="39">
        <v>1196</v>
      </c>
      <c r="D301" s="28">
        <f>IFERROR(VLOOKUP($C301,Tabla_Documentos[],2,FALSE),"")</f>
        <v>45803</v>
      </c>
      <c r="E301" s="34" t="str">
        <f>IFERROR(VLOOKUP($C301,Tabla_Documentos[],3,FALSE),"")</f>
        <v>76250422-7</v>
      </c>
      <c r="F301" s="35" t="str">
        <f>IFERROR(VLOOKUP($C301,Tabla_Documentos[],4,FALSE),"")</f>
        <v>CENTRO DE RECICLAJE DEL NORTE LIMITADA</v>
      </c>
      <c r="G301" s="38">
        <f>IFERROR(VLOOKUP($C301,Tabla_Documentos[],5,FALSE),"")</f>
        <v>214200</v>
      </c>
      <c r="H301" s="29" t="str">
        <f>IFERROR(VLOOKUP($C301,Tabla_Documentos[],6,FALSE),"")</f>
        <v>PUBLICIDAD</v>
      </c>
      <c r="I301" s="38">
        <f>IFERROR(VLOOKUP($C301,Tabla_Documentos[],5,FALSE),"")</f>
        <v>214200</v>
      </c>
      <c r="J301" s="25">
        <v>45834</v>
      </c>
    </row>
    <row r="302" spans="3:10" ht="21" customHeight="1" x14ac:dyDescent="0.25">
      <c r="C302" s="39">
        <v>1197</v>
      </c>
      <c r="D302" s="28">
        <f>IFERROR(VLOOKUP($C302,Tabla_Documentos[],2,FALSE),"")</f>
        <v>45803</v>
      </c>
      <c r="E302" s="34" t="str">
        <f>IFERROR(VLOOKUP($C302,Tabla_Documentos[],3,FALSE),"")</f>
        <v>76250422-7</v>
      </c>
      <c r="F302" s="35" t="str">
        <f>IFERROR(VLOOKUP($C302,Tabla_Documentos[],4,FALSE),"")</f>
        <v>CENTRO DE RECICLAJE DEL NORTE LIMITADA</v>
      </c>
      <c r="G302" s="38">
        <f>IFERROR(VLOOKUP($C302,Tabla_Documentos[],5,FALSE),"")</f>
        <v>844900</v>
      </c>
      <c r="H302" s="29" t="str">
        <f>IFERROR(VLOOKUP($C302,Tabla_Documentos[],6,FALSE),"")</f>
        <v>PUBLICIDAD</v>
      </c>
      <c r="I302" s="38">
        <f>IFERROR(VLOOKUP($C302,Tabla_Documentos[],5,FALSE),"")</f>
        <v>844900</v>
      </c>
      <c r="J302" s="25">
        <v>45834</v>
      </c>
    </row>
    <row r="303" spans="3:10" ht="21" customHeight="1" x14ac:dyDescent="0.25">
      <c r="C303" s="39">
        <v>1198</v>
      </c>
      <c r="D303" s="28">
        <f>IFERROR(VLOOKUP($C303,Tabla_Documentos[],2,FALSE),"")</f>
        <v>45803</v>
      </c>
      <c r="E303" s="34" t="str">
        <f>IFERROR(VLOOKUP($C303,Tabla_Documentos[],3,FALSE),"")</f>
        <v>77028674-3</v>
      </c>
      <c r="F303" s="35" t="str">
        <f>IFERROR(VLOOKUP($C303,Tabla_Documentos[],4,FALSE),"")</f>
        <v>SOCIEDAD COMERCIAL HERMANOS GODOY  ARAYA  SPA</v>
      </c>
      <c r="G303" s="38">
        <f>IFERROR(VLOOKUP($C303,Tabla_Documentos[],5,FALSE),"")</f>
        <v>440300</v>
      </c>
      <c r="H303" s="29" t="str">
        <f>IFERROR(VLOOKUP($C303,Tabla_Documentos[],6,FALSE),"")</f>
        <v>PUBLICIDAD</v>
      </c>
      <c r="I303" s="38">
        <f>IFERROR(VLOOKUP($C303,Tabla_Documentos[],5,FALSE),"")</f>
        <v>440300</v>
      </c>
      <c r="J303" s="25">
        <v>45803</v>
      </c>
    </row>
    <row r="304" spans="3:10" ht="21" customHeight="1" x14ac:dyDescent="0.25">
      <c r="C304" s="39">
        <v>1199</v>
      </c>
      <c r="D304" s="28">
        <f>IFERROR(VLOOKUP($C304,Tabla_Documentos[],2,FALSE),"")</f>
        <v>45803</v>
      </c>
      <c r="E304" s="34" t="str">
        <f>IFERROR(VLOOKUP($C304,Tabla_Documentos[],3,FALSE),"")</f>
        <v>9051431-8</v>
      </c>
      <c r="F304" s="35" t="str">
        <f>IFERROR(VLOOKUP($C304,Tabla_Documentos[],4,FALSE),"")</f>
        <v>RAMON ANGEL RIQUELME OLIVARES</v>
      </c>
      <c r="G304" s="38">
        <f>IFERROR(VLOOKUP($C304,Tabla_Documentos[],5,FALSE),"")</f>
        <v>295358</v>
      </c>
      <c r="H304" s="29" t="str">
        <f>IFERROR(VLOOKUP($C304,Tabla_Documentos[],6,FALSE),"")</f>
        <v>PUBLICIDAD</v>
      </c>
      <c r="I304" s="38">
        <f>IFERROR(VLOOKUP($C304,Tabla_Documentos[],5,FALSE),"")</f>
        <v>295358</v>
      </c>
      <c r="J304" s="25">
        <v>45803</v>
      </c>
    </row>
    <row r="305" spans="3:10" ht="21" customHeight="1" x14ac:dyDescent="0.25">
      <c r="C305" s="39">
        <v>1200</v>
      </c>
      <c r="D305" s="28">
        <f>IFERROR(VLOOKUP($C305,Tabla_Documentos[],2,FALSE),"")</f>
        <v>45803</v>
      </c>
      <c r="E305" s="34" t="str">
        <f>IFERROR(VLOOKUP($C305,Tabla_Documentos[],3,FALSE),"")</f>
        <v>76336122-5</v>
      </c>
      <c r="F305" s="35" t="str">
        <f>IFERROR(VLOOKUP($C305,Tabla_Documentos[],4,FALSE),"")</f>
        <v>INGENIERIA Y SERVICIOS TERRACOP SPA</v>
      </c>
      <c r="G305" s="38">
        <f>IFERROR(VLOOKUP($C305,Tabla_Documentos[],5,FALSE),"")</f>
        <v>214200</v>
      </c>
      <c r="H305" s="29" t="str">
        <f>IFERROR(VLOOKUP($C305,Tabla_Documentos[],6,FALSE),"")</f>
        <v>PUBLICIDAD</v>
      </c>
      <c r="I305" s="38">
        <f>IFERROR(VLOOKUP($C305,Tabla_Documentos[],5,FALSE),"")</f>
        <v>214200</v>
      </c>
      <c r="J305" s="25">
        <v>45807</v>
      </c>
    </row>
    <row r="306" spans="3:10" ht="21" customHeight="1" x14ac:dyDescent="0.25">
      <c r="C306" s="39">
        <v>1202</v>
      </c>
      <c r="D306" s="28">
        <f>IFERROR(VLOOKUP($C306,Tabla_Documentos[],2,FALSE),"")</f>
        <v>45804</v>
      </c>
      <c r="E306" s="34" t="str">
        <f>IFERROR(VLOOKUP($C306,Tabla_Documentos[],3,FALSE),"")</f>
        <v>76586659-6</v>
      </c>
      <c r="F306" s="35" t="str">
        <f>IFERROR(VLOOKUP($C306,Tabla_Documentos[],4,FALSE),"")</f>
        <v>ESPACIO LUAN SPA</v>
      </c>
      <c r="G306" s="38">
        <f>IFERROR(VLOOKUP($C306,Tabla_Documentos[],5,FALSE),"")</f>
        <v>5950</v>
      </c>
      <c r="H306" s="29" t="str">
        <f>IFERROR(VLOOKUP($C306,Tabla_Documentos[],6,FALSE),"")</f>
        <v>PUBLICIDAD</v>
      </c>
      <c r="I306" s="38">
        <f>IFERROR(VLOOKUP($C306,Tabla_Documentos[],5,FALSE),"")</f>
        <v>5950</v>
      </c>
      <c r="J306" s="25">
        <v>45804</v>
      </c>
    </row>
    <row r="307" spans="3:10" ht="21" customHeight="1" x14ac:dyDescent="0.25">
      <c r="C307" s="39">
        <v>1203</v>
      </c>
      <c r="D307" s="28">
        <f>IFERROR(VLOOKUP($C307,Tabla_Documentos[],2,FALSE),"")</f>
        <v>45804</v>
      </c>
      <c r="E307" s="34" t="str">
        <f>IFERROR(VLOOKUP($C307,Tabla_Documentos[],3,FALSE),"")</f>
        <v>78808300-9</v>
      </c>
      <c r="F307" s="35" t="str">
        <f>IFERROR(VLOOKUP($C307,Tabla_Documentos[],4,FALSE),"")</f>
        <v>EDWIN HOLVOET Y COMPANIA LIMITADA</v>
      </c>
      <c r="G307" s="38">
        <f>IFERROR(VLOOKUP($C307,Tabla_Documentos[],5,FALSE),"")</f>
        <v>559300</v>
      </c>
      <c r="H307" s="29" t="str">
        <f>IFERROR(VLOOKUP($C307,Tabla_Documentos[],6,FALSE),"")</f>
        <v>PUBLICIDAD</v>
      </c>
      <c r="I307" s="38">
        <f>IFERROR(VLOOKUP($C307,Tabla_Documentos[],5,FALSE),"")</f>
        <v>559300</v>
      </c>
      <c r="J307" s="25">
        <v>45846</v>
      </c>
    </row>
    <row r="308" spans="3:10" ht="21" customHeight="1" x14ac:dyDescent="0.25">
      <c r="C308" s="39">
        <v>1204</v>
      </c>
      <c r="D308" s="28">
        <f>IFERROR(VLOOKUP($C308,Tabla_Documentos[],2,FALSE),"")</f>
        <v>45804</v>
      </c>
      <c r="E308" s="34" t="str">
        <f>IFERROR(VLOOKUP($C308,Tabla_Documentos[],3,FALSE),"")</f>
        <v>76096151-5</v>
      </c>
      <c r="F308" s="35" t="str">
        <f>IFERROR(VLOOKUP($C308,Tabla_Documentos[],4,FALSE),"")</f>
        <v>JP ELECTRONIC SOCIEDAD ANONIMA</v>
      </c>
      <c r="G308" s="38">
        <f>IFERROR(VLOOKUP($C308,Tabla_Documentos[],5,FALSE),"")</f>
        <v>476000</v>
      </c>
      <c r="H308" s="29" t="str">
        <f>IFERROR(VLOOKUP($C308,Tabla_Documentos[],6,FALSE),"")</f>
        <v>PUBLICIDAD</v>
      </c>
      <c r="I308" s="38">
        <f>IFERROR(VLOOKUP($C308,Tabla_Documentos[],5,FALSE),"")</f>
        <v>476000</v>
      </c>
      <c r="J308" s="25">
        <v>45804</v>
      </c>
    </row>
    <row r="309" spans="3:10" ht="21" customHeight="1" x14ac:dyDescent="0.25">
      <c r="C309" s="39">
        <v>1205</v>
      </c>
      <c r="D309" s="28">
        <f>IFERROR(VLOOKUP($C309,Tabla_Documentos[],2,FALSE),"")</f>
        <v>45804</v>
      </c>
      <c r="E309" s="34" t="str">
        <f>IFERROR(VLOOKUP($C309,Tabla_Documentos[],3,FALSE),"")</f>
        <v>76346498-9</v>
      </c>
      <c r="F309" s="35" t="str">
        <f>IFERROR(VLOOKUP($C309,Tabla_Documentos[],4,FALSE),"")</f>
        <v>CONSTRUCTORA CARLOS ALBERTO ANDRES ALBISTUR REYES E.I.R.L.</v>
      </c>
      <c r="G309" s="38">
        <f>IFERROR(VLOOKUP($C309,Tabla_Documentos[],5,FALSE),"")</f>
        <v>71400</v>
      </c>
      <c r="H309" s="29" t="str">
        <f>IFERROR(VLOOKUP($C309,Tabla_Documentos[],6,FALSE),"")</f>
        <v>PUBLICIDAD</v>
      </c>
      <c r="I309" s="38">
        <f>IFERROR(VLOOKUP($C309,Tabla_Documentos[],5,FALSE),"")</f>
        <v>71400</v>
      </c>
      <c r="J309" s="25">
        <v>45810</v>
      </c>
    </row>
    <row r="310" spans="3:10" ht="21" customHeight="1" x14ac:dyDescent="0.25">
      <c r="C310" s="39">
        <v>1206</v>
      </c>
      <c r="D310" s="28">
        <f>IFERROR(VLOOKUP($C310,Tabla_Documentos[],2,FALSE),"")</f>
        <v>45804</v>
      </c>
      <c r="E310" s="34" t="str">
        <f>IFERROR(VLOOKUP($C310,Tabla_Documentos[],3,FALSE),"")</f>
        <v>76549850-3</v>
      </c>
      <c r="F310" s="35" t="str">
        <f>IFERROR(VLOOKUP($C310,Tabla_Documentos[],4,FALSE),"")</f>
        <v>COMERCIAL ATACAMA TRUCKS PARTS LIMITADA</v>
      </c>
      <c r="G310" s="38">
        <f>IFERROR(VLOOKUP($C310,Tabla_Documentos[],5,FALSE),"")</f>
        <v>53550</v>
      </c>
      <c r="H310" s="29" t="str">
        <f>IFERROR(VLOOKUP($C310,Tabla_Documentos[],6,FALSE),"")</f>
        <v>PUBLICIDAD</v>
      </c>
      <c r="I310" s="38">
        <f>IFERROR(VLOOKUP($C310,Tabla_Documentos[],5,FALSE),"")</f>
        <v>53550</v>
      </c>
      <c r="J310" s="25">
        <v>45804</v>
      </c>
    </row>
    <row r="311" spans="3:10" ht="21" customHeight="1" x14ac:dyDescent="0.25">
      <c r="C311" s="39">
        <v>1207</v>
      </c>
      <c r="D311" s="28">
        <f>IFERROR(VLOOKUP($C311,Tabla_Documentos[],2,FALSE),"")</f>
        <v>45804</v>
      </c>
      <c r="E311" s="34" t="str">
        <f>IFERROR(VLOOKUP($C311,Tabla_Documentos[],3,FALSE),"")</f>
        <v>77067531-6</v>
      </c>
      <c r="F311" s="35" t="str">
        <f>IFERROR(VLOOKUP($C311,Tabla_Documentos[],4,FALSE),"")</f>
        <v>VIDRIERIA Y TRANSPORTES ROX SPA</v>
      </c>
      <c r="G311" s="38">
        <f>IFERROR(VLOOKUP($C311,Tabla_Documentos[],5,FALSE),"")</f>
        <v>178500</v>
      </c>
      <c r="H311" s="29" t="str">
        <f>IFERROR(VLOOKUP($C311,Tabla_Documentos[],6,FALSE),"")</f>
        <v>PUBLICIDAD</v>
      </c>
      <c r="I311" s="38">
        <f>IFERROR(VLOOKUP($C311,Tabla_Documentos[],5,FALSE),"")</f>
        <v>178500</v>
      </c>
      <c r="J311" s="25">
        <v>45804</v>
      </c>
    </row>
    <row r="312" spans="3:10" ht="21" customHeight="1" x14ac:dyDescent="0.25">
      <c r="C312" s="39">
        <v>1208</v>
      </c>
      <c r="D312" s="28">
        <f>IFERROR(VLOOKUP($C312,Tabla_Documentos[],2,FALSE),"")</f>
        <v>45805</v>
      </c>
      <c r="E312" s="34" t="str">
        <f>IFERROR(VLOOKUP($C312,Tabla_Documentos[],3,FALSE),"")</f>
        <v>76523982-6</v>
      </c>
      <c r="F312" s="35" t="str">
        <f>IFERROR(VLOOKUP($C312,Tabla_Documentos[],4,FALSE),"")</f>
        <v>SUDAMERICANA DE GESTION EMPRESARIAL LIMITADA</v>
      </c>
      <c r="G312" s="38">
        <f>IFERROR(VLOOKUP($C312,Tabla_Documentos[],5,FALSE),"")</f>
        <v>23800</v>
      </c>
      <c r="H312" s="29" t="str">
        <f>IFERROR(VLOOKUP($C312,Tabla_Documentos[],6,FALSE),"")</f>
        <v>PUBLICIDAD</v>
      </c>
      <c r="I312" s="38">
        <f>IFERROR(VLOOKUP($C312,Tabla_Documentos[],5,FALSE),"")</f>
        <v>23800</v>
      </c>
      <c r="J312" s="25">
        <v>45805</v>
      </c>
    </row>
    <row r="313" spans="3:10" ht="21" customHeight="1" x14ac:dyDescent="0.25">
      <c r="C313" s="39">
        <v>1209</v>
      </c>
      <c r="D313" s="28">
        <f>IFERROR(VLOOKUP($C313,Tabla_Documentos[],2,FALSE),"")</f>
        <v>45805</v>
      </c>
      <c r="E313" s="34" t="str">
        <f>IFERROR(VLOOKUP($C313,Tabla_Documentos[],3,FALSE),"")</f>
        <v>76574783-K</v>
      </c>
      <c r="F313" s="35" t="str">
        <f>IFERROR(VLOOKUP($C313,Tabla_Documentos[],4,FALSE),"")</f>
        <v>LC GROUP INTERNATIONAL SPA</v>
      </c>
      <c r="G313" s="38">
        <f>IFERROR(VLOOKUP($C313,Tabla_Documentos[],5,FALSE),"")</f>
        <v>399840</v>
      </c>
      <c r="H313" s="29" t="str">
        <f>IFERROR(VLOOKUP($C313,Tabla_Documentos[],6,FALSE),"")</f>
        <v>PUBLICIDAD</v>
      </c>
      <c r="I313" s="38">
        <f>IFERROR(VLOOKUP($C313,Tabla_Documentos[],5,FALSE),"")</f>
        <v>399840</v>
      </c>
      <c r="J313" s="25">
        <v>45806</v>
      </c>
    </row>
    <row r="314" spans="3:10" ht="21" customHeight="1" x14ac:dyDescent="0.25">
      <c r="C314" s="39">
        <v>1210</v>
      </c>
      <c r="D314" s="28">
        <f>IFERROR(VLOOKUP($C314,Tabla_Documentos[],2,FALSE),"")</f>
        <v>45805</v>
      </c>
      <c r="E314" s="34" t="str">
        <f>IFERROR(VLOOKUP($C314,Tabla_Documentos[],3,FALSE),"")</f>
        <v>77313060-4</v>
      </c>
      <c r="F314" s="35" t="str">
        <f>IFERROR(VLOOKUP($C314,Tabla_Documentos[],4,FALSE),"")</f>
        <v>COMERCIAL SERPAN SPA</v>
      </c>
      <c r="G314" s="38">
        <f>IFERROR(VLOOKUP($C314,Tabla_Documentos[],5,FALSE),"")</f>
        <v>11900</v>
      </c>
      <c r="H314" s="29" t="str">
        <f>IFERROR(VLOOKUP($C314,Tabla_Documentos[],6,FALSE),"")</f>
        <v>PUBLICIDAD</v>
      </c>
      <c r="I314" s="38">
        <f>IFERROR(VLOOKUP($C314,Tabla_Documentos[],5,FALSE),"")</f>
        <v>11900</v>
      </c>
      <c r="J314" s="25">
        <v>45847</v>
      </c>
    </row>
    <row r="315" spans="3:10" ht="21" customHeight="1" x14ac:dyDescent="0.25">
      <c r="C315" s="39">
        <v>1211</v>
      </c>
      <c r="D315" s="28">
        <f>IFERROR(VLOOKUP($C315,Tabla_Documentos[],2,FALSE),"")</f>
        <v>45805</v>
      </c>
      <c r="E315" s="34" t="str">
        <f>IFERROR(VLOOKUP($C315,Tabla_Documentos[],3,FALSE),"")</f>
        <v>77313060-4</v>
      </c>
      <c r="F315" s="35" t="str">
        <f>IFERROR(VLOOKUP($C315,Tabla_Documentos[],4,FALSE),"")</f>
        <v>COMERCIAL SERPAN SPA</v>
      </c>
      <c r="G315" s="38">
        <f>IFERROR(VLOOKUP($C315,Tabla_Documentos[],5,FALSE),"")</f>
        <v>11900</v>
      </c>
      <c r="H315" s="29" t="str">
        <f>IFERROR(VLOOKUP($C315,Tabla_Documentos[],6,FALSE),"")</f>
        <v>PUBLICIDAD</v>
      </c>
      <c r="I315" s="38">
        <f>IFERROR(VLOOKUP($C315,Tabla_Documentos[],5,FALSE),"")</f>
        <v>11900</v>
      </c>
      <c r="J315" s="25">
        <v>45842</v>
      </c>
    </row>
    <row r="316" spans="3:10" ht="21" customHeight="1" x14ac:dyDescent="0.25">
      <c r="C316" s="39">
        <v>1212</v>
      </c>
      <c r="D316" s="28">
        <f>IFERROR(VLOOKUP($C316,Tabla_Documentos[],2,FALSE),"")</f>
        <v>45805</v>
      </c>
      <c r="E316" s="34" t="str">
        <f>IFERROR(VLOOKUP($C316,Tabla_Documentos[],3,FALSE),"")</f>
        <v>76686138-5</v>
      </c>
      <c r="F316" s="35" t="str">
        <f>IFERROR(VLOOKUP($C316,Tabla_Documentos[],4,FALSE),"")</f>
        <v>SKC RED SPA</v>
      </c>
      <c r="G316" s="38">
        <f>IFERROR(VLOOKUP($C316,Tabla_Documentos[],5,FALSE),"")</f>
        <v>17850</v>
      </c>
      <c r="H316" s="29" t="str">
        <f>IFERROR(VLOOKUP($C316,Tabla_Documentos[],6,FALSE),"")</f>
        <v>PUBLICIDAD</v>
      </c>
      <c r="I316" s="38">
        <f>IFERROR(VLOOKUP($C316,Tabla_Documentos[],5,FALSE),"")</f>
        <v>17850</v>
      </c>
      <c r="J316" s="25">
        <v>45827</v>
      </c>
    </row>
    <row r="317" spans="3:10" ht="21" customHeight="1" x14ac:dyDescent="0.25">
      <c r="C317" s="39">
        <v>1213</v>
      </c>
      <c r="D317" s="28">
        <f>IFERROR(VLOOKUP($C317,Tabla_Documentos[],2,FALSE),"")</f>
        <v>45806</v>
      </c>
      <c r="E317" s="34" t="str">
        <f>IFERROR(VLOOKUP($C317,Tabla_Documentos[],3,FALSE),"")</f>
        <v>77520219-K</v>
      </c>
      <c r="F317" s="35" t="str">
        <f>IFERROR(VLOOKUP($C317,Tabla_Documentos[],4,FALSE),"")</f>
        <v>AILUV SPA</v>
      </c>
      <c r="G317" s="38">
        <f>IFERROR(VLOOKUP($C317,Tabla_Documentos[],5,FALSE),"")</f>
        <v>20000</v>
      </c>
      <c r="H317" s="29" t="str">
        <f>IFERROR(VLOOKUP($C317,Tabla_Documentos[],6,FALSE),"")</f>
        <v>PUBLICIDAD</v>
      </c>
      <c r="I317" s="38">
        <f>IFERROR(VLOOKUP($C317,Tabla_Documentos[],5,FALSE),"")</f>
        <v>20000</v>
      </c>
      <c r="J317" s="25">
        <v>45806</v>
      </c>
    </row>
    <row r="318" spans="3:10" ht="21" customHeight="1" x14ac:dyDescent="0.25">
      <c r="C318" s="39">
        <v>1214</v>
      </c>
      <c r="D318" s="28">
        <f>IFERROR(VLOOKUP($C318,Tabla_Documentos[],2,FALSE),"")</f>
        <v>45806</v>
      </c>
      <c r="E318" s="34" t="str">
        <f>IFERROR(VLOOKUP($C318,Tabla_Documentos[],3,FALSE),"")</f>
        <v>77313060-4</v>
      </c>
      <c r="F318" s="35" t="str">
        <f>IFERROR(VLOOKUP($C318,Tabla_Documentos[],4,FALSE),"")</f>
        <v>COMERCIAL SERPAN SPA</v>
      </c>
      <c r="G318" s="38">
        <f>IFERROR(VLOOKUP($C318,Tabla_Documentos[],5,FALSE),"")</f>
        <v>11900</v>
      </c>
      <c r="H318" s="29" t="str">
        <f>IFERROR(VLOOKUP($C318,Tabla_Documentos[],6,FALSE),"")</f>
        <v>PUBLICIDAD</v>
      </c>
      <c r="I318" s="38">
        <f>IFERROR(VLOOKUP($C318,Tabla_Documentos[],5,FALSE),"")</f>
        <v>11900</v>
      </c>
      <c r="J318" s="25">
        <v>45842</v>
      </c>
    </row>
    <row r="319" spans="3:10" ht="21" customHeight="1" x14ac:dyDescent="0.25">
      <c r="C319" s="39">
        <v>1215</v>
      </c>
      <c r="D319" s="28">
        <f>IFERROR(VLOOKUP($C319,Tabla_Documentos[],2,FALSE),"")</f>
        <v>45806</v>
      </c>
      <c r="E319" s="34" t="str">
        <f>IFERROR(VLOOKUP($C319,Tabla_Documentos[],3,FALSE),"")</f>
        <v>92475000-6</v>
      </c>
      <c r="F319" s="35" t="str">
        <f>IFERROR(VLOOKUP($C319,Tabla_Documentos[],4,FALSE),"")</f>
        <v>KAUFMANN SA VEHICULOS MOTORIZADOS</v>
      </c>
      <c r="G319" s="38">
        <f>IFERROR(VLOOKUP($C319,Tabla_Documentos[],5,FALSE),"")</f>
        <v>29750</v>
      </c>
      <c r="H319" s="29" t="str">
        <f>IFERROR(VLOOKUP($C319,Tabla_Documentos[],6,FALSE),"")</f>
        <v>PUBLICIDAD</v>
      </c>
      <c r="I319" s="38">
        <f>IFERROR(VLOOKUP($C319,Tabla_Documentos[],5,FALSE),"")</f>
        <v>29750</v>
      </c>
      <c r="J319" s="25">
        <v>45803</v>
      </c>
    </row>
    <row r="320" spans="3:10" ht="21" customHeight="1" x14ac:dyDescent="0.25">
      <c r="C320" s="39">
        <v>1216</v>
      </c>
      <c r="D320" s="28">
        <f>IFERROR(VLOOKUP($C320,Tabla_Documentos[],2,FALSE),"")</f>
        <v>45806</v>
      </c>
      <c r="E320" s="34" t="str">
        <f>IFERROR(VLOOKUP($C320,Tabla_Documentos[],3,FALSE),"")</f>
        <v>76397007-8</v>
      </c>
      <c r="F320" s="35" t="str">
        <f>IFERROR(VLOOKUP($C320,Tabla_Documentos[],4,FALSE),"")</f>
        <v>SERVICIO DE HOSPEDAJE, ALIMENTACIÓN Y OTROS SERVICIOS A LA MINERÍA LOS</v>
      </c>
      <c r="G320" s="38">
        <f>IFERROR(VLOOKUP($C320,Tabla_Documentos[],5,FALSE),"")</f>
        <v>150000</v>
      </c>
      <c r="H320" s="29" t="str">
        <f>IFERROR(VLOOKUP($C320,Tabla_Documentos[],6,FALSE),"")</f>
        <v>PUBLICIDAD</v>
      </c>
      <c r="I320" s="38">
        <f>IFERROR(VLOOKUP($C320,Tabla_Documentos[],5,FALSE),"")</f>
        <v>150000</v>
      </c>
      <c r="J320" s="25">
        <v>45806</v>
      </c>
    </row>
    <row r="321" spans="3:10" ht="21" customHeight="1" x14ac:dyDescent="0.25">
      <c r="C321" s="39">
        <v>1217</v>
      </c>
      <c r="D321" s="28">
        <f>IFERROR(VLOOKUP($C321,Tabla_Documentos[],2,FALSE),"")</f>
        <v>45806</v>
      </c>
      <c r="E321" s="34" t="str">
        <f>IFERROR(VLOOKUP($C321,Tabla_Documentos[],3,FALSE),"")</f>
        <v>78747740-2</v>
      </c>
      <c r="F321" s="35" t="str">
        <f>IFERROR(VLOOKUP($C321,Tabla_Documentos[],4,FALSE),"")</f>
        <v>SERVICIOS INDUSTRIALES WARNER SPA</v>
      </c>
      <c r="G321" s="38">
        <f>IFERROR(VLOOKUP($C321,Tabla_Documentos[],5,FALSE),"")</f>
        <v>761600</v>
      </c>
      <c r="H321" s="29" t="str">
        <f>IFERROR(VLOOKUP($C321,Tabla_Documentos[],6,FALSE),"")</f>
        <v>OBRAS CIVILES</v>
      </c>
      <c r="I321" s="38">
        <f>IFERROR(VLOOKUP($C321,Tabla_Documentos[],5,FALSE),"")</f>
        <v>761600</v>
      </c>
      <c r="J321" s="25">
        <v>45817</v>
      </c>
    </row>
    <row r="322" spans="3:10" ht="21" customHeight="1" x14ac:dyDescent="0.25">
      <c r="C322" s="39">
        <v>1218</v>
      </c>
      <c r="D322" s="28">
        <f>IFERROR(VLOOKUP($C322,Tabla_Documentos[],2,FALSE),"")</f>
        <v>45806</v>
      </c>
      <c r="E322" s="34" t="str">
        <f>IFERROR(VLOOKUP($C322,Tabla_Documentos[],3,FALSE),"")</f>
        <v>76410595-8</v>
      </c>
      <c r="F322" s="35" t="str">
        <f>IFERROR(VLOOKUP($C322,Tabla_Documentos[],4,FALSE),"")</f>
        <v>CROSAN SPA</v>
      </c>
      <c r="G322" s="38">
        <f>IFERROR(VLOOKUP($C322,Tabla_Documentos[],5,FALSE),"")</f>
        <v>1959930</v>
      </c>
      <c r="H322" s="29" t="str">
        <f>IFERROR(VLOOKUP($C322,Tabla_Documentos[],6,FALSE),"")</f>
        <v>PUBLICIDAD</v>
      </c>
      <c r="I322" s="38">
        <f>IFERROR(VLOOKUP($C322,Tabla_Documentos[],5,FALSE),"")</f>
        <v>1959930</v>
      </c>
      <c r="J322" s="25">
        <v>45806</v>
      </c>
    </row>
    <row r="323" spans="3:10" ht="21" customHeight="1" x14ac:dyDescent="0.25">
      <c r="C323" s="39">
        <v>1219</v>
      </c>
      <c r="D323" s="28">
        <f>IFERROR(VLOOKUP($C323,Tabla_Documentos[],2,FALSE),"")</f>
        <v>45806</v>
      </c>
      <c r="E323" s="34" t="str">
        <f>IFERROR(VLOOKUP($C323,Tabla_Documentos[],3,FALSE),"")</f>
        <v>77520219-K</v>
      </c>
      <c r="F323" s="35" t="str">
        <f>IFERROR(VLOOKUP($C323,Tabla_Documentos[],4,FALSE),"")</f>
        <v>AILUV SPA</v>
      </c>
      <c r="G323" s="38">
        <f>IFERROR(VLOOKUP($C323,Tabla_Documentos[],5,FALSE),"")</f>
        <v>130900</v>
      </c>
      <c r="H323" s="29" t="str">
        <f>IFERROR(VLOOKUP($C323,Tabla_Documentos[],6,FALSE),"")</f>
        <v>PUBLICIDAD</v>
      </c>
      <c r="I323" s="38">
        <f>IFERROR(VLOOKUP($C323,Tabla_Documentos[],5,FALSE),"")</f>
        <v>130900</v>
      </c>
      <c r="J323" s="25">
        <v>45806</v>
      </c>
    </row>
    <row r="324" spans="3:10" ht="21" customHeight="1" x14ac:dyDescent="0.25">
      <c r="C324" s="39">
        <v>1220</v>
      </c>
      <c r="D324" s="28">
        <f>IFERROR(VLOOKUP($C324,Tabla_Documentos[],2,FALSE),"")</f>
        <v>45806</v>
      </c>
      <c r="E324" s="34" t="str">
        <f>IFERROR(VLOOKUP($C324,Tabla_Documentos[],3,FALSE),"")</f>
        <v>76897208-7</v>
      </c>
      <c r="F324" s="35" t="str">
        <f>IFERROR(VLOOKUP($C324,Tabla_Documentos[],4,FALSE),"")</f>
        <v>JSTEC SPA</v>
      </c>
      <c r="G324" s="38">
        <f>IFERROR(VLOOKUP($C324,Tabla_Documentos[],5,FALSE),"")</f>
        <v>20000</v>
      </c>
      <c r="H324" s="29" t="str">
        <f>IFERROR(VLOOKUP($C324,Tabla_Documentos[],6,FALSE),"")</f>
        <v>PUBLICIDAD</v>
      </c>
      <c r="I324" s="38">
        <f>IFERROR(VLOOKUP($C324,Tabla_Documentos[],5,FALSE),"")</f>
        <v>20000</v>
      </c>
      <c r="J324" s="25">
        <v>45806</v>
      </c>
    </row>
    <row r="325" spans="3:10" ht="21" customHeight="1" x14ac:dyDescent="0.25">
      <c r="C325" s="39">
        <v>1226</v>
      </c>
      <c r="D325" s="28">
        <f>IFERROR(VLOOKUP($C325,Tabla_Documentos[],2,FALSE),"")</f>
        <v>45807</v>
      </c>
      <c r="E325" s="34" t="str">
        <f>IFERROR(VLOOKUP($C325,Tabla_Documentos[],3,FALSE),"")</f>
        <v>76187388-1</v>
      </c>
      <c r="F325" s="35" t="str">
        <f>IFERROR(VLOOKUP($C325,Tabla_Documentos[],4,FALSE),"")</f>
        <v>NORTENERGY SOCIEDAD POR ACCIONES SPA</v>
      </c>
      <c r="G325" s="38">
        <f>IFERROR(VLOOKUP($C325,Tabla_Documentos[],5,FALSE),"")</f>
        <v>797300</v>
      </c>
      <c r="H325" s="29" t="str">
        <f>IFERROR(VLOOKUP($C325,Tabla_Documentos[],6,FALSE),"")</f>
        <v>PUBLICIDAD</v>
      </c>
      <c r="I325" s="38">
        <f>IFERROR(VLOOKUP($C325,Tabla_Documentos[],5,FALSE),"")</f>
        <v>797300</v>
      </c>
      <c r="J325" s="25">
        <v>45810</v>
      </c>
    </row>
    <row r="326" spans="3:10" ht="21" customHeight="1" x14ac:dyDescent="0.25">
      <c r="C326" s="39">
        <v>1227</v>
      </c>
      <c r="D326" s="28">
        <f>IFERROR(VLOOKUP($C326,Tabla_Documentos[],2,FALSE),"")</f>
        <v>45807</v>
      </c>
      <c r="E326" s="34" t="str">
        <f>IFERROR(VLOOKUP($C326,Tabla_Documentos[],3,FALSE),"")</f>
        <v>77067531-6</v>
      </c>
      <c r="F326" s="35" t="str">
        <f>IFERROR(VLOOKUP($C326,Tabla_Documentos[],4,FALSE),"")</f>
        <v>VIDRIERIA Y TRANSPORTES ROX SPA</v>
      </c>
      <c r="G326" s="38">
        <f>IFERROR(VLOOKUP($C326,Tabla_Documentos[],5,FALSE),"")</f>
        <v>251685</v>
      </c>
      <c r="H326" s="29" t="str">
        <f>IFERROR(VLOOKUP($C326,Tabla_Documentos[],6,FALSE),"")</f>
        <v>PUBLICIDAD</v>
      </c>
      <c r="I326" s="38">
        <f>IFERROR(VLOOKUP($C326,Tabla_Documentos[],5,FALSE),"")</f>
        <v>251685</v>
      </c>
      <c r="J326" s="25">
        <v>45807</v>
      </c>
    </row>
    <row r="327" spans="3:10" ht="21" customHeight="1" x14ac:dyDescent="0.25">
      <c r="C327" s="39">
        <v>1230</v>
      </c>
      <c r="D327" s="28">
        <f>IFERROR(VLOOKUP($C327,Tabla_Documentos[],2,FALSE),"")</f>
        <v>45808</v>
      </c>
      <c r="E327" s="34" t="str">
        <f>IFERROR(VLOOKUP($C327,Tabla_Documentos[],3,FALSE),"")</f>
        <v>76918452-K</v>
      </c>
      <c r="F327" s="35" t="str">
        <f>IFERROR(VLOOKUP($C327,Tabla_Documentos[],4,FALSE),"")</f>
        <v>DIANA ELBECIA FREDES SAEZ SERVICIOS Y VENTAS E.I.R.L.</v>
      </c>
      <c r="G327" s="38">
        <f>IFERROR(VLOOKUP($C327,Tabla_Documentos[],5,FALSE),"")</f>
        <v>71400</v>
      </c>
      <c r="H327" s="29" t="str">
        <f>IFERROR(VLOOKUP($C327,Tabla_Documentos[],6,FALSE),"")</f>
        <v>PUBLICIDAD</v>
      </c>
      <c r="I327" s="38">
        <f>IFERROR(VLOOKUP($C327,Tabla_Documentos[],5,FALSE),"")</f>
        <v>71400</v>
      </c>
      <c r="J327" s="25">
        <v>45808</v>
      </c>
    </row>
    <row r="328" spans="3:10" ht="21" customHeight="1" x14ac:dyDescent="0.25">
      <c r="C328" s="39">
        <v>1231</v>
      </c>
      <c r="D328" s="28">
        <f>IFERROR(VLOOKUP($C328,Tabla_Documentos[],2,FALSE),"")</f>
        <v>45810</v>
      </c>
      <c r="E328" s="34" t="str">
        <f>IFERROR(VLOOKUP($C328,Tabla_Documentos[],3,FALSE),"")</f>
        <v>78029565-1</v>
      </c>
      <c r="F328" s="35" t="str">
        <f>IFERROR(VLOOKUP($C328,Tabla_Documentos[],4,FALSE),"")</f>
        <v>COMERCIAL SAN AGUSTÃN SPA</v>
      </c>
      <c r="G328" s="38">
        <f>IFERROR(VLOOKUP($C328,Tabla_Documentos[],5,FALSE),"")</f>
        <v>80920</v>
      </c>
      <c r="H328" s="29" t="str">
        <f>IFERROR(VLOOKUP($C328,Tabla_Documentos[],6,FALSE),"")</f>
        <v>PUBLICIDAD</v>
      </c>
      <c r="I328" s="38">
        <f>IFERROR(VLOOKUP($C328,Tabla_Documentos[],5,FALSE),"")</f>
        <v>80920</v>
      </c>
      <c r="J328" s="25">
        <v>45810</v>
      </c>
    </row>
    <row r="329" spans="3:10" ht="21" customHeight="1" x14ac:dyDescent="0.25">
      <c r="C329" s="39">
        <v>1232</v>
      </c>
      <c r="D329" s="28">
        <f>IFERROR(VLOOKUP($C329,Tabla_Documentos[],2,FALSE),"")</f>
        <v>45810</v>
      </c>
      <c r="E329" s="34" t="str">
        <f>IFERROR(VLOOKUP($C329,Tabla_Documentos[],3,FALSE),"")</f>
        <v>76493582-9</v>
      </c>
      <c r="F329" s="35" t="str">
        <f>IFERROR(VLOOKUP($C329,Tabla_Documentos[],4,FALSE),"")</f>
        <v>SOCIEDAD DE SERVICIOS INVERSIONES Y COMERCIALIZADORA LEBAKSAF CHILE SP</v>
      </c>
      <c r="G329" s="38">
        <f>IFERROR(VLOOKUP($C329,Tabla_Documentos[],5,FALSE),"")</f>
        <v>15000</v>
      </c>
      <c r="H329" s="29" t="str">
        <f>IFERROR(VLOOKUP($C329,Tabla_Documentos[],6,FALSE),"")</f>
        <v>PUBLICIDAD</v>
      </c>
      <c r="I329" s="38">
        <f>IFERROR(VLOOKUP($C329,Tabla_Documentos[],5,FALSE),"")</f>
        <v>15000</v>
      </c>
      <c r="J329" s="25">
        <v>45810</v>
      </c>
    </row>
    <row r="330" spans="3:10" ht="21" customHeight="1" x14ac:dyDescent="0.25">
      <c r="C330" s="39">
        <v>1233</v>
      </c>
      <c r="D330" s="28">
        <f>IFERROR(VLOOKUP($C330,Tabla_Documentos[],2,FALSE),"")</f>
        <v>45810</v>
      </c>
      <c r="E330" s="34" t="str">
        <f>IFERROR(VLOOKUP($C330,Tabla_Documentos[],3,FALSE),"")</f>
        <v>96792430-K</v>
      </c>
      <c r="F330" s="35" t="str">
        <f>IFERROR(VLOOKUP($C330,Tabla_Documentos[],4,FALSE),"")</f>
        <v>SODIMAC S.A.</v>
      </c>
      <c r="G330" s="38">
        <f>IFERROR(VLOOKUP($C330,Tabla_Documentos[],5,FALSE),"")</f>
        <v>186116</v>
      </c>
      <c r="H330" s="29" t="str">
        <f>IFERROR(VLOOKUP($C330,Tabla_Documentos[],6,FALSE),"")</f>
        <v>BELEN</v>
      </c>
      <c r="I330" s="38">
        <f>IFERROR(VLOOKUP($C330,Tabla_Documentos[],5,FALSE),"")</f>
        <v>186116</v>
      </c>
      <c r="J330" s="25">
        <v>45840</v>
      </c>
    </row>
    <row r="331" spans="3:10" ht="21" customHeight="1" x14ac:dyDescent="0.25">
      <c r="C331" s="39">
        <v>1234</v>
      </c>
      <c r="D331" s="28">
        <f>IFERROR(VLOOKUP($C331,Tabla_Documentos[],2,FALSE),"")</f>
        <v>45810</v>
      </c>
      <c r="E331" s="34" t="str">
        <f>IFERROR(VLOOKUP($C331,Tabla_Documentos[],3,FALSE),"")</f>
        <v>77723189-8</v>
      </c>
      <c r="F331" s="35" t="str">
        <f>IFERROR(VLOOKUP($C331,Tabla_Documentos[],4,FALSE),"")</f>
        <v>SEMINET SPA</v>
      </c>
      <c r="G331" s="38">
        <f>IFERROR(VLOOKUP($C331,Tabla_Documentos[],5,FALSE),"")</f>
        <v>153510</v>
      </c>
      <c r="H331" s="29" t="str">
        <f>IFERROR(VLOOKUP($C331,Tabla_Documentos[],6,FALSE),"")</f>
        <v>BELEN</v>
      </c>
      <c r="I331" s="38">
        <f>IFERROR(VLOOKUP($C331,Tabla_Documentos[],5,FALSE),"")</f>
        <v>153510</v>
      </c>
      <c r="J331" s="25">
        <v>45810</v>
      </c>
    </row>
    <row r="332" spans="3:10" ht="21" customHeight="1" x14ac:dyDescent="0.25">
      <c r="C332" s="39">
        <v>1235</v>
      </c>
      <c r="D332" s="28">
        <f>IFERROR(VLOOKUP($C332,Tabla_Documentos[],2,FALSE),"")</f>
        <v>45810</v>
      </c>
      <c r="E332" s="34" t="str">
        <f>IFERROR(VLOOKUP($C332,Tabla_Documentos[],3,FALSE),"")</f>
        <v>77520219-K</v>
      </c>
      <c r="F332" s="35" t="str">
        <f>IFERROR(VLOOKUP($C332,Tabla_Documentos[],4,FALSE),"")</f>
        <v>AILUV SPA</v>
      </c>
      <c r="G332" s="38">
        <f>IFERROR(VLOOKUP($C332,Tabla_Documentos[],5,FALSE),"")</f>
        <v>321300</v>
      </c>
      <c r="H332" s="29" t="str">
        <f>IFERROR(VLOOKUP($C332,Tabla_Documentos[],6,FALSE),"")</f>
        <v>PUBLICIDAD</v>
      </c>
      <c r="I332" s="38">
        <f>IFERROR(VLOOKUP($C332,Tabla_Documentos[],5,FALSE),"")</f>
        <v>321300</v>
      </c>
      <c r="J332" s="25">
        <v>45810</v>
      </c>
    </row>
    <row r="333" spans="3:10" ht="21" customHeight="1" x14ac:dyDescent="0.25">
      <c r="C333" s="39">
        <v>1236</v>
      </c>
      <c r="D333" s="28">
        <f>IFERROR(VLOOKUP($C333,Tabla_Documentos[],2,FALSE),"")</f>
        <v>45810</v>
      </c>
      <c r="E333" s="34" t="str">
        <f>IFERROR(VLOOKUP($C333,Tabla_Documentos[],3,FALSE),"")</f>
        <v>18218891-3</v>
      </c>
      <c r="F333" s="35" t="str">
        <f>IFERROR(VLOOKUP($C333,Tabla_Documentos[],4,FALSE),"")</f>
        <v>FERNANDO ESTEBAN DIAZ SANQUINETTI</v>
      </c>
      <c r="G333" s="38">
        <f>IFERROR(VLOOKUP($C333,Tabla_Documentos[],5,FALSE),"")</f>
        <v>266560</v>
      </c>
      <c r="H333" s="29" t="str">
        <f>IFERROR(VLOOKUP($C333,Tabla_Documentos[],6,FALSE),"")</f>
        <v>PUBLICIDAD</v>
      </c>
      <c r="I333" s="38">
        <f>IFERROR(VLOOKUP($C333,Tabla_Documentos[],5,FALSE),"")</f>
        <v>266560</v>
      </c>
      <c r="J333" s="25">
        <v>45810</v>
      </c>
    </row>
    <row r="334" spans="3:10" ht="21" customHeight="1" x14ac:dyDescent="0.25">
      <c r="C334" s="39">
        <v>1237</v>
      </c>
      <c r="D334" s="28">
        <f>IFERROR(VLOOKUP($C334,Tabla_Documentos[],2,FALSE),"")</f>
        <v>45811</v>
      </c>
      <c r="E334" s="34" t="str">
        <f>IFERROR(VLOOKUP($C334,Tabla_Documentos[],3,FALSE),"")</f>
        <v>77007600-5</v>
      </c>
      <c r="F334" s="35" t="str">
        <f>IFERROR(VLOOKUP($C334,Tabla_Documentos[],4,FALSE),"")</f>
        <v>ALGORITMOS Y MEDICIONES AMBIENTALES SPA</v>
      </c>
      <c r="G334" s="38">
        <f>IFERROR(VLOOKUP($C334,Tabla_Documentos[],5,FALSE),"")</f>
        <v>40001</v>
      </c>
      <c r="H334" s="29" t="str">
        <f>IFERROR(VLOOKUP($C334,Tabla_Documentos[],6,FALSE),"")</f>
        <v>PUBLICIDAD</v>
      </c>
      <c r="I334" s="38">
        <f>IFERROR(VLOOKUP($C334,Tabla_Documentos[],5,FALSE),"")</f>
        <v>40001</v>
      </c>
      <c r="J334" s="25">
        <v>45811</v>
      </c>
    </row>
    <row r="335" spans="3:10" ht="21" customHeight="1" x14ac:dyDescent="0.25">
      <c r="C335" s="39">
        <v>1238</v>
      </c>
      <c r="D335" s="28">
        <f>IFERROR(VLOOKUP($C335,Tabla_Documentos[],2,FALSE),"")</f>
        <v>45811</v>
      </c>
      <c r="E335" s="34" t="str">
        <f>IFERROR(VLOOKUP($C335,Tabla_Documentos[],3,FALSE),"")</f>
        <v>77398963-K</v>
      </c>
      <c r="F335" s="35" t="str">
        <f>IFERROR(VLOOKUP($C335,Tabla_Documentos[],4,FALSE),"")</f>
        <v>LA OLLA DE TAMY  SPA</v>
      </c>
      <c r="G335" s="38">
        <f>IFERROR(VLOOKUP($C335,Tabla_Documentos[],5,FALSE),"")</f>
        <v>20000</v>
      </c>
      <c r="H335" s="29" t="str">
        <f>IFERROR(VLOOKUP($C335,Tabla_Documentos[],6,FALSE),"")</f>
        <v>PUBLICIDAD</v>
      </c>
      <c r="I335" s="38">
        <f>IFERROR(VLOOKUP($C335,Tabla_Documentos[],5,FALSE),"")</f>
        <v>20000</v>
      </c>
      <c r="J335" s="25">
        <v>45811</v>
      </c>
    </row>
    <row r="336" spans="3:10" ht="21" customHeight="1" x14ac:dyDescent="0.25">
      <c r="C336" s="39">
        <v>1239</v>
      </c>
      <c r="D336" s="28">
        <f>IFERROR(VLOOKUP($C336,Tabla_Documentos[],2,FALSE),"")</f>
        <v>45811</v>
      </c>
      <c r="E336" s="34" t="str">
        <f>IFERROR(VLOOKUP($C336,Tabla_Documentos[],3,FALSE),"")</f>
        <v>11189165-6</v>
      </c>
      <c r="F336" s="35" t="str">
        <f>IFERROR(VLOOKUP($C336,Tabla_Documentos[],4,FALSE),"")</f>
        <v>PATRICIO ORLANDO OSORIO RIVERA</v>
      </c>
      <c r="G336" s="38">
        <f>IFERROR(VLOOKUP($C336,Tabla_Documentos[],5,FALSE),"")</f>
        <v>111399</v>
      </c>
      <c r="H336" s="29" t="str">
        <f>IFERROR(VLOOKUP($C336,Tabla_Documentos[],6,FALSE),"")</f>
        <v>PUBLICIDAD</v>
      </c>
      <c r="I336" s="38">
        <f>IFERROR(VLOOKUP($C336,Tabla_Documentos[],5,FALSE),"")</f>
        <v>111399</v>
      </c>
      <c r="J336" s="25">
        <v>45811</v>
      </c>
    </row>
    <row r="337" spans="3:10" ht="21" customHeight="1" x14ac:dyDescent="0.25">
      <c r="C337" s="39">
        <v>1240</v>
      </c>
      <c r="D337" s="28">
        <f>IFERROR(VLOOKUP($C337,Tabla_Documentos[],2,FALSE),"")</f>
        <v>45811</v>
      </c>
      <c r="E337" s="34" t="str">
        <f>IFERROR(VLOOKUP($C337,Tabla_Documentos[],3,FALSE),"")</f>
        <v>77713103-6</v>
      </c>
      <c r="F337" s="35" t="str">
        <f>IFERROR(VLOOKUP($C337,Tabla_Documentos[],4,FALSE),"")</f>
        <v>MARINA MARKET SPA</v>
      </c>
      <c r="G337" s="38">
        <f>IFERROR(VLOOKUP($C337,Tabla_Documentos[],5,FALSE),"")</f>
        <v>77350</v>
      </c>
      <c r="H337" s="29" t="str">
        <f>IFERROR(VLOOKUP($C337,Tabla_Documentos[],6,FALSE),"")</f>
        <v>PUBLICIDAD</v>
      </c>
      <c r="I337" s="38">
        <f>IFERROR(VLOOKUP($C337,Tabla_Documentos[],5,FALSE),"")</f>
        <v>77350</v>
      </c>
      <c r="J337" s="25">
        <v>45811</v>
      </c>
    </row>
    <row r="338" spans="3:10" ht="21" customHeight="1" x14ac:dyDescent="0.25">
      <c r="C338" s="39">
        <v>1241</v>
      </c>
      <c r="D338" s="28">
        <f>IFERROR(VLOOKUP($C338,Tabla_Documentos[],2,FALSE),"")</f>
        <v>45812</v>
      </c>
      <c r="E338" s="34" t="str">
        <f>IFERROR(VLOOKUP($C338,Tabla_Documentos[],3,FALSE),"")</f>
        <v>76336122-5</v>
      </c>
      <c r="F338" s="35" t="str">
        <f>IFERROR(VLOOKUP($C338,Tabla_Documentos[],4,FALSE),"")</f>
        <v>INGENIERIA Y SERVICIOS TERRACOP SPA</v>
      </c>
      <c r="G338" s="38">
        <f>IFERROR(VLOOKUP($C338,Tabla_Documentos[],5,FALSE),"")</f>
        <v>157675</v>
      </c>
      <c r="H338" s="29" t="str">
        <f>IFERROR(VLOOKUP($C338,Tabla_Documentos[],6,FALSE),"")</f>
        <v>PUBLICIDAD</v>
      </c>
      <c r="I338" s="38">
        <f>IFERROR(VLOOKUP($C338,Tabla_Documentos[],5,FALSE),"")</f>
        <v>157675</v>
      </c>
      <c r="J338" s="25">
        <v>45812</v>
      </c>
    </row>
    <row r="339" spans="3:10" ht="21" customHeight="1" x14ac:dyDescent="0.25">
      <c r="C339" s="39">
        <v>1242</v>
      </c>
      <c r="D339" s="28">
        <f>IFERROR(VLOOKUP($C339,Tabla_Documentos[],2,FALSE),"")</f>
        <v>45812</v>
      </c>
      <c r="E339" s="34" t="str">
        <f>IFERROR(VLOOKUP($C339,Tabla_Documentos[],3,FALSE),"")</f>
        <v>77082646-2</v>
      </c>
      <c r="F339" s="35" t="str">
        <f>IFERROR(VLOOKUP($C339,Tabla_Documentos[],4,FALSE),"")</f>
        <v>SOCIEDAD COMERCIALIZADORA Y DISTRIBUIDORA TRES VALLES SPA</v>
      </c>
      <c r="G339" s="38">
        <f>IFERROR(VLOOKUP($C339,Tabla_Documentos[],5,FALSE),"")</f>
        <v>190400</v>
      </c>
      <c r="H339" s="29" t="str">
        <f>IFERROR(VLOOKUP($C339,Tabla_Documentos[],6,FALSE),"")</f>
        <v>PUBLICIDAD</v>
      </c>
      <c r="I339" s="38">
        <f>IFERROR(VLOOKUP($C339,Tabla_Documentos[],5,FALSE),"")</f>
        <v>190400</v>
      </c>
      <c r="J339" s="25">
        <v>45812</v>
      </c>
    </row>
    <row r="340" spans="3:10" ht="21" customHeight="1" x14ac:dyDescent="0.25">
      <c r="C340" s="39">
        <v>1243</v>
      </c>
      <c r="D340" s="28">
        <f>IFERROR(VLOOKUP($C340,Tabla_Documentos[],2,FALSE),"")</f>
        <v>45812</v>
      </c>
      <c r="E340" s="34" t="str">
        <f>IFERROR(VLOOKUP($C340,Tabla_Documentos[],3,FALSE),"")</f>
        <v>77082646-2</v>
      </c>
      <c r="F340" s="35" t="str">
        <f>IFERROR(VLOOKUP($C340,Tabla_Documentos[],4,FALSE),"")</f>
        <v>SOCIEDAD COMERCIALIZADORA Y DISTRIBUIDORA TRES VALLES SPA</v>
      </c>
      <c r="G340" s="38">
        <f>IFERROR(VLOOKUP($C340,Tabla_Documentos[],5,FALSE),"")</f>
        <v>23800</v>
      </c>
      <c r="H340" s="29" t="str">
        <f>IFERROR(VLOOKUP($C340,Tabla_Documentos[],6,FALSE),"")</f>
        <v>PUBLICIDAD</v>
      </c>
      <c r="I340" s="38">
        <f>IFERROR(VLOOKUP($C340,Tabla_Documentos[],5,FALSE),"")</f>
        <v>23800</v>
      </c>
      <c r="J340" s="25">
        <v>45812</v>
      </c>
    </row>
    <row r="341" spans="3:10" ht="21" customHeight="1" x14ac:dyDescent="0.25">
      <c r="C341" s="39">
        <v>1244</v>
      </c>
      <c r="D341" s="28">
        <f>IFERROR(VLOOKUP($C341,Tabla_Documentos[],2,FALSE),"")</f>
        <v>45813</v>
      </c>
      <c r="E341" s="34" t="str">
        <f>IFERROR(VLOOKUP($C341,Tabla_Documentos[],3,FALSE),"")</f>
        <v>69030200-4</v>
      </c>
      <c r="F341" s="35" t="str">
        <f>IFERROR(VLOOKUP($C341,Tabla_Documentos[],4,FALSE),"")</f>
        <v>I MUNICIPALIDAD DE COPIAPO</v>
      </c>
      <c r="G341" s="38">
        <f>IFERROR(VLOOKUP($C341,Tabla_Documentos[],5,FALSE),"")</f>
        <v>950000</v>
      </c>
      <c r="H341" s="29" t="str">
        <f>IFERROR(VLOOKUP($C341,Tabla_Documentos[],6,FALSE),"")</f>
        <v>PUBLICIDAD</v>
      </c>
      <c r="I341" s="38">
        <f>IFERROR(VLOOKUP($C341,Tabla_Documentos[],5,FALSE),"")</f>
        <v>950000</v>
      </c>
      <c r="J341" s="25">
        <v>45861</v>
      </c>
    </row>
    <row r="342" spans="3:10" ht="21" customHeight="1" x14ac:dyDescent="0.25">
      <c r="C342" s="39">
        <v>1245</v>
      </c>
      <c r="D342" s="28">
        <f>IFERROR(VLOOKUP($C342,Tabla_Documentos[],2,FALSE),"")</f>
        <v>45814</v>
      </c>
      <c r="E342" s="34" t="str">
        <f>IFERROR(VLOOKUP($C342,Tabla_Documentos[],3,FALSE),"")</f>
        <v>76897208-7</v>
      </c>
      <c r="F342" s="35" t="str">
        <f>IFERROR(VLOOKUP($C342,Tabla_Documentos[],4,FALSE),"")</f>
        <v>JSTEC SPA</v>
      </c>
      <c r="G342" s="38">
        <f>IFERROR(VLOOKUP($C342,Tabla_Documentos[],5,FALSE),"")</f>
        <v>64260</v>
      </c>
      <c r="H342" s="29" t="str">
        <f>IFERROR(VLOOKUP($C342,Tabla_Documentos[],6,FALSE),"")</f>
        <v>PUBLICIDAD</v>
      </c>
      <c r="I342" s="38">
        <f>IFERROR(VLOOKUP($C342,Tabla_Documentos[],5,FALSE),"")</f>
        <v>64260</v>
      </c>
      <c r="J342" s="25">
        <v>45814</v>
      </c>
    </row>
    <row r="343" spans="3:10" ht="21" customHeight="1" x14ac:dyDescent="0.25">
      <c r="C343" s="39">
        <v>1246</v>
      </c>
      <c r="D343" s="28">
        <f>IFERROR(VLOOKUP($C343,Tabla_Documentos[],2,FALSE),"")</f>
        <v>45814</v>
      </c>
      <c r="E343" s="34" t="str">
        <f>IFERROR(VLOOKUP($C343,Tabla_Documentos[],3,FALSE),"")</f>
        <v>8834702-1</v>
      </c>
      <c r="F343" s="35" t="str">
        <f>IFERROR(VLOOKUP($C343,Tabla_Documentos[],4,FALSE),"")</f>
        <v>MANUEL ANTONIO ROJAS ORDENES</v>
      </c>
      <c r="G343" s="38">
        <f>IFERROR(VLOOKUP($C343,Tabla_Documentos[],5,FALSE),"")</f>
        <v>47600</v>
      </c>
      <c r="H343" s="29" t="str">
        <f>IFERROR(VLOOKUP($C343,Tabla_Documentos[],6,FALSE),"")</f>
        <v>PUBLICIDAD</v>
      </c>
      <c r="I343" s="38">
        <f>IFERROR(VLOOKUP($C343,Tabla_Documentos[],5,FALSE),"")</f>
        <v>47600</v>
      </c>
      <c r="J343" s="25">
        <v>45814</v>
      </c>
    </row>
    <row r="344" spans="3:10" ht="21" customHeight="1" x14ac:dyDescent="0.25">
      <c r="C344" s="39">
        <v>1247</v>
      </c>
      <c r="D344" s="28">
        <f>IFERROR(VLOOKUP($C344,Tabla_Documentos[],2,FALSE),"")</f>
        <v>45814</v>
      </c>
      <c r="E344" s="34" t="str">
        <f>IFERROR(VLOOKUP($C344,Tabla_Documentos[],3,FALSE),"")</f>
        <v>84060600-7</v>
      </c>
      <c r="F344" s="35" t="str">
        <f>IFERROR(VLOOKUP($C344,Tabla_Documentos[],4,FALSE),"")</f>
        <v>CONSTRUCTORA DE PAVIMENTOS ASFALTICOS BITUMIX S.A</v>
      </c>
      <c r="G344" s="38">
        <f>IFERROR(VLOOKUP($C344,Tabla_Documentos[],5,FALSE),"")</f>
        <v>160650</v>
      </c>
      <c r="H344" s="29" t="str">
        <f>IFERROR(VLOOKUP($C344,Tabla_Documentos[],6,FALSE),"")</f>
        <v>PUBLICIDAD</v>
      </c>
      <c r="I344" s="38">
        <f>IFERROR(VLOOKUP($C344,Tabla_Documentos[],5,FALSE),"")</f>
        <v>160650</v>
      </c>
      <c r="J344" s="25">
        <v>45856</v>
      </c>
    </row>
    <row r="345" spans="3:10" ht="21" customHeight="1" x14ac:dyDescent="0.25">
      <c r="C345" s="39">
        <v>1248</v>
      </c>
      <c r="D345" s="28">
        <f>IFERROR(VLOOKUP($C345,Tabla_Documentos[],2,FALSE),"")</f>
        <v>45814</v>
      </c>
      <c r="E345" s="34" t="str">
        <f>IFERROR(VLOOKUP($C345,Tabla_Documentos[],3,FALSE),"")</f>
        <v>84060600-7</v>
      </c>
      <c r="F345" s="35" t="str">
        <f>IFERROR(VLOOKUP($C345,Tabla_Documentos[],4,FALSE),"")</f>
        <v>CONSTRUCTORA DE PAVIMENTOS ASFALTICOS BITUMIX S.A</v>
      </c>
      <c r="G345" s="38">
        <f>IFERROR(VLOOKUP($C345,Tabla_Documentos[],5,FALSE),"")</f>
        <v>160650</v>
      </c>
      <c r="H345" s="29" t="str">
        <f>IFERROR(VLOOKUP($C345,Tabla_Documentos[],6,FALSE),"")</f>
        <v>PUBLICIDAD</v>
      </c>
      <c r="I345" s="38">
        <f>IFERROR(VLOOKUP($C345,Tabla_Documentos[],5,FALSE),"")</f>
        <v>160650</v>
      </c>
      <c r="J345" s="25">
        <v>45856</v>
      </c>
    </row>
    <row r="346" spans="3:10" ht="21" customHeight="1" x14ac:dyDescent="0.25">
      <c r="C346" s="39">
        <v>1249</v>
      </c>
      <c r="D346" s="28">
        <f>IFERROR(VLOOKUP($C346,Tabla_Documentos[],2,FALSE),"")</f>
        <v>45814</v>
      </c>
      <c r="E346" s="34" t="str">
        <f>IFERROR(VLOOKUP($C346,Tabla_Documentos[],3,FALSE),"")</f>
        <v>76556170-1</v>
      </c>
      <c r="F346" s="35" t="str">
        <f>IFERROR(VLOOKUP($C346,Tabla_Documentos[],4,FALSE),"")</f>
        <v>TEPSAC S.A.</v>
      </c>
      <c r="G346" s="38">
        <f>IFERROR(VLOOKUP($C346,Tabla_Documentos[],5,FALSE),"")</f>
        <v>8000</v>
      </c>
      <c r="H346" s="29" t="str">
        <f>IFERROR(VLOOKUP($C346,Tabla_Documentos[],6,FALSE),"")</f>
        <v>PUBLICIDAD</v>
      </c>
      <c r="I346" s="38">
        <f>IFERROR(VLOOKUP($C346,Tabla_Documentos[],5,FALSE),"")</f>
        <v>8000</v>
      </c>
      <c r="J346" s="25">
        <v>45814</v>
      </c>
    </row>
    <row r="347" spans="3:10" ht="21" customHeight="1" x14ac:dyDescent="0.25">
      <c r="C347" s="39">
        <v>1250</v>
      </c>
      <c r="D347" s="28">
        <f>IFERROR(VLOOKUP($C347,Tabla_Documentos[],2,FALSE),"")</f>
        <v>45814</v>
      </c>
      <c r="E347" s="34" t="str">
        <f>IFERROR(VLOOKUP($C347,Tabla_Documentos[],3,FALSE),"")</f>
        <v>76311879-7</v>
      </c>
      <c r="F347" s="35" t="str">
        <f>IFERROR(VLOOKUP($C347,Tabla_Documentos[],4,FALSE),"")</f>
        <v>SOCIEDAD DE INVERSIONES SAN ALONSO SPA</v>
      </c>
      <c r="G347" s="38">
        <f>IFERROR(VLOOKUP($C347,Tabla_Documentos[],5,FALSE),"")</f>
        <v>150000</v>
      </c>
      <c r="H347" s="29" t="str">
        <f>IFERROR(VLOOKUP($C347,Tabla_Documentos[],6,FALSE),"")</f>
        <v>PUBLICIDAD</v>
      </c>
      <c r="I347" s="38">
        <f>IFERROR(VLOOKUP($C347,Tabla_Documentos[],5,FALSE),"")</f>
        <v>150000</v>
      </c>
      <c r="J347" s="25">
        <v>45814</v>
      </c>
    </row>
    <row r="348" spans="3:10" ht="21" customHeight="1" x14ac:dyDescent="0.25">
      <c r="C348" s="39">
        <v>1251</v>
      </c>
      <c r="D348" s="28">
        <f>IFERROR(VLOOKUP($C348,Tabla_Documentos[],2,FALSE),"")</f>
        <v>45814</v>
      </c>
      <c r="E348" s="34" t="str">
        <f>IFERROR(VLOOKUP($C348,Tabla_Documentos[],3,FALSE),"")</f>
        <v>76336122-5</v>
      </c>
      <c r="F348" s="35" t="str">
        <f>IFERROR(VLOOKUP($C348,Tabla_Documentos[],4,FALSE),"")</f>
        <v>INGENIERIA Y SERVICIOS TERRACOP SPA</v>
      </c>
      <c r="G348" s="38">
        <f>IFERROR(VLOOKUP($C348,Tabla_Documentos[],5,FALSE),"")</f>
        <v>29750</v>
      </c>
      <c r="H348" s="29" t="str">
        <f>IFERROR(VLOOKUP($C348,Tabla_Documentos[],6,FALSE),"")</f>
        <v>PUBLICIDAD</v>
      </c>
      <c r="I348" s="38">
        <f>IFERROR(VLOOKUP($C348,Tabla_Documentos[],5,FALSE),"")</f>
        <v>29750</v>
      </c>
      <c r="J348" s="25">
        <v>45814</v>
      </c>
    </row>
    <row r="349" spans="3:10" ht="21" customHeight="1" x14ac:dyDescent="0.25">
      <c r="C349" s="39">
        <v>1252</v>
      </c>
      <c r="D349" s="28">
        <f>IFERROR(VLOOKUP($C349,Tabla_Documentos[],2,FALSE),"")</f>
        <v>45817</v>
      </c>
      <c r="E349" s="34" t="str">
        <f>IFERROR(VLOOKUP($C349,Tabla_Documentos[],3,FALSE),"")</f>
        <v>76537760-9</v>
      </c>
      <c r="F349" s="35" t="str">
        <f>IFERROR(VLOOKUP($C349,Tabla_Documentos[],4,FALSE),"")</f>
        <v>TECNOLOGIA DE MATERIALES CHILE SOCIEDAD ANONIMA</v>
      </c>
      <c r="G349" s="38">
        <f>IFERROR(VLOOKUP($C349,Tabla_Documentos[],5,FALSE),"")</f>
        <v>5950</v>
      </c>
      <c r="H349" s="29" t="str">
        <f>IFERROR(VLOOKUP($C349,Tabla_Documentos[],6,FALSE),"")</f>
        <v>PUBLICIDAD</v>
      </c>
      <c r="I349" s="38">
        <f>IFERROR(VLOOKUP($C349,Tabla_Documentos[],5,FALSE),"")</f>
        <v>5950</v>
      </c>
      <c r="J349" s="25">
        <v>45817</v>
      </c>
    </row>
    <row r="350" spans="3:10" ht="21" customHeight="1" x14ac:dyDescent="0.25">
      <c r="C350" s="39">
        <v>1253</v>
      </c>
      <c r="D350" s="28">
        <f>IFERROR(VLOOKUP($C350,Tabla_Documentos[],2,FALSE),"")</f>
        <v>45817</v>
      </c>
      <c r="E350" s="34" t="str">
        <f>IFERROR(VLOOKUP($C350,Tabla_Documentos[],3,FALSE),"")</f>
        <v>78557210-6</v>
      </c>
      <c r="F350" s="35" t="str">
        <f>IFERROR(VLOOKUP($C350,Tabla_Documentos[],4,FALSE),"")</f>
        <v>SOC COMERCIAL Y AGRICOLA CARVAJAL Y SALINAS LIMITADA</v>
      </c>
      <c r="G350" s="38">
        <f>IFERROR(VLOOKUP($C350,Tabla_Documentos[],5,FALSE),"")</f>
        <v>20000</v>
      </c>
      <c r="H350" s="29" t="str">
        <f>IFERROR(VLOOKUP($C350,Tabla_Documentos[],6,FALSE),"")</f>
        <v>PUBLICIDAD</v>
      </c>
      <c r="I350" s="38">
        <f>IFERROR(VLOOKUP($C350,Tabla_Documentos[],5,FALSE),"")</f>
        <v>20000</v>
      </c>
      <c r="J350" s="25">
        <v>45817</v>
      </c>
    </row>
    <row r="351" spans="3:10" ht="21" customHeight="1" x14ac:dyDescent="0.25">
      <c r="C351" s="39">
        <v>1254</v>
      </c>
      <c r="D351" s="28">
        <f>IFERROR(VLOOKUP($C351,Tabla_Documentos[],2,FALSE),"")</f>
        <v>45817</v>
      </c>
      <c r="E351" s="34" t="str">
        <f>IFERROR(VLOOKUP($C351,Tabla_Documentos[],3,FALSE),"")</f>
        <v>84060600-7</v>
      </c>
      <c r="F351" s="35" t="str">
        <f>IFERROR(VLOOKUP($C351,Tabla_Documentos[],4,FALSE),"")</f>
        <v>CONSTRUCTORA DE PAVIMENTOS ASFALTICOS BITUMIX S.A</v>
      </c>
      <c r="G351" s="38">
        <f>IFERROR(VLOOKUP($C351,Tabla_Documentos[],5,FALSE),"")</f>
        <v>142800</v>
      </c>
      <c r="H351" s="29" t="str">
        <f>IFERROR(VLOOKUP($C351,Tabla_Documentos[],6,FALSE),"")</f>
        <v>PUBLICIDAD</v>
      </c>
      <c r="I351" s="38">
        <f>IFERROR(VLOOKUP($C351,Tabla_Documentos[],5,FALSE),"")</f>
        <v>142800</v>
      </c>
      <c r="J351" s="25">
        <v>45856</v>
      </c>
    </row>
    <row r="352" spans="3:10" ht="21" customHeight="1" x14ac:dyDescent="0.25">
      <c r="C352" s="39">
        <v>1255</v>
      </c>
      <c r="D352" s="28">
        <f>IFERROR(VLOOKUP($C352,Tabla_Documentos[],2,FALSE),"")</f>
        <v>45818</v>
      </c>
      <c r="E352" s="34" t="str">
        <f>IFERROR(VLOOKUP($C352,Tabla_Documentos[],3,FALSE),"")</f>
        <v>77069564-3</v>
      </c>
      <c r="F352" s="35" t="str">
        <f>IFERROR(VLOOKUP($C352,Tabla_Documentos[],4,FALSE),"")</f>
        <v>COMERCIAL NINA RODRÃGUEZ TOLEDO E.I.R.L.</v>
      </c>
      <c r="G352" s="38">
        <f>IFERROR(VLOOKUP($C352,Tabla_Documentos[],5,FALSE),"")</f>
        <v>20000</v>
      </c>
      <c r="H352" s="29" t="str">
        <f>IFERROR(VLOOKUP($C352,Tabla_Documentos[],6,FALSE),"")</f>
        <v>PUBLICIDAD</v>
      </c>
      <c r="I352" s="38">
        <f>IFERROR(VLOOKUP($C352,Tabla_Documentos[],5,FALSE),"")</f>
        <v>20000</v>
      </c>
      <c r="J352" s="25">
        <v>45818</v>
      </c>
    </row>
    <row r="353" spans="3:10" ht="21" customHeight="1" x14ac:dyDescent="0.25">
      <c r="C353" s="39">
        <v>1256</v>
      </c>
      <c r="D353" s="28">
        <f>IFERROR(VLOOKUP($C353,Tabla_Documentos[],2,FALSE),"")</f>
        <v>45818</v>
      </c>
      <c r="E353" s="34" t="str">
        <f>IFERROR(VLOOKUP($C353,Tabla_Documentos[],3,FALSE),"")</f>
        <v>76686138-5</v>
      </c>
      <c r="F353" s="35" t="str">
        <f>IFERROR(VLOOKUP($C353,Tabla_Documentos[],4,FALSE),"")</f>
        <v>SKC RED SPA</v>
      </c>
      <c r="G353" s="38">
        <f>IFERROR(VLOOKUP($C353,Tabla_Documentos[],5,FALSE),"")</f>
        <v>17850</v>
      </c>
      <c r="H353" s="29" t="str">
        <f>IFERROR(VLOOKUP($C353,Tabla_Documentos[],6,FALSE),"")</f>
        <v>PUBLICIDAD</v>
      </c>
      <c r="I353" s="38">
        <f>IFERROR(VLOOKUP($C353,Tabla_Documentos[],5,FALSE),"")</f>
        <v>17850</v>
      </c>
      <c r="J353" s="25">
        <v>45849</v>
      </c>
    </row>
    <row r="354" spans="3:10" ht="21" customHeight="1" x14ac:dyDescent="0.25">
      <c r="C354" s="39">
        <v>1257</v>
      </c>
      <c r="D354" s="28">
        <f>IFERROR(VLOOKUP($C354,Tabla_Documentos[],2,FALSE),"")</f>
        <v>45818</v>
      </c>
      <c r="E354" s="34" t="str">
        <f>IFERROR(VLOOKUP($C354,Tabla_Documentos[],3,FALSE),"")</f>
        <v>76686138-5</v>
      </c>
      <c r="F354" s="35" t="str">
        <f>IFERROR(VLOOKUP($C354,Tabla_Documentos[],4,FALSE),"")</f>
        <v>SKC RED SPA</v>
      </c>
      <c r="G354" s="38">
        <f>IFERROR(VLOOKUP($C354,Tabla_Documentos[],5,FALSE),"")</f>
        <v>17850</v>
      </c>
      <c r="H354" s="29" t="str">
        <f>IFERROR(VLOOKUP($C354,Tabla_Documentos[],6,FALSE),"")</f>
        <v>PUBLICIDAD</v>
      </c>
      <c r="I354" s="38">
        <f>IFERROR(VLOOKUP($C354,Tabla_Documentos[],5,FALSE),"")</f>
        <v>17850</v>
      </c>
      <c r="J354" s="25">
        <v>45849</v>
      </c>
    </row>
    <row r="355" spans="3:10" ht="21" customHeight="1" x14ac:dyDescent="0.25">
      <c r="C355" s="39">
        <v>1258</v>
      </c>
      <c r="D355" s="28">
        <f>IFERROR(VLOOKUP($C355,Tabla_Documentos[],2,FALSE),"")</f>
        <v>45818</v>
      </c>
      <c r="E355" s="34" t="str">
        <f>IFERROR(VLOOKUP($C355,Tabla_Documentos[],3,FALSE),"")</f>
        <v>76686138-5</v>
      </c>
      <c r="F355" s="35" t="str">
        <f>IFERROR(VLOOKUP($C355,Tabla_Documentos[],4,FALSE),"")</f>
        <v>SKC RED SPA</v>
      </c>
      <c r="G355" s="38">
        <f>IFERROR(VLOOKUP($C355,Tabla_Documentos[],5,FALSE),"")</f>
        <v>17850</v>
      </c>
      <c r="H355" s="29" t="str">
        <f>IFERROR(VLOOKUP($C355,Tabla_Documentos[],6,FALSE),"")</f>
        <v>PUBLICIDAD</v>
      </c>
      <c r="I355" s="38">
        <f>IFERROR(VLOOKUP($C355,Tabla_Documentos[],5,FALSE),"")</f>
        <v>17850</v>
      </c>
      <c r="J355" s="25">
        <v>45849</v>
      </c>
    </row>
    <row r="356" spans="3:10" ht="21" customHeight="1" x14ac:dyDescent="0.25">
      <c r="C356" s="39">
        <v>1259</v>
      </c>
      <c r="D356" s="28">
        <f>IFERROR(VLOOKUP($C356,Tabla_Documentos[],2,FALSE),"")</f>
        <v>45818</v>
      </c>
      <c r="E356" s="34" t="str">
        <f>IFERROR(VLOOKUP($C356,Tabla_Documentos[],3,FALSE),"")</f>
        <v>76686138-5</v>
      </c>
      <c r="F356" s="35" t="str">
        <f>IFERROR(VLOOKUP($C356,Tabla_Documentos[],4,FALSE),"")</f>
        <v>SKC RED SPA</v>
      </c>
      <c r="G356" s="38">
        <f>IFERROR(VLOOKUP($C356,Tabla_Documentos[],5,FALSE),"")</f>
        <v>17850</v>
      </c>
      <c r="H356" s="29" t="str">
        <f>IFERROR(VLOOKUP($C356,Tabla_Documentos[],6,FALSE),"")</f>
        <v>PUBLICIDAD</v>
      </c>
      <c r="I356" s="38">
        <f>IFERROR(VLOOKUP($C356,Tabla_Documentos[],5,FALSE),"")</f>
        <v>17850</v>
      </c>
      <c r="J356" s="25">
        <v>45849</v>
      </c>
    </row>
    <row r="357" spans="3:10" ht="21" customHeight="1" x14ac:dyDescent="0.25">
      <c r="C357" s="39">
        <v>1260</v>
      </c>
      <c r="D357" s="28">
        <f>IFERROR(VLOOKUP($C357,Tabla_Documentos[],2,FALSE),"")</f>
        <v>45818</v>
      </c>
      <c r="E357" s="34" t="str">
        <f>IFERROR(VLOOKUP($C357,Tabla_Documentos[],3,FALSE),"")</f>
        <v>78047391-6</v>
      </c>
      <c r="F357" s="35" t="str">
        <f>IFERROR(VLOOKUP($C357,Tabla_Documentos[],4,FALSE),"")</f>
        <v>TRANSPORTE MARCIA YORDANA CARVAJAL TAPIA E.I.R.L.</v>
      </c>
      <c r="G357" s="38">
        <f>IFERROR(VLOOKUP($C357,Tabla_Documentos[],5,FALSE),"")</f>
        <v>214200</v>
      </c>
      <c r="H357" s="29" t="str">
        <f>IFERROR(VLOOKUP($C357,Tabla_Documentos[],6,FALSE),"")</f>
        <v>PUBLICIDAD</v>
      </c>
      <c r="I357" s="38">
        <f>IFERROR(VLOOKUP($C357,Tabla_Documentos[],5,FALSE),"")</f>
        <v>214200</v>
      </c>
      <c r="J357" s="25">
        <v>45818</v>
      </c>
    </row>
    <row r="358" spans="3:10" ht="21" customHeight="1" x14ac:dyDescent="0.25">
      <c r="C358" s="39">
        <v>1261</v>
      </c>
      <c r="D358" s="28">
        <f>IFERROR(VLOOKUP($C358,Tabla_Documentos[],2,FALSE),"")</f>
        <v>45819</v>
      </c>
      <c r="E358" s="34" t="str">
        <f>IFERROR(VLOOKUP($C358,Tabla_Documentos[],3,FALSE),"")</f>
        <v>76548223-2</v>
      </c>
      <c r="F358" s="35" t="str">
        <f>IFERROR(VLOOKUP($C358,Tabla_Documentos[],4,FALSE),"")</f>
        <v>INGEGROUP INGENIERIA  SPA</v>
      </c>
      <c r="G358" s="38">
        <f>IFERROR(VLOOKUP($C358,Tabla_Documentos[],5,FALSE),"")</f>
        <v>80920</v>
      </c>
      <c r="H358" s="29" t="str">
        <f>IFERROR(VLOOKUP($C358,Tabla_Documentos[],6,FALSE),"")</f>
        <v>PUBLICIDAD</v>
      </c>
      <c r="I358" s="38">
        <f>IFERROR(VLOOKUP($C358,Tabla_Documentos[],5,FALSE),"")</f>
        <v>80920</v>
      </c>
      <c r="J358" s="25">
        <v>45819</v>
      </c>
    </row>
    <row r="359" spans="3:10" ht="21" customHeight="1" x14ac:dyDescent="0.25">
      <c r="C359" s="39">
        <v>1262</v>
      </c>
      <c r="D359" s="28">
        <f>IFERROR(VLOOKUP($C359,Tabla_Documentos[],2,FALSE),"")</f>
        <v>45819</v>
      </c>
      <c r="E359" s="34" t="str">
        <f>IFERROR(VLOOKUP($C359,Tabla_Documentos[],3,FALSE),"")</f>
        <v>76081327-3</v>
      </c>
      <c r="F359" s="35" t="str">
        <f>IFERROR(VLOOKUP($C359,Tabla_Documentos[],4,FALSE),"")</f>
        <v>VALLES DEL NORTE S.A.</v>
      </c>
      <c r="G359" s="38">
        <f>IFERROR(VLOOKUP($C359,Tabla_Documentos[],5,FALSE),"")</f>
        <v>50000</v>
      </c>
      <c r="H359" s="29" t="str">
        <f>IFERROR(VLOOKUP($C359,Tabla_Documentos[],6,FALSE),"")</f>
        <v>PUBLICIDAD</v>
      </c>
      <c r="I359" s="38">
        <f>IFERROR(VLOOKUP($C359,Tabla_Documentos[],5,FALSE),"")</f>
        <v>50000</v>
      </c>
      <c r="J359" s="25">
        <v>45819</v>
      </c>
    </row>
    <row r="360" spans="3:10" ht="21" customHeight="1" x14ac:dyDescent="0.25">
      <c r="C360" s="39">
        <v>1263</v>
      </c>
      <c r="D360" s="28">
        <f>IFERROR(VLOOKUP($C360,Tabla_Documentos[],2,FALSE),"")</f>
        <v>45819</v>
      </c>
      <c r="E360" s="34" t="str">
        <f>IFERROR(VLOOKUP($C360,Tabla_Documentos[],3,FALSE),"")</f>
        <v>78747740-2</v>
      </c>
      <c r="F360" s="35" t="str">
        <f>IFERROR(VLOOKUP($C360,Tabla_Documentos[],4,FALSE),"")</f>
        <v>SERVICIOS INDUSTRIALES WARNER SPA</v>
      </c>
      <c r="G360" s="38">
        <f>IFERROR(VLOOKUP($C360,Tabla_Documentos[],5,FALSE),"")</f>
        <v>476000</v>
      </c>
      <c r="H360" s="29" t="str">
        <f>IFERROR(VLOOKUP($C360,Tabla_Documentos[],6,FALSE),"")</f>
        <v>OBRAS CIVILES</v>
      </c>
      <c r="I360" s="38">
        <f>IFERROR(VLOOKUP($C360,Tabla_Documentos[],5,FALSE),"")</f>
        <v>476000</v>
      </c>
      <c r="J360" s="25">
        <v>45852</v>
      </c>
    </row>
    <row r="361" spans="3:10" ht="21" customHeight="1" x14ac:dyDescent="0.25">
      <c r="C361" s="39">
        <v>1264</v>
      </c>
      <c r="D361" s="28">
        <f>IFERROR(VLOOKUP($C361,Tabla_Documentos[],2,FALSE),"")</f>
        <v>45820</v>
      </c>
      <c r="E361" s="34" t="str">
        <f>IFERROR(VLOOKUP($C361,Tabla_Documentos[],3,FALSE),"")</f>
        <v>76881519-4</v>
      </c>
      <c r="F361" s="35" t="str">
        <f>IFERROR(VLOOKUP($C361,Tabla_Documentos[],4,FALSE),"")</f>
        <v>CENTRO DE MANTENIMIENTO AUTOMOTRIZ Y MAQUINARIA SPA</v>
      </c>
      <c r="G361" s="38">
        <f>IFERROR(VLOOKUP($C361,Tabla_Documentos[],5,FALSE),"")</f>
        <v>890834</v>
      </c>
      <c r="H361" s="29" t="str">
        <f>IFERROR(VLOOKUP($C361,Tabla_Documentos[],6,FALSE),"")</f>
        <v>PUBLICIDAD</v>
      </c>
      <c r="I361" s="38">
        <f>IFERROR(VLOOKUP($C361,Tabla_Documentos[],5,FALSE),"")</f>
        <v>890834</v>
      </c>
      <c r="J361" s="25">
        <v>45820</v>
      </c>
    </row>
    <row r="362" spans="3:10" ht="21" customHeight="1" x14ac:dyDescent="0.25">
      <c r="C362" s="39">
        <v>1265</v>
      </c>
      <c r="D362" s="28">
        <f>IFERROR(VLOOKUP($C362,Tabla_Documentos[],2,FALSE),"")</f>
        <v>45820</v>
      </c>
      <c r="E362" s="34" t="str">
        <f>IFERROR(VLOOKUP($C362,Tabla_Documentos[],3,FALSE),"")</f>
        <v>76219811-8</v>
      </c>
      <c r="F362" s="35" t="str">
        <f>IFERROR(VLOOKUP($C362,Tabla_Documentos[],4,FALSE),"")</f>
        <v>COMERCIAL BOREAL SPA</v>
      </c>
      <c r="G362" s="38">
        <f>IFERROR(VLOOKUP($C362,Tabla_Documentos[],5,FALSE),"")</f>
        <v>135660</v>
      </c>
      <c r="H362" s="29" t="str">
        <f>IFERROR(VLOOKUP($C362,Tabla_Documentos[],6,FALSE),"")</f>
        <v>PUBLICIDAD</v>
      </c>
      <c r="I362" s="38">
        <f>IFERROR(VLOOKUP($C362,Tabla_Documentos[],5,FALSE),"")</f>
        <v>135660</v>
      </c>
      <c r="J362" s="25">
        <v>45820</v>
      </c>
    </row>
    <row r="363" spans="3:10" ht="21" customHeight="1" x14ac:dyDescent="0.25">
      <c r="C363" s="39">
        <v>1266</v>
      </c>
      <c r="D363" s="28">
        <f>IFERROR(VLOOKUP($C363,Tabla_Documentos[],2,FALSE),"")</f>
        <v>45821</v>
      </c>
      <c r="E363" s="34" t="str">
        <f>IFERROR(VLOOKUP($C363,Tabla_Documentos[],3,FALSE),"")</f>
        <v>76920615-9</v>
      </c>
      <c r="F363" s="35" t="str">
        <f>IFERROR(VLOOKUP($C363,Tabla_Documentos[],4,FALSE),"")</f>
        <v>SOCIEDAD COMERCIAL RODRIGO URBANO SPA</v>
      </c>
      <c r="G363" s="38">
        <f>IFERROR(VLOOKUP($C363,Tabla_Documentos[],5,FALSE),"")</f>
        <v>11900</v>
      </c>
      <c r="H363" s="29" t="str">
        <f>IFERROR(VLOOKUP($C363,Tabla_Documentos[],6,FALSE),"")</f>
        <v>PUBLICIDAD</v>
      </c>
      <c r="I363" s="38">
        <f>IFERROR(VLOOKUP($C363,Tabla_Documentos[],5,FALSE),"")</f>
        <v>11900</v>
      </c>
      <c r="J363" s="25">
        <v>45821</v>
      </c>
    </row>
    <row r="364" spans="3:10" ht="21" customHeight="1" x14ac:dyDescent="0.25">
      <c r="C364" s="39">
        <v>1267</v>
      </c>
      <c r="D364" s="28">
        <f>IFERROR(VLOOKUP($C364,Tabla_Documentos[],2,FALSE),"")</f>
        <v>45821</v>
      </c>
      <c r="E364" s="34" t="str">
        <f>IFERROR(VLOOKUP($C364,Tabla_Documentos[],3,FALSE),"")</f>
        <v>76808242-1</v>
      </c>
      <c r="F364" s="35" t="str">
        <f>IFERROR(VLOOKUP($C364,Tabla_Documentos[],4,FALSE),"")</f>
        <v>TRANSNORTE SPA</v>
      </c>
      <c r="G364" s="38">
        <f>IFERROR(VLOOKUP($C364,Tabla_Documentos[],5,FALSE),"")</f>
        <v>487900</v>
      </c>
      <c r="H364" s="29" t="str">
        <f>IFERROR(VLOOKUP($C364,Tabla_Documentos[],6,FALSE),"")</f>
        <v>PUBLICIDAD</v>
      </c>
      <c r="I364" s="38">
        <f>IFERROR(VLOOKUP($C364,Tabla_Documentos[],5,FALSE),"")</f>
        <v>487900</v>
      </c>
      <c r="J364" s="25">
        <v>45842</v>
      </c>
    </row>
    <row r="365" spans="3:10" ht="21" customHeight="1" x14ac:dyDescent="0.25">
      <c r="C365" s="39">
        <v>1268</v>
      </c>
      <c r="D365" s="28">
        <f>IFERROR(VLOOKUP($C365,Tabla_Documentos[],2,FALSE),"")</f>
        <v>45821</v>
      </c>
      <c r="E365" s="34" t="str">
        <f>IFERROR(VLOOKUP($C365,Tabla_Documentos[],3,FALSE),"")</f>
        <v>76336122-5</v>
      </c>
      <c r="F365" s="35" t="str">
        <f>IFERROR(VLOOKUP($C365,Tabla_Documentos[],4,FALSE),"")</f>
        <v>INGENIERIA Y SERVICIOS TERRACOP SPA</v>
      </c>
      <c r="G365" s="38">
        <f>IFERROR(VLOOKUP($C365,Tabla_Documentos[],5,FALSE),"")</f>
        <v>374850</v>
      </c>
      <c r="H365" s="29" t="str">
        <f>IFERROR(VLOOKUP($C365,Tabla_Documentos[],6,FALSE),"")</f>
        <v>PUBLICIDAD</v>
      </c>
      <c r="I365" s="38">
        <f>IFERROR(VLOOKUP($C365,Tabla_Documentos[],5,FALSE),"")</f>
        <v>374850</v>
      </c>
      <c r="J365" s="25">
        <v>45821</v>
      </c>
    </row>
    <row r="366" spans="3:10" ht="21" customHeight="1" x14ac:dyDescent="0.25">
      <c r="C366" s="39">
        <v>1269</v>
      </c>
      <c r="D366" s="28">
        <f>IFERROR(VLOOKUP($C366,Tabla_Documentos[],2,FALSE),"")</f>
        <v>45821</v>
      </c>
      <c r="E366" s="34" t="str">
        <f>IFERROR(VLOOKUP($C366,Tabla_Documentos[],3,FALSE),"")</f>
        <v>76881519-4</v>
      </c>
      <c r="F366" s="35" t="str">
        <f>IFERROR(VLOOKUP($C366,Tabla_Documentos[],4,FALSE),"")</f>
        <v>CENTRO DE MANTENIMIENTO AUTOMOTRIZ Y MAQUINARIA SPA</v>
      </c>
      <c r="G366" s="38">
        <f>IFERROR(VLOOKUP($C366,Tabla_Documentos[],5,FALSE),"")</f>
        <v>819434</v>
      </c>
      <c r="H366" s="29" t="str">
        <f>IFERROR(VLOOKUP($C366,Tabla_Documentos[],6,FALSE),"")</f>
        <v>PUBLICIDAD</v>
      </c>
      <c r="I366" s="38">
        <f>IFERROR(VLOOKUP($C366,Tabla_Documentos[],5,FALSE),"")</f>
        <v>819434</v>
      </c>
      <c r="J366" s="25">
        <v>45842</v>
      </c>
    </row>
    <row r="367" spans="3:10" ht="21" customHeight="1" x14ac:dyDescent="0.25">
      <c r="C367" s="39">
        <v>1272</v>
      </c>
      <c r="D367" s="28">
        <f>IFERROR(VLOOKUP($C367,Tabla_Documentos[],2,FALSE),"")</f>
        <v>45822</v>
      </c>
      <c r="E367" s="34" t="str">
        <f>IFERROR(VLOOKUP($C367,Tabla_Documentos[],3,FALSE),"")</f>
        <v>77661099-2</v>
      </c>
      <c r="F367" s="35" t="str">
        <f>IFERROR(VLOOKUP($C367,Tabla_Documentos[],4,FALSE),"")</f>
        <v>DISTRIBUIDORA Y COMERCIALIZADORA DE PRODUCTOS CONGELADOS VICTOR MANUEL</v>
      </c>
      <c r="G367" s="38">
        <f>IFERROR(VLOOKUP($C367,Tabla_Documentos[],5,FALSE),"")</f>
        <v>17850</v>
      </c>
      <c r="H367" s="29" t="str">
        <f>IFERROR(VLOOKUP($C367,Tabla_Documentos[],6,FALSE),"")</f>
        <v>PUBLICIDAD</v>
      </c>
      <c r="I367" s="38">
        <f>IFERROR(VLOOKUP($C367,Tabla_Documentos[],5,FALSE),"")</f>
        <v>17850</v>
      </c>
      <c r="J367" s="25">
        <v>45822</v>
      </c>
    </row>
    <row r="368" spans="3:10" ht="21" customHeight="1" x14ac:dyDescent="0.25">
      <c r="C368" s="39">
        <v>1273</v>
      </c>
      <c r="D368" s="28">
        <f>IFERROR(VLOOKUP($C368,Tabla_Documentos[],2,FALSE),"")</f>
        <v>45825</v>
      </c>
      <c r="E368" s="34" t="str">
        <f>IFERROR(VLOOKUP($C368,Tabla_Documentos[],3,FALSE),"")</f>
        <v>76244049-0</v>
      </c>
      <c r="F368" s="35" t="str">
        <f>IFERROR(VLOOKUP($C368,Tabla_Documentos[],4,FALSE),"")</f>
        <v>PRO DRILLING S.A.</v>
      </c>
      <c r="G368" s="38">
        <f>IFERROR(VLOOKUP($C368,Tabla_Documentos[],5,FALSE),"")</f>
        <v>47600</v>
      </c>
      <c r="H368" s="29" t="str">
        <f>IFERROR(VLOOKUP($C368,Tabla_Documentos[],6,FALSE),"")</f>
        <v>PUBLICIDAD</v>
      </c>
      <c r="I368" s="38">
        <f>IFERROR(VLOOKUP($C368,Tabla_Documentos[],5,FALSE),"")</f>
        <v>47600</v>
      </c>
      <c r="J368" s="25">
        <v>45825</v>
      </c>
    </row>
    <row r="369" spans="3:10" ht="21" customHeight="1" x14ac:dyDescent="0.25">
      <c r="C369" s="39">
        <v>1274</v>
      </c>
      <c r="D369" s="28">
        <f>IFERROR(VLOOKUP($C369,Tabla_Documentos[],2,FALSE),"")</f>
        <v>45825</v>
      </c>
      <c r="E369" s="34" t="str">
        <f>IFERROR(VLOOKUP($C369,Tabla_Documentos[],3,FALSE),"")</f>
        <v>77313060-4</v>
      </c>
      <c r="F369" s="35" t="str">
        <f>IFERROR(VLOOKUP($C369,Tabla_Documentos[],4,FALSE),"")</f>
        <v>COMERCIAL SERPAN SPA</v>
      </c>
      <c r="G369" s="38">
        <f>IFERROR(VLOOKUP($C369,Tabla_Documentos[],5,FALSE),"")</f>
        <v>11900</v>
      </c>
      <c r="H369" s="29" t="str">
        <f>IFERROR(VLOOKUP($C369,Tabla_Documentos[],6,FALSE),"")</f>
        <v>PUBLICIDAD</v>
      </c>
      <c r="I369" s="38">
        <f>IFERROR(VLOOKUP($C369,Tabla_Documentos[],5,FALSE),"")</f>
        <v>11900</v>
      </c>
      <c r="J369" s="25">
        <v>45862</v>
      </c>
    </row>
    <row r="370" spans="3:10" ht="21" customHeight="1" x14ac:dyDescent="0.25">
      <c r="C370" s="39">
        <v>1275</v>
      </c>
      <c r="D370" s="28">
        <f>IFERROR(VLOOKUP($C370,Tabla_Documentos[],2,FALSE),"")</f>
        <v>45825</v>
      </c>
      <c r="E370" s="34" t="str">
        <f>IFERROR(VLOOKUP($C370,Tabla_Documentos[],3,FALSE),"")</f>
        <v>78152611-8</v>
      </c>
      <c r="F370" s="35" t="str">
        <f>IFERROR(VLOOKUP($C370,Tabla_Documentos[],4,FALSE),"")</f>
        <v>TRANSPORTES Y ARRIENDOS VM LIMITADA</v>
      </c>
      <c r="G370" s="38">
        <f>IFERROR(VLOOKUP($C370,Tabla_Documentos[],5,FALSE),"")</f>
        <v>409360</v>
      </c>
      <c r="H370" s="29" t="str">
        <f>IFERROR(VLOOKUP($C370,Tabla_Documentos[],6,FALSE),"")</f>
        <v>PUBLICIDAD</v>
      </c>
      <c r="I370" s="38">
        <f>IFERROR(VLOOKUP($C370,Tabla_Documentos[],5,FALSE),"")</f>
        <v>409360</v>
      </c>
      <c r="J370" s="25">
        <v>45825</v>
      </c>
    </row>
    <row r="371" spans="3:10" ht="21" customHeight="1" x14ac:dyDescent="0.25">
      <c r="C371" s="39">
        <v>1276</v>
      </c>
      <c r="D371" s="28">
        <f>IFERROR(VLOOKUP($C371,Tabla_Documentos[],2,FALSE),"")</f>
        <v>45825</v>
      </c>
      <c r="E371" s="34" t="str">
        <f>IFERROR(VLOOKUP($C371,Tabla_Documentos[],3,FALSE),"")</f>
        <v>77984044-1</v>
      </c>
      <c r="F371" s="35" t="str">
        <f>IFERROR(VLOOKUP($C371,Tabla_Documentos[],4,FALSE),"")</f>
        <v>AS PROTECCION SPA</v>
      </c>
      <c r="G371" s="38">
        <f>IFERROR(VLOOKUP($C371,Tabla_Documentos[],5,FALSE),"")</f>
        <v>261800</v>
      </c>
      <c r="H371" s="29" t="str">
        <f>IFERROR(VLOOKUP($C371,Tabla_Documentos[],6,FALSE),"")</f>
        <v>PUBLICIDAD</v>
      </c>
      <c r="I371" s="38">
        <f>IFERROR(VLOOKUP($C371,Tabla_Documentos[],5,FALSE),"")</f>
        <v>261800</v>
      </c>
      <c r="J371" s="25">
        <v>45825</v>
      </c>
    </row>
    <row r="372" spans="3:10" ht="21" customHeight="1" x14ac:dyDescent="0.25">
      <c r="C372" s="39">
        <v>1277</v>
      </c>
      <c r="D372" s="28">
        <f>IFERROR(VLOOKUP($C372,Tabla_Documentos[],2,FALSE),"")</f>
        <v>45826</v>
      </c>
      <c r="E372" s="34" t="str">
        <f>IFERROR(VLOOKUP($C372,Tabla_Documentos[],3,FALSE),"")</f>
        <v>77080879-0</v>
      </c>
      <c r="F372" s="35" t="str">
        <f>IFERROR(VLOOKUP($C372,Tabla_Documentos[],4,FALSE),"")</f>
        <v>INVERSIONES VIALUM SPA</v>
      </c>
      <c r="G372" s="38">
        <f>IFERROR(VLOOKUP($C372,Tabla_Documentos[],5,FALSE),"")</f>
        <v>19201</v>
      </c>
      <c r="H372" s="29" t="str">
        <f>IFERROR(VLOOKUP($C372,Tabla_Documentos[],6,FALSE),"")</f>
        <v>PUBLICIDAD</v>
      </c>
      <c r="I372" s="38">
        <f>IFERROR(VLOOKUP($C372,Tabla_Documentos[],5,FALSE),"")</f>
        <v>19201</v>
      </c>
      <c r="J372" s="25">
        <v>45826</v>
      </c>
    </row>
    <row r="373" spans="3:10" ht="21" customHeight="1" x14ac:dyDescent="0.25">
      <c r="C373" s="39">
        <v>1278</v>
      </c>
      <c r="D373" s="28">
        <f>IFERROR(VLOOKUP($C373,Tabla_Documentos[],2,FALSE),"")</f>
        <v>45826</v>
      </c>
      <c r="E373" s="34" t="str">
        <f>IFERROR(VLOOKUP($C373,Tabla_Documentos[],3,FALSE),"")</f>
        <v>10549624-9</v>
      </c>
      <c r="F373" s="35" t="str">
        <f>IFERROR(VLOOKUP($C373,Tabla_Documentos[],4,FALSE),"")</f>
        <v>ANA SOLEDAD ALFARO ALCOTA</v>
      </c>
      <c r="G373" s="38">
        <f>IFERROR(VLOOKUP($C373,Tabla_Documentos[],5,FALSE),"")</f>
        <v>40001</v>
      </c>
      <c r="H373" s="29" t="str">
        <f>IFERROR(VLOOKUP($C373,Tabla_Documentos[],6,FALSE),"")</f>
        <v>PUBLICIDAD</v>
      </c>
      <c r="I373" s="38">
        <f>IFERROR(VLOOKUP($C373,Tabla_Documentos[],5,FALSE),"")</f>
        <v>40001</v>
      </c>
      <c r="J373" s="25">
        <v>45826</v>
      </c>
    </row>
    <row r="374" spans="3:10" ht="21" customHeight="1" x14ac:dyDescent="0.25">
      <c r="C374" s="39">
        <v>1279</v>
      </c>
      <c r="D374" s="28">
        <f>IFERROR(VLOOKUP($C374,Tabla_Documentos[],2,FALSE),"")</f>
        <v>45827</v>
      </c>
      <c r="E374" s="34" t="str">
        <f>IFERROR(VLOOKUP($C374,Tabla_Documentos[],3,FALSE),"")</f>
        <v>76057911-4</v>
      </c>
      <c r="F374" s="35" t="str">
        <f>IFERROR(VLOOKUP($C374,Tabla_Documentos[],4,FALSE),"")</f>
        <v>INVERSIONES CORTES BUSTOS LIMITADA</v>
      </c>
      <c r="G374" s="38">
        <f>IFERROR(VLOOKUP($C374,Tabla_Documentos[],5,FALSE),"")</f>
        <v>545020</v>
      </c>
      <c r="H374" s="29" t="str">
        <f>IFERROR(VLOOKUP($C374,Tabla_Documentos[],6,FALSE),"")</f>
        <v>PUBLICIDAD</v>
      </c>
      <c r="I374" s="38">
        <f>IFERROR(VLOOKUP($C374,Tabla_Documentos[],5,FALSE),"")</f>
        <v>545020</v>
      </c>
      <c r="J374" s="25">
        <v>45827</v>
      </c>
    </row>
    <row r="375" spans="3:10" ht="21" customHeight="1" x14ac:dyDescent="0.25">
      <c r="C375" s="39">
        <v>1280</v>
      </c>
      <c r="D375" s="28">
        <f>IFERROR(VLOOKUP($C375,Tabla_Documentos[],2,FALSE),"")</f>
        <v>45827</v>
      </c>
      <c r="E375" s="34" t="str">
        <f>IFERROR(VLOOKUP($C375,Tabla_Documentos[],3,FALSE),"")</f>
        <v>76244049-0</v>
      </c>
      <c r="F375" s="35" t="str">
        <f>IFERROR(VLOOKUP($C375,Tabla_Documentos[],4,FALSE),"")</f>
        <v>PRO DRILLING S.A.</v>
      </c>
      <c r="G375" s="38">
        <f>IFERROR(VLOOKUP($C375,Tabla_Documentos[],5,FALSE),"")</f>
        <v>47600</v>
      </c>
      <c r="H375" s="29" t="str">
        <f>IFERROR(VLOOKUP($C375,Tabla_Documentos[],6,FALSE),"")</f>
        <v>PUBLICIDAD</v>
      </c>
      <c r="I375" s="38">
        <f>IFERROR(VLOOKUP($C375,Tabla_Documentos[],5,FALSE),"")</f>
        <v>47600</v>
      </c>
      <c r="J375" s="25">
        <v>45827</v>
      </c>
    </row>
    <row r="376" spans="3:10" ht="21" customHeight="1" x14ac:dyDescent="0.25">
      <c r="C376" s="39">
        <v>1281</v>
      </c>
      <c r="D376" s="28">
        <f>IFERROR(VLOOKUP($C376,Tabla_Documentos[],2,FALSE),"")</f>
        <v>45827</v>
      </c>
      <c r="E376" s="34" t="str">
        <f>IFERROR(VLOOKUP($C376,Tabla_Documentos[],3,FALSE),"")</f>
        <v>77082646-2</v>
      </c>
      <c r="F376" s="35" t="str">
        <f>IFERROR(VLOOKUP($C376,Tabla_Documentos[],4,FALSE),"")</f>
        <v>SOCIEDAD COMERCIALIZADORA Y DISTRIBUIDORA TRES VALLES SPA</v>
      </c>
      <c r="G376" s="38">
        <f>IFERROR(VLOOKUP($C376,Tabla_Documentos[],5,FALSE),"")</f>
        <v>55001</v>
      </c>
      <c r="H376" s="29" t="str">
        <f>IFERROR(VLOOKUP($C376,Tabla_Documentos[],6,FALSE),"")</f>
        <v>PUBLICIDAD</v>
      </c>
      <c r="I376" s="38">
        <f>IFERROR(VLOOKUP($C376,Tabla_Documentos[],5,FALSE),"")</f>
        <v>55001</v>
      </c>
      <c r="J376" s="25">
        <v>45827</v>
      </c>
    </row>
    <row r="377" spans="3:10" ht="21" customHeight="1" x14ac:dyDescent="0.25">
      <c r="C377" s="39">
        <v>1282</v>
      </c>
      <c r="D377" s="28">
        <f>IFERROR(VLOOKUP($C377,Tabla_Documentos[],2,FALSE),"")</f>
        <v>45828</v>
      </c>
      <c r="E377" s="34" t="str">
        <f>IFERROR(VLOOKUP($C377,Tabla_Documentos[],3,FALSE),"")</f>
        <v>77511008-2</v>
      </c>
      <c r="F377" s="35" t="str">
        <f>IFERROR(VLOOKUP($C377,Tabla_Documentos[],4,FALSE),"")</f>
        <v>MULTISERVICIOS SANABRIA SPA</v>
      </c>
      <c r="G377" s="38">
        <f>IFERROR(VLOOKUP($C377,Tabla_Documentos[],5,FALSE),"")</f>
        <v>71400</v>
      </c>
      <c r="H377" s="29" t="str">
        <f>IFERROR(VLOOKUP($C377,Tabla_Documentos[],6,FALSE),"")</f>
        <v>PUBLICIDAD</v>
      </c>
      <c r="I377" s="38">
        <f>IFERROR(VLOOKUP($C377,Tabla_Documentos[],5,FALSE),"")</f>
        <v>71400</v>
      </c>
      <c r="J377" s="25">
        <v>45828</v>
      </c>
    </row>
    <row r="378" spans="3:10" ht="21" customHeight="1" x14ac:dyDescent="0.25">
      <c r="C378" s="39">
        <v>1283</v>
      </c>
      <c r="D378" s="28">
        <f>IFERROR(VLOOKUP($C378,Tabla_Documentos[],2,FALSE),"")</f>
        <v>45828</v>
      </c>
      <c r="E378" s="34" t="str">
        <f>IFERROR(VLOOKUP($C378,Tabla_Documentos[],3,FALSE),"")</f>
        <v>77511008-2</v>
      </c>
      <c r="F378" s="35" t="str">
        <f>IFERROR(VLOOKUP($C378,Tabla_Documentos[],4,FALSE),"")</f>
        <v>MULTISERVICIOS SANABRIA SPA</v>
      </c>
      <c r="G378" s="38">
        <f>IFERROR(VLOOKUP($C378,Tabla_Documentos[],5,FALSE),"")</f>
        <v>71400</v>
      </c>
      <c r="H378" s="29" t="str">
        <f>IFERROR(VLOOKUP($C378,Tabla_Documentos[],6,FALSE),"")</f>
        <v>PUBLICIDAD</v>
      </c>
      <c r="I378" s="38">
        <f>IFERROR(VLOOKUP($C378,Tabla_Documentos[],5,FALSE),"")</f>
        <v>71400</v>
      </c>
      <c r="J378" s="25">
        <v>45828</v>
      </c>
    </row>
    <row r="379" spans="3:10" ht="21" customHeight="1" x14ac:dyDescent="0.25">
      <c r="C379" s="39">
        <v>1284</v>
      </c>
      <c r="D379" s="28">
        <f>IFERROR(VLOOKUP($C379,Tabla_Documentos[],2,FALSE),"")</f>
        <v>45831</v>
      </c>
      <c r="E379" s="34" t="str">
        <f>IFERROR(VLOOKUP($C379,Tabla_Documentos[],3,FALSE),"")</f>
        <v>76068932-7</v>
      </c>
      <c r="F379" s="35" t="str">
        <f>IFERROR(VLOOKUP($C379,Tabla_Documentos[],4,FALSE),"")</f>
        <v>MINERA SAN FIERRO CHILE LIMITADA</v>
      </c>
      <c r="G379" s="38">
        <f>IFERROR(VLOOKUP($C379,Tabla_Documentos[],5,FALSE),"")</f>
        <v>20000</v>
      </c>
      <c r="H379" s="29" t="str">
        <f>IFERROR(VLOOKUP($C379,Tabla_Documentos[],6,FALSE),"")</f>
        <v>PUBLICIDAD</v>
      </c>
      <c r="I379" s="38">
        <f>IFERROR(VLOOKUP($C379,Tabla_Documentos[],5,FALSE),"")</f>
        <v>20000</v>
      </c>
      <c r="J379" s="25">
        <v>45831</v>
      </c>
    </row>
    <row r="380" spans="3:10" ht="21" customHeight="1" x14ac:dyDescent="0.25">
      <c r="C380" s="39">
        <v>1285</v>
      </c>
      <c r="D380" s="28">
        <f>IFERROR(VLOOKUP($C380,Tabla_Documentos[],2,FALSE),"")</f>
        <v>45831</v>
      </c>
      <c r="E380" s="34" t="str">
        <f>IFERROR(VLOOKUP($C380,Tabla_Documentos[],3,FALSE),"")</f>
        <v>76068932-7</v>
      </c>
      <c r="F380" s="35" t="str">
        <f>IFERROR(VLOOKUP($C380,Tabla_Documentos[],4,FALSE),"")</f>
        <v>MINERA SAN FIERRO CHILE LIMITADA</v>
      </c>
      <c r="G380" s="38">
        <f>IFERROR(VLOOKUP($C380,Tabla_Documentos[],5,FALSE),"")</f>
        <v>15000</v>
      </c>
      <c r="H380" s="29" t="str">
        <f>IFERROR(VLOOKUP($C380,Tabla_Documentos[],6,FALSE),"")</f>
        <v>PUBLICIDAD</v>
      </c>
      <c r="I380" s="38">
        <f>IFERROR(VLOOKUP($C380,Tabla_Documentos[],5,FALSE),"")</f>
        <v>15000</v>
      </c>
      <c r="J380" s="25">
        <v>45831</v>
      </c>
    </row>
    <row r="381" spans="3:10" ht="21" customHeight="1" x14ac:dyDescent="0.25">
      <c r="C381" s="39">
        <v>1286</v>
      </c>
      <c r="D381" s="28">
        <f>IFERROR(VLOOKUP($C381,Tabla_Documentos[],2,FALSE),"")</f>
        <v>45831</v>
      </c>
      <c r="E381" s="34" t="str">
        <f>IFERROR(VLOOKUP($C381,Tabla_Documentos[],3,FALSE),"")</f>
        <v>76478614-9</v>
      </c>
      <c r="F381" s="35" t="str">
        <f>IFERROR(VLOOKUP($C381,Tabla_Documentos[],4,FALSE),"")</f>
        <v>INGENIERIA C Y G LIMITADA</v>
      </c>
      <c r="G381" s="38">
        <f>IFERROR(VLOOKUP($C381,Tabla_Documentos[],5,FALSE),"")</f>
        <v>243950</v>
      </c>
      <c r="H381" s="29" t="str">
        <f>IFERROR(VLOOKUP($C381,Tabla_Documentos[],6,FALSE),"")</f>
        <v>PUBLICIDAD</v>
      </c>
      <c r="I381" s="38">
        <f>IFERROR(VLOOKUP($C381,Tabla_Documentos[],5,FALSE),"")</f>
        <v>243950</v>
      </c>
      <c r="J381" s="25">
        <v>45831</v>
      </c>
    </row>
    <row r="382" spans="3:10" ht="21" customHeight="1" x14ac:dyDescent="0.25">
      <c r="C382" s="39">
        <v>1287</v>
      </c>
      <c r="D382" s="28">
        <f>IFERROR(VLOOKUP($C382,Tabla_Documentos[],2,FALSE),"")</f>
        <v>45831</v>
      </c>
      <c r="E382" s="34" t="str">
        <f>IFERROR(VLOOKUP($C382,Tabla_Documentos[],3,FALSE),"")</f>
        <v>76881519-4</v>
      </c>
      <c r="F382" s="35" t="str">
        <f>IFERROR(VLOOKUP($C382,Tabla_Documentos[],4,FALSE),"")</f>
        <v>CENTRO DE MANTENIMIENTO AUTOMOTRIZ Y MAQUINARIA SPA</v>
      </c>
      <c r="G382" s="38">
        <f>IFERROR(VLOOKUP($C382,Tabla_Documentos[],5,FALSE),"")</f>
        <v>226100</v>
      </c>
      <c r="H382" s="29" t="str">
        <f>IFERROR(VLOOKUP($C382,Tabla_Documentos[],6,FALSE),"")</f>
        <v>PUBLICIDAD</v>
      </c>
      <c r="I382" s="38">
        <f>IFERROR(VLOOKUP($C382,Tabla_Documentos[],5,FALSE),"")</f>
        <v>226100</v>
      </c>
      <c r="J382" s="25">
        <v>45842</v>
      </c>
    </row>
    <row r="383" spans="3:10" ht="21" customHeight="1" x14ac:dyDescent="0.25">
      <c r="C383" s="39">
        <v>1289</v>
      </c>
      <c r="D383" s="28">
        <f>IFERROR(VLOOKUP($C383,Tabla_Documentos[],2,FALSE),"")</f>
        <v>45831</v>
      </c>
      <c r="E383" s="34" t="str">
        <f>IFERROR(VLOOKUP($C383,Tabla_Documentos[],3,FALSE),"")</f>
        <v>77529987-8</v>
      </c>
      <c r="F383" s="35" t="str">
        <f>IFERROR(VLOOKUP($C383,Tabla_Documentos[],4,FALSE),"")</f>
        <v>TURBOMAQ SPA</v>
      </c>
      <c r="G383" s="38">
        <f>IFERROR(VLOOKUP($C383,Tabla_Documentos[],5,FALSE),"")</f>
        <v>83300</v>
      </c>
      <c r="H383" s="29" t="str">
        <f>IFERROR(VLOOKUP($C383,Tabla_Documentos[],6,FALSE),"")</f>
        <v>PUBLICIDAD</v>
      </c>
      <c r="I383" s="38">
        <f>IFERROR(VLOOKUP($C383,Tabla_Documentos[],5,FALSE),"")</f>
        <v>83300</v>
      </c>
      <c r="J383" s="25">
        <v>45831</v>
      </c>
    </row>
    <row r="384" spans="3:10" ht="21" customHeight="1" x14ac:dyDescent="0.25">
      <c r="C384" s="39">
        <v>1290</v>
      </c>
      <c r="D384" s="28">
        <f>IFERROR(VLOOKUP($C384,Tabla_Documentos[],2,FALSE),"")</f>
        <v>45831</v>
      </c>
      <c r="E384" s="34" t="str">
        <f>IFERROR(VLOOKUP($C384,Tabla_Documentos[],3,FALSE),"")</f>
        <v>77520219-K</v>
      </c>
      <c r="F384" s="35" t="str">
        <f>IFERROR(VLOOKUP($C384,Tabla_Documentos[],4,FALSE),"")</f>
        <v>AILUV SPA</v>
      </c>
      <c r="G384" s="38">
        <f>IFERROR(VLOOKUP($C384,Tabla_Documentos[],5,FALSE),"")</f>
        <v>83300</v>
      </c>
      <c r="H384" s="29" t="str">
        <f>IFERROR(VLOOKUP($C384,Tabla_Documentos[],6,FALSE),"")</f>
        <v>PUBLICIDAD</v>
      </c>
      <c r="I384" s="38">
        <f>IFERROR(VLOOKUP($C384,Tabla_Documentos[],5,FALSE),"")</f>
        <v>83300</v>
      </c>
      <c r="J384" s="25">
        <v>45831</v>
      </c>
    </row>
    <row r="385" spans="3:10" ht="21" customHeight="1" x14ac:dyDescent="0.25">
      <c r="C385" s="39">
        <v>1291</v>
      </c>
      <c r="D385" s="28">
        <f>IFERROR(VLOOKUP($C385,Tabla_Documentos[],2,FALSE),"")</f>
        <v>45831</v>
      </c>
      <c r="E385" s="34" t="str">
        <f>IFERROR(VLOOKUP($C385,Tabla_Documentos[],3,FALSE),"")</f>
        <v>76881519-4</v>
      </c>
      <c r="F385" s="35" t="str">
        <f>IFERROR(VLOOKUP($C385,Tabla_Documentos[],4,FALSE),"")</f>
        <v>CENTRO DE MANTENIMIENTO AUTOMOTRIZ Y MAQUINARIA SPA</v>
      </c>
      <c r="G385" s="38">
        <f>IFERROR(VLOOKUP($C385,Tabla_Documentos[],5,FALSE),"")</f>
        <v>23800</v>
      </c>
      <c r="H385" s="29" t="str">
        <f>IFERROR(VLOOKUP($C385,Tabla_Documentos[],6,FALSE),"")</f>
        <v>PUBLICIDAD</v>
      </c>
      <c r="I385" s="38">
        <f>IFERROR(VLOOKUP($C385,Tabla_Documentos[],5,FALSE),"")</f>
        <v>23800</v>
      </c>
      <c r="J385" s="25">
        <v>45831</v>
      </c>
    </row>
    <row r="386" spans="3:10" ht="21" customHeight="1" x14ac:dyDescent="0.25">
      <c r="C386" s="39">
        <v>1292</v>
      </c>
      <c r="D386" s="28">
        <f>IFERROR(VLOOKUP($C386,Tabla_Documentos[],2,FALSE),"")</f>
        <v>45832</v>
      </c>
      <c r="E386" s="34" t="str">
        <f>IFERROR(VLOOKUP($C386,Tabla_Documentos[],3,FALSE),"")</f>
        <v>77080879-0</v>
      </c>
      <c r="F386" s="35" t="str">
        <f>IFERROR(VLOOKUP($C386,Tabla_Documentos[],4,FALSE),"")</f>
        <v>INVERSIONES VIALUM SPA</v>
      </c>
      <c r="G386" s="38">
        <f>IFERROR(VLOOKUP($C386,Tabla_Documentos[],5,FALSE),"")</f>
        <v>26400</v>
      </c>
      <c r="H386" s="29" t="str">
        <f>IFERROR(VLOOKUP($C386,Tabla_Documentos[],6,FALSE),"")</f>
        <v>PUBLICIDAD</v>
      </c>
      <c r="I386" s="38">
        <f>IFERROR(VLOOKUP($C386,Tabla_Documentos[],5,FALSE),"")</f>
        <v>26400</v>
      </c>
      <c r="J386" s="25">
        <v>45832</v>
      </c>
    </row>
    <row r="387" spans="3:10" ht="21" customHeight="1" x14ac:dyDescent="0.25">
      <c r="C387" s="39">
        <v>1293</v>
      </c>
      <c r="D387" s="28">
        <f>IFERROR(VLOOKUP($C387,Tabla_Documentos[],2,FALSE),"")</f>
        <v>45832</v>
      </c>
      <c r="E387" s="34" t="str">
        <f>IFERROR(VLOOKUP($C387,Tabla_Documentos[],3,FALSE),"")</f>
        <v>76250422-7</v>
      </c>
      <c r="F387" s="35" t="str">
        <f>IFERROR(VLOOKUP($C387,Tabla_Documentos[],4,FALSE),"")</f>
        <v>CENTRO DE RECICLAJE DEL NORTE LIMITADA</v>
      </c>
      <c r="G387" s="38">
        <f>IFERROR(VLOOKUP($C387,Tabla_Documentos[],5,FALSE),"")</f>
        <v>416500</v>
      </c>
      <c r="H387" s="29" t="str">
        <f>IFERROR(VLOOKUP($C387,Tabla_Documentos[],6,FALSE),"")</f>
        <v>PUBLICIDAD</v>
      </c>
      <c r="I387" s="38">
        <f>IFERROR(VLOOKUP($C387,Tabla_Documentos[],5,FALSE),"")</f>
        <v>416500</v>
      </c>
      <c r="J387" s="25">
        <v>45832</v>
      </c>
    </row>
    <row r="388" spans="3:10" ht="21" customHeight="1" x14ac:dyDescent="0.25">
      <c r="C388" s="39">
        <v>1294</v>
      </c>
      <c r="D388" s="28">
        <f>IFERROR(VLOOKUP($C388,Tabla_Documentos[],2,FALSE),"")</f>
        <v>45832</v>
      </c>
      <c r="E388" s="34" t="str">
        <f>IFERROR(VLOOKUP($C388,Tabla_Documentos[],3,FALSE),"")</f>
        <v>77338558-0</v>
      </c>
      <c r="F388" s="35" t="str">
        <f>IFERROR(VLOOKUP($C388,Tabla_Documentos[],4,FALSE),"")</f>
        <v>MAFA COMERCIAL SPA</v>
      </c>
      <c r="G388" s="38">
        <f>IFERROR(VLOOKUP($C388,Tabla_Documentos[],5,FALSE),"")</f>
        <v>53550</v>
      </c>
      <c r="H388" s="29" t="str">
        <f>IFERROR(VLOOKUP($C388,Tabla_Documentos[],6,FALSE),"")</f>
        <v>PUBLICIDAD</v>
      </c>
      <c r="I388" s="38">
        <f>IFERROR(VLOOKUP($C388,Tabla_Documentos[],5,FALSE),"")</f>
        <v>53550</v>
      </c>
      <c r="J388" s="25">
        <v>45832</v>
      </c>
    </row>
    <row r="389" spans="3:10" ht="21" customHeight="1" x14ac:dyDescent="0.25">
      <c r="C389" s="39">
        <v>1295</v>
      </c>
      <c r="D389" s="28">
        <f>IFERROR(VLOOKUP($C389,Tabla_Documentos[],2,FALSE),"")</f>
        <v>45833</v>
      </c>
      <c r="E389" s="34" t="str">
        <f>IFERROR(VLOOKUP($C389,Tabla_Documentos[],3,FALSE),"")</f>
        <v>76096151-5</v>
      </c>
      <c r="F389" s="35" t="str">
        <f>IFERROR(VLOOKUP($C389,Tabla_Documentos[],4,FALSE),"")</f>
        <v>JP ELECTRONIC SOCIEDAD ANONIMA</v>
      </c>
      <c r="G389" s="38">
        <f>IFERROR(VLOOKUP($C389,Tabla_Documentos[],5,FALSE),"")</f>
        <v>238000</v>
      </c>
      <c r="H389" s="29" t="str">
        <f>IFERROR(VLOOKUP($C389,Tabla_Documentos[],6,FALSE),"")</f>
        <v>PUBLICIDAD</v>
      </c>
      <c r="I389" s="38">
        <f>IFERROR(VLOOKUP($C389,Tabla_Documentos[],5,FALSE),"")</f>
        <v>238000</v>
      </c>
      <c r="J389" s="25">
        <v>45833</v>
      </c>
    </row>
    <row r="390" spans="3:10" ht="21" customHeight="1" x14ac:dyDescent="0.25">
      <c r="C390" s="39">
        <v>1296</v>
      </c>
      <c r="D390" s="28">
        <f>IFERROR(VLOOKUP($C390,Tabla_Documentos[],2,FALSE),"")</f>
        <v>45833</v>
      </c>
      <c r="E390" s="34" t="str">
        <f>IFERROR(VLOOKUP($C390,Tabla_Documentos[],3,FALSE),"")</f>
        <v>77231749-2</v>
      </c>
      <c r="F390" s="35" t="str">
        <f>IFERROR(VLOOKUP($C390,Tabla_Documentos[],4,FALSE),"")</f>
        <v>MAESTRANZA INDUSTRIAL MASIMAR  SPA</v>
      </c>
      <c r="G390" s="38">
        <f>IFERROR(VLOOKUP($C390,Tabla_Documentos[],5,FALSE),"")</f>
        <v>47600</v>
      </c>
      <c r="H390" s="29" t="str">
        <f>IFERROR(VLOOKUP($C390,Tabla_Documentos[],6,FALSE),"")</f>
        <v>PUBLICIDAD</v>
      </c>
      <c r="I390" s="38">
        <f>IFERROR(VLOOKUP($C390,Tabla_Documentos[],5,FALSE),"")</f>
        <v>47600</v>
      </c>
      <c r="J390" s="25">
        <v>45833</v>
      </c>
    </row>
    <row r="391" spans="3:10" ht="21" customHeight="1" x14ac:dyDescent="0.25">
      <c r="C391" s="39">
        <v>1297</v>
      </c>
      <c r="D391" s="28">
        <f>IFERROR(VLOOKUP($C391,Tabla_Documentos[],2,FALSE),"")</f>
        <v>45833</v>
      </c>
      <c r="E391" s="34" t="str">
        <f>IFERROR(VLOOKUP($C391,Tabla_Documentos[],3,FALSE),"")</f>
        <v>77338558-0</v>
      </c>
      <c r="F391" s="35" t="str">
        <f>IFERROR(VLOOKUP($C391,Tabla_Documentos[],4,FALSE),"")</f>
        <v>MAFA COMERCIAL SPA</v>
      </c>
      <c r="G391" s="38">
        <f>IFERROR(VLOOKUP($C391,Tabla_Documentos[],5,FALSE),"")</f>
        <v>12495</v>
      </c>
      <c r="H391" s="29" t="str">
        <f>IFERROR(VLOOKUP($C391,Tabla_Documentos[],6,FALSE),"")</f>
        <v>PUBLICIDAD</v>
      </c>
      <c r="I391" s="38">
        <f>IFERROR(VLOOKUP($C391,Tabla_Documentos[],5,FALSE),"")</f>
        <v>12495</v>
      </c>
      <c r="J391" s="25">
        <v>45833</v>
      </c>
    </row>
    <row r="392" spans="3:10" ht="21" customHeight="1" x14ac:dyDescent="0.25">
      <c r="C392" s="39">
        <v>1298</v>
      </c>
      <c r="D392" s="28">
        <f>IFERROR(VLOOKUP($C392,Tabla_Documentos[],2,FALSE),"")</f>
        <v>45833</v>
      </c>
      <c r="E392" s="34" t="str">
        <f>IFERROR(VLOOKUP($C392,Tabla_Documentos[],3,FALSE),"")</f>
        <v>76686138-5</v>
      </c>
      <c r="F392" s="35" t="str">
        <f>IFERROR(VLOOKUP($C392,Tabla_Documentos[],4,FALSE),"")</f>
        <v>SKC RED SPA</v>
      </c>
      <c r="G392" s="38">
        <f>IFERROR(VLOOKUP($C392,Tabla_Documentos[],5,FALSE),"")</f>
        <v>499800</v>
      </c>
      <c r="H392" s="29" t="str">
        <f>IFERROR(VLOOKUP($C392,Tabla_Documentos[],6,FALSE),"")</f>
        <v>PUBLICIDAD</v>
      </c>
      <c r="I392" s="38">
        <f>IFERROR(VLOOKUP($C392,Tabla_Documentos[],5,FALSE),"")</f>
        <v>499800</v>
      </c>
      <c r="J392" s="25">
        <v>45863</v>
      </c>
    </row>
    <row r="393" spans="3:10" ht="21" customHeight="1" x14ac:dyDescent="0.25">
      <c r="C393" s="39">
        <v>1299</v>
      </c>
      <c r="D393" s="28">
        <f>IFERROR(VLOOKUP($C393,Tabla_Documentos[],2,FALSE),"")</f>
        <v>45833</v>
      </c>
      <c r="E393" s="34" t="str">
        <f>IFERROR(VLOOKUP($C393,Tabla_Documentos[],3,FALSE),"")</f>
        <v>76686138-5</v>
      </c>
      <c r="F393" s="35" t="str">
        <f>IFERROR(VLOOKUP($C393,Tabla_Documentos[],4,FALSE),"")</f>
        <v>SKC RED SPA</v>
      </c>
      <c r="G393" s="38">
        <f>IFERROR(VLOOKUP($C393,Tabla_Documentos[],5,FALSE),"")</f>
        <v>17850</v>
      </c>
      <c r="H393" s="29" t="str">
        <f>IFERROR(VLOOKUP($C393,Tabla_Documentos[],6,FALSE),"")</f>
        <v>PUBLICIDAD</v>
      </c>
      <c r="I393" s="38">
        <f>IFERROR(VLOOKUP($C393,Tabla_Documentos[],5,FALSE),"")</f>
        <v>17850</v>
      </c>
      <c r="J393" s="25">
        <v>45863</v>
      </c>
    </row>
    <row r="394" spans="3:10" ht="21" customHeight="1" x14ac:dyDescent="0.25">
      <c r="C394" s="39">
        <v>1300</v>
      </c>
      <c r="D394" s="28">
        <f>IFERROR(VLOOKUP($C394,Tabla_Documentos[],2,FALSE),"")</f>
        <v>45833</v>
      </c>
      <c r="E394" s="34" t="str">
        <f>IFERROR(VLOOKUP($C394,Tabla_Documentos[],3,FALSE),"")</f>
        <v>77551117-6</v>
      </c>
      <c r="F394" s="35" t="str">
        <f>IFERROR(VLOOKUP($C394,Tabla_Documentos[],4,FALSE),"")</f>
        <v>J2 PUBLICIDAD SPA</v>
      </c>
      <c r="G394" s="38">
        <f>IFERROR(VLOOKUP($C394,Tabla_Documentos[],5,FALSE),"")</f>
        <v>226100</v>
      </c>
      <c r="H394" s="29" t="str">
        <f>IFERROR(VLOOKUP($C394,Tabla_Documentos[],6,FALSE),"")</f>
        <v>PUBLICIDAD</v>
      </c>
      <c r="I394" s="38">
        <f>IFERROR(VLOOKUP($C394,Tabla_Documentos[],5,FALSE),"")</f>
        <v>226100</v>
      </c>
      <c r="J394" s="25">
        <v>45833</v>
      </c>
    </row>
    <row r="395" spans="3:10" ht="21" customHeight="1" x14ac:dyDescent="0.25">
      <c r="C395" s="39">
        <v>1301</v>
      </c>
      <c r="D395" s="28">
        <f>IFERROR(VLOOKUP($C395,Tabla_Documentos[],2,FALSE),"")</f>
        <v>45833</v>
      </c>
      <c r="E395" s="34" t="str">
        <f>IFERROR(VLOOKUP($C395,Tabla_Documentos[],3,FALSE),"")</f>
        <v>76881519-4</v>
      </c>
      <c r="F395" s="35" t="str">
        <f>IFERROR(VLOOKUP($C395,Tabla_Documentos[],4,FALSE),"")</f>
        <v>CENTRO DE MANTENIMIENTO AUTOMOTRIZ Y MAQUINARIA SPA</v>
      </c>
      <c r="G395" s="38">
        <f>IFERROR(VLOOKUP($C395,Tabla_Documentos[],5,FALSE),"")</f>
        <v>226100</v>
      </c>
      <c r="H395" s="29" t="str">
        <f>IFERROR(VLOOKUP($C395,Tabla_Documentos[],6,FALSE),"")</f>
        <v>PUBLICIDAD</v>
      </c>
      <c r="I395" s="38">
        <f>IFERROR(VLOOKUP($C395,Tabla_Documentos[],5,FALSE),"")</f>
        <v>226100</v>
      </c>
      <c r="J395" s="25">
        <v>45842</v>
      </c>
    </row>
    <row r="396" spans="3:10" ht="21" customHeight="1" x14ac:dyDescent="0.25">
      <c r="C396" s="39">
        <v>1302</v>
      </c>
      <c r="D396" s="28">
        <f>IFERROR(VLOOKUP($C396,Tabla_Documentos[],2,FALSE),"")</f>
        <v>45835</v>
      </c>
      <c r="E396" s="34" t="str">
        <f>IFERROR(VLOOKUP($C396,Tabla_Documentos[],3,FALSE),"")</f>
        <v>76336122-5</v>
      </c>
      <c r="F396" s="35" t="str">
        <f>IFERROR(VLOOKUP($C396,Tabla_Documentos[],4,FALSE),"")</f>
        <v>INGENIERIA Y SERVICIOS TERRACOP SPA</v>
      </c>
      <c r="G396" s="38">
        <f>IFERROR(VLOOKUP($C396,Tabla_Documentos[],5,FALSE),"")</f>
        <v>208250</v>
      </c>
      <c r="H396" s="29" t="str">
        <f>IFERROR(VLOOKUP($C396,Tabla_Documentos[],6,FALSE),"")</f>
        <v>PUBLICIDAD</v>
      </c>
      <c r="I396" s="38">
        <f>IFERROR(VLOOKUP($C396,Tabla_Documentos[],5,FALSE),"")</f>
        <v>208250</v>
      </c>
      <c r="J396" s="25">
        <v>45835</v>
      </c>
    </row>
    <row r="397" spans="3:10" ht="21" customHeight="1" x14ac:dyDescent="0.25">
      <c r="C397" s="39">
        <v>1303</v>
      </c>
      <c r="D397" s="28">
        <f>IFERROR(VLOOKUP($C397,Tabla_Documentos[],2,FALSE),"")</f>
        <v>45836</v>
      </c>
      <c r="E397" s="34" t="str">
        <f>IFERROR(VLOOKUP($C397,Tabla_Documentos[],3,FALSE),"")</f>
        <v>76506336-1</v>
      </c>
      <c r="F397" s="35" t="str">
        <f>IFERROR(VLOOKUP($C397,Tabla_Documentos[],4,FALSE),"")</f>
        <v>KRADE SPA</v>
      </c>
      <c r="G397" s="38">
        <f>IFERROR(VLOOKUP($C397,Tabla_Documentos[],5,FALSE),"")</f>
        <v>392700</v>
      </c>
      <c r="H397" s="29" t="str">
        <f>IFERROR(VLOOKUP($C397,Tabla_Documentos[],6,FALSE),"")</f>
        <v>PUBLICIDAD</v>
      </c>
      <c r="I397" s="38">
        <f>IFERROR(VLOOKUP($C397,Tabla_Documentos[],5,FALSE),"")</f>
        <v>392700</v>
      </c>
      <c r="J397" s="25">
        <v>45836</v>
      </c>
    </row>
    <row r="398" spans="3:10" ht="21" customHeight="1" x14ac:dyDescent="0.25">
      <c r="C398" s="39">
        <v>1304</v>
      </c>
      <c r="D398" s="28">
        <f>IFERROR(VLOOKUP($C398,Tabla_Documentos[],2,FALSE),"")</f>
        <v>45836</v>
      </c>
      <c r="E398" s="34" t="str">
        <f>IFERROR(VLOOKUP($C398,Tabla_Documentos[],3,FALSE),"")</f>
        <v>76506336-1</v>
      </c>
      <c r="F398" s="35" t="str">
        <f>IFERROR(VLOOKUP($C398,Tabla_Documentos[],4,FALSE),"")</f>
        <v>KRADE SPA</v>
      </c>
      <c r="G398" s="38">
        <f>IFERROR(VLOOKUP($C398,Tabla_Documentos[],5,FALSE),"")</f>
        <v>142800</v>
      </c>
      <c r="H398" s="29" t="str">
        <f>IFERROR(VLOOKUP($C398,Tabla_Documentos[],6,FALSE),"")</f>
        <v>PUBLICIDAD</v>
      </c>
      <c r="I398" s="38">
        <f>IFERROR(VLOOKUP($C398,Tabla_Documentos[],5,FALSE),"")</f>
        <v>142800</v>
      </c>
      <c r="J398" s="25">
        <v>45836</v>
      </c>
    </row>
    <row r="399" spans="3:10" ht="21" customHeight="1" x14ac:dyDescent="0.25">
      <c r="C399" s="39">
        <v>1305</v>
      </c>
      <c r="D399" s="28">
        <f>IFERROR(VLOOKUP($C399,Tabla_Documentos[],2,FALSE),"")</f>
        <v>45838</v>
      </c>
      <c r="E399" s="34" t="str">
        <f>IFERROR(VLOOKUP($C399,Tabla_Documentos[],3,FALSE),"")</f>
        <v>77823149-2</v>
      </c>
      <c r="F399" s="35" t="str">
        <f>IFERROR(VLOOKUP($C399,Tabla_Documentos[],4,FALSE),"")</f>
        <v>TRANSPORTES NORTE TRUCKS SPA</v>
      </c>
      <c r="G399" s="38">
        <f>IFERROR(VLOOKUP($C399,Tabla_Documentos[],5,FALSE),"")</f>
        <v>35700</v>
      </c>
      <c r="H399" s="29" t="str">
        <f>IFERROR(VLOOKUP($C399,Tabla_Documentos[],6,FALSE),"")</f>
        <v>PUBLICIDAD</v>
      </c>
      <c r="I399" s="38">
        <f>IFERROR(VLOOKUP($C399,Tabla_Documentos[],5,FALSE),"")</f>
        <v>35700</v>
      </c>
      <c r="J399" s="25">
        <v>45838</v>
      </c>
    </row>
    <row r="400" spans="3:10" ht="21" customHeight="1" x14ac:dyDescent="0.25">
      <c r="C400" s="39">
        <v>1306</v>
      </c>
      <c r="D400" s="28">
        <f>IFERROR(VLOOKUP($C400,Tabla_Documentos[],2,FALSE),"")</f>
        <v>45838</v>
      </c>
      <c r="E400" s="34" t="str">
        <f>IFERROR(VLOOKUP($C400,Tabla_Documentos[],3,FALSE),"")</f>
        <v>76897208-7</v>
      </c>
      <c r="F400" s="35" t="str">
        <f>IFERROR(VLOOKUP($C400,Tabla_Documentos[],4,FALSE),"")</f>
        <v>JSTEC SPA</v>
      </c>
      <c r="G400" s="38">
        <f>IFERROR(VLOOKUP($C400,Tabla_Documentos[],5,FALSE),"")</f>
        <v>785400</v>
      </c>
      <c r="H400" s="29" t="str">
        <f>IFERROR(VLOOKUP($C400,Tabla_Documentos[],6,FALSE),"")</f>
        <v>OBRAS CIVILES</v>
      </c>
      <c r="I400" s="38">
        <f>IFERROR(VLOOKUP($C400,Tabla_Documentos[],5,FALSE),"")</f>
        <v>785400</v>
      </c>
      <c r="J400" s="25">
        <v>45842</v>
      </c>
    </row>
    <row r="401" spans="3:10" ht="21" customHeight="1" x14ac:dyDescent="0.25">
      <c r="C401" s="39">
        <v>1307</v>
      </c>
      <c r="D401" s="28">
        <f>IFERROR(VLOOKUP($C401,Tabla_Documentos[],2,FALSE),"")</f>
        <v>45838</v>
      </c>
      <c r="E401" s="34" t="str">
        <f>IFERROR(VLOOKUP($C401,Tabla_Documentos[],3,FALSE),"")</f>
        <v>77551117-6</v>
      </c>
      <c r="F401" s="35" t="str">
        <f>IFERROR(VLOOKUP($C401,Tabla_Documentos[],4,FALSE),"")</f>
        <v>J2 PUBLICIDAD SPA</v>
      </c>
      <c r="G401" s="38">
        <f>IFERROR(VLOOKUP($C401,Tabla_Documentos[],5,FALSE),"")</f>
        <v>648193</v>
      </c>
      <c r="H401" s="29" t="str">
        <f>IFERROR(VLOOKUP($C401,Tabla_Documentos[],6,FALSE),"")</f>
        <v>PUBLICIDAD</v>
      </c>
      <c r="I401" s="38">
        <f>IFERROR(VLOOKUP($C401,Tabla_Documentos[],5,FALSE),"")</f>
        <v>648193</v>
      </c>
      <c r="J401" s="25">
        <v>45838</v>
      </c>
    </row>
    <row r="402" spans="3:10" ht="21" customHeight="1" x14ac:dyDescent="0.25">
      <c r="C402" s="39">
        <v>1308</v>
      </c>
      <c r="D402" s="28">
        <f>IFERROR(VLOOKUP($C402,Tabla_Documentos[],2,FALSE),"")</f>
        <v>45838</v>
      </c>
      <c r="E402" s="34" t="str">
        <f>IFERROR(VLOOKUP($C402,Tabla_Documentos[],3,FALSE),"")</f>
        <v>9051431-8</v>
      </c>
      <c r="F402" s="35" t="str">
        <f>IFERROR(VLOOKUP($C402,Tabla_Documentos[],4,FALSE),"")</f>
        <v>RAMON ANGEL RIQUELME OLIVARES</v>
      </c>
      <c r="G402" s="38">
        <f>IFERROR(VLOOKUP($C402,Tabla_Documentos[],5,FALSE),"")</f>
        <v>648193</v>
      </c>
      <c r="H402" s="29" t="str">
        <f>IFERROR(VLOOKUP($C402,Tabla_Documentos[],6,FALSE),"")</f>
        <v>PUBLICIDAD</v>
      </c>
      <c r="I402" s="38">
        <f>IFERROR(VLOOKUP($C402,Tabla_Documentos[],5,FALSE),"")</f>
        <v>648193</v>
      </c>
      <c r="J402" s="25">
        <v>45838</v>
      </c>
    </row>
    <row r="403" spans="3:10" ht="21" customHeight="1" x14ac:dyDescent="0.25">
      <c r="C403" s="39">
        <v>1309</v>
      </c>
      <c r="D403" s="28">
        <f>IFERROR(VLOOKUP($C403,Tabla_Documentos[],2,FALSE),"")</f>
        <v>45838</v>
      </c>
      <c r="E403" s="34" t="str">
        <f>IFERROR(VLOOKUP($C403,Tabla_Documentos[],3,FALSE),"")</f>
        <v>78129529-9</v>
      </c>
      <c r="F403" s="35" t="str">
        <f>IFERROR(VLOOKUP($C403,Tabla_Documentos[],4,FALSE),"")</f>
        <v>DEFENSA Y JUSTICIA ASESORÃAS JURÃDICAS LIMITADA</v>
      </c>
      <c r="G403" s="38">
        <f>IFERROR(VLOOKUP($C403,Tabla_Documentos[],5,FALSE),"")</f>
        <v>60000</v>
      </c>
      <c r="H403" s="29" t="str">
        <f>IFERROR(VLOOKUP($C403,Tabla_Documentos[],6,FALSE),"")</f>
        <v>PUBLICIDAD</v>
      </c>
      <c r="I403" s="38">
        <f>IFERROR(VLOOKUP($C403,Tabla_Documentos[],5,FALSE),"")</f>
        <v>60000</v>
      </c>
      <c r="J403" s="25">
        <v>45838</v>
      </c>
    </row>
    <row r="404" spans="3:10" ht="21" customHeight="1" x14ac:dyDescent="0.25">
      <c r="C404" s="39">
        <v>1310</v>
      </c>
      <c r="D404" s="28">
        <f>IFERROR(VLOOKUP($C404,Tabla_Documentos[],2,FALSE),"")</f>
        <v>45838</v>
      </c>
      <c r="E404" s="34" t="str">
        <f>IFERROR(VLOOKUP($C404,Tabla_Documentos[],3,FALSE),"")</f>
        <v>76667881-5</v>
      </c>
      <c r="F404" s="35" t="str">
        <f>IFERROR(VLOOKUP($C404,Tabla_Documentos[],4,FALSE),"")</f>
        <v>MONTAJES LAM SPA</v>
      </c>
      <c r="G404" s="38">
        <f>IFERROR(VLOOKUP($C404,Tabla_Documentos[],5,FALSE),"")</f>
        <v>107100</v>
      </c>
      <c r="H404" s="29" t="str">
        <f>IFERROR(VLOOKUP($C404,Tabla_Documentos[],6,FALSE),"")</f>
        <v>PUBLICIDAD</v>
      </c>
      <c r="I404" s="38">
        <f>IFERROR(VLOOKUP($C404,Tabla_Documentos[],5,FALSE),"")</f>
        <v>107100</v>
      </c>
      <c r="J404" s="25">
        <v>45838</v>
      </c>
    </row>
    <row r="405" spans="3:10" ht="21" customHeight="1" x14ac:dyDescent="0.25">
      <c r="C405" s="39">
        <v>1311</v>
      </c>
      <c r="D405" s="28">
        <f>IFERROR(VLOOKUP($C405,Tabla_Documentos[],2,FALSE),"")</f>
        <v>45839</v>
      </c>
      <c r="E405" s="34" t="str">
        <f>IFERROR(VLOOKUP($C405,Tabla_Documentos[],3,FALSE),"")</f>
        <v>78415820-9</v>
      </c>
      <c r="F405" s="35" t="str">
        <f>IFERROR(VLOOKUP($C405,Tabla_Documentos[],4,FALSE),"")</f>
        <v>AGRICOLA MILLAHUE LTDA</v>
      </c>
      <c r="G405" s="38">
        <f>IFERROR(VLOOKUP($C405,Tabla_Documentos[],5,FALSE),"")</f>
        <v>20000</v>
      </c>
      <c r="H405" s="29" t="str">
        <f>IFERROR(VLOOKUP($C405,Tabla_Documentos[],6,FALSE),"")</f>
        <v>PUBLICIDAD</v>
      </c>
      <c r="I405" s="38">
        <f>IFERROR(VLOOKUP($C405,Tabla_Documentos[],5,FALSE),"")</f>
        <v>20000</v>
      </c>
      <c r="J405" s="25">
        <v>45839</v>
      </c>
    </row>
    <row r="406" spans="3:10" ht="21" customHeight="1" x14ac:dyDescent="0.25">
      <c r="C406" s="39">
        <v>1312</v>
      </c>
      <c r="D406" s="28">
        <f>IFERROR(VLOOKUP($C406,Tabla_Documentos[],2,FALSE),"")</f>
        <v>45839</v>
      </c>
      <c r="E406" s="34" t="str">
        <f>IFERROR(VLOOKUP($C406,Tabla_Documentos[],3,FALSE),"")</f>
        <v>76255245-0</v>
      </c>
      <c r="F406" s="35" t="str">
        <f>IFERROR(VLOOKUP($C406,Tabla_Documentos[],4,FALSE),"")</f>
        <v>SIDESA CHILE S.A.</v>
      </c>
      <c r="G406" s="38">
        <f>IFERROR(VLOOKUP($C406,Tabla_Documentos[],5,FALSE),"")</f>
        <v>315350</v>
      </c>
      <c r="H406" s="29" t="str">
        <f>IFERROR(VLOOKUP($C406,Tabla_Documentos[],6,FALSE),"")</f>
        <v>BELEN</v>
      </c>
      <c r="I406" s="38">
        <f>IFERROR(VLOOKUP($C406,Tabla_Documentos[],5,FALSE),"")</f>
        <v>315350</v>
      </c>
      <c r="J406" s="25">
        <v>45870</v>
      </c>
    </row>
    <row r="407" spans="3:10" ht="21" customHeight="1" x14ac:dyDescent="0.25">
      <c r="C407" s="39">
        <v>1313</v>
      </c>
      <c r="D407" s="28">
        <f>IFERROR(VLOOKUP($C407,Tabla_Documentos[],2,FALSE),"")</f>
        <v>45839</v>
      </c>
      <c r="E407" s="34" t="str">
        <f>IFERROR(VLOOKUP($C407,Tabla_Documentos[],3,FALSE),"")</f>
        <v>76744135-5</v>
      </c>
      <c r="F407" s="35" t="str">
        <f>IFERROR(VLOOKUP($C407,Tabla_Documentos[],4,FALSE),"")</f>
        <v>PATAGONIA SERVICIOS SPA</v>
      </c>
      <c r="G407" s="38">
        <f>IFERROR(VLOOKUP($C407,Tabla_Documentos[],5,FALSE),"")</f>
        <v>3153500</v>
      </c>
      <c r="H407" s="29" t="str">
        <f>IFERROR(VLOOKUP($C407,Tabla_Documentos[],6,FALSE),"")</f>
        <v>OBRAS CIVILES</v>
      </c>
      <c r="I407" s="38">
        <f>IFERROR(VLOOKUP($C407,Tabla_Documentos[],5,FALSE),"")</f>
        <v>3153500</v>
      </c>
      <c r="J407" s="25">
        <v>45890</v>
      </c>
    </row>
    <row r="408" spans="3:10" ht="21" customHeight="1" x14ac:dyDescent="0.25">
      <c r="C408" s="39">
        <v>1314</v>
      </c>
      <c r="D408" s="28">
        <f>IFERROR(VLOOKUP($C408,Tabla_Documentos[],2,FALSE),"")</f>
        <v>45839</v>
      </c>
      <c r="E408" s="34" t="str">
        <f>IFERROR(VLOOKUP($C408,Tabla_Documentos[],3,FALSE),"")</f>
        <v>76744135-5</v>
      </c>
      <c r="F408" s="35" t="str">
        <f>IFERROR(VLOOKUP($C408,Tabla_Documentos[],4,FALSE),"")</f>
        <v>PATAGONIA SERVICIOS SPA</v>
      </c>
      <c r="G408" s="38">
        <f>IFERROR(VLOOKUP($C408,Tabla_Documentos[],5,FALSE),"")</f>
        <v>3153500</v>
      </c>
      <c r="H408" s="29" t="str">
        <f>IFERROR(VLOOKUP($C408,Tabla_Documentos[],6,FALSE),"")</f>
        <v>OBRAS CIVILES</v>
      </c>
      <c r="I408" s="38">
        <f>IFERROR(VLOOKUP($C408,Tabla_Documentos[],5,FALSE),"")</f>
        <v>3153500</v>
      </c>
      <c r="J408" s="25">
        <v>45890</v>
      </c>
    </row>
    <row r="409" spans="3:10" ht="21" customHeight="1" x14ac:dyDescent="0.25">
      <c r="C409" s="39">
        <v>1315</v>
      </c>
      <c r="D409" s="28">
        <f>IFERROR(VLOOKUP($C409,Tabla_Documentos[],2,FALSE),"")</f>
        <v>45839</v>
      </c>
      <c r="E409" s="34" t="str">
        <f>IFERROR(VLOOKUP($C409,Tabla_Documentos[],3,FALSE),"")</f>
        <v>76744135-5</v>
      </c>
      <c r="F409" s="35" t="str">
        <f>IFERROR(VLOOKUP($C409,Tabla_Documentos[],4,FALSE),"")</f>
        <v>PATAGONIA SERVICIOS SPA</v>
      </c>
      <c r="G409" s="38">
        <f>IFERROR(VLOOKUP($C409,Tabla_Documentos[],5,FALSE),"")</f>
        <v>11138400</v>
      </c>
      <c r="H409" s="29" t="str">
        <f>IFERROR(VLOOKUP($C409,Tabla_Documentos[],6,FALSE),"")</f>
        <v>PUBLICIDAD</v>
      </c>
      <c r="I409" s="38">
        <f>IFERROR(VLOOKUP($C409,Tabla_Documentos[],5,FALSE),"")</f>
        <v>11138400</v>
      </c>
      <c r="J409" s="25">
        <v>45890</v>
      </c>
    </row>
    <row r="410" spans="3:10" ht="21" customHeight="1" x14ac:dyDescent="0.25">
      <c r="C410" s="39">
        <v>1316</v>
      </c>
      <c r="D410" s="28">
        <f>IFERROR(VLOOKUP($C410,Tabla_Documentos[],2,FALSE),"")</f>
        <v>45840</v>
      </c>
      <c r="E410" s="34" t="str">
        <f>IFERROR(VLOOKUP($C410,Tabla_Documentos[],3,FALSE),"")</f>
        <v>76686138-5</v>
      </c>
      <c r="F410" s="35" t="str">
        <f>IFERROR(VLOOKUP($C410,Tabla_Documentos[],4,FALSE),"")</f>
        <v>SKC RED SPA</v>
      </c>
      <c r="G410" s="38">
        <f>IFERROR(VLOOKUP($C410,Tabla_Documentos[],5,FALSE),"")</f>
        <v>77350</v>
      </c>
      <c r="H410" s="29" t="str">
        <f>IFERROR(VLOOKUP($C410,Tabla_Documentos[],6,FALSE),"")</f>
        <v>PUBLICIDAD</v>
      </c>
      <c r="I410" s="38">
        <f>IFERROR(VLOOKUP($C410,Tabla_Documentos[],5,FALSE),"")</f>
        <v>77350</v>
      </c>
      <c r="J410" s="25">
        <v>45873</v>
      </c>
    </row>
    <row r="411" spans="3:10" ht="21" customHeight="1" x14ac:dyDescent="0.25">
      <c r="C411" s="39">
        <v>1317</v>
      </c>
      <c r="D411" s="28">
        <f>IFERROR(VLOOKUP($C411,Tabla_Documentos[],2,FALSE),"")</f>
        <v>45840</v>
      </c>
      <c r="E411" s="34" t="str">
        <f>IFERROR(VLOOKUP($C411,Tabla_Documentos[],3,FALSE),"")</f>
        <v>77313060-4</v>
      </c>
      <c r="F411" s="35" t="str">
        <f>IFERROR(VLOOKUP($C411,Tabla_Documentos[],4,FALSE),"")</f>
        <v>COMERCIAL SERPAN SPA</v>
      </c>
      <c r="G411" s="38">
        <f>IFERROR(VLOOKUP($C411,Tabla_Documentos[],5,FALSE),"")</f>
        <v>11900</v>
      </c>
      <c r="H411" s="29" t="str">
        <f>IFERROR(VLOOKUP($C411,Tabla_Documentos[],6,FALSE),"")</f>
        <v>PUBLICIDAD</v>
      </c>
      <c r="I411" s="38">
        <f>IFERROR(VLOOKUP($C411,Tabla_Documentos[],5,FALSE),"")</f>
        <v>11900</v>
      </c>
      <c r="J411" s="25">
        <v>45877</v>
      </c>
    </row>
    <row r="412" spans="3:10" ht="21" customHeight="1" x14ac:dyDescent="0.25">
      <c r="C412" s="39">
        <v>1318</v>
      </c>
      <c r="D412" s="28">
        <f>IFERROR(VLOOKUP($C412,Tabla_Documentos[],2,FALSE),"")</f>
        <v>45840</v>
      </c>
      <c r="E412" s="34" t="str">
        <f>IFERROR(VLOOKUP($C412,Tabla_Documentos[],3,FALSE),"")</f>
        <v>78057314-7</v>
      </c>
      <c r="F412" s="35" t="str">
        <f>IFERROR(VLOOKUP($C412,Tabla_Documentos[],4,FALSE),"")</f>
        <v>EL BAJON DE HOMERO SPA</v>
      </c>
      <c r="G412" s="38">
        <f>IFERROR(VLOOKUP($C412,Tabla_Documentos[],5,FALSE),"")</f>
        <v>142800</v>
      </c>
      <c r="H412" s="29" t="str">
        <f>IFERROR(VLOOKUP($C412,Tabla_Documentos[],6,FALSE),"")</f>
        <v>PUBLICIDAD</v>
      </c>
      <c r="I412" s="38">
        <f>IFERROR(VLOOKUP($C412,Tabla_Documentos[],5,FALSE),"")</f>
        <v>142800</v>
      </c>
      <c r="J412" s="25">
        <v>45840</v>
      </c>
    </row>
    <row r="413" spans="3:10" ht="21" customHeight="1" x14ac:dyDescent="0.25">
      <c r="C413" s="39">
        <v>1319</v>
      </c>
      <c r="D413" s="28">
        <f>IFERROR(VLOOKUP($C413,Tabla_Documentos[],2,FALSE),"")</f>
        <v>45840</v>
      </c>
      <c r="E413" s="34" t="str">
        <f>IFERROR(VLOOKUP($C413,Tabla_Documentos[],3,FALSE),"")</f>
        <v>77721807-7</v>
      </c>
      <c r="F413" s="35" t="str">
        <f>IFERROR(VLOOKUP($C413,Tabla_Documentos[],4,FALSE),"")</f>
        <v>RESITER SERVICIOS GENERALES SPA</v>
      </c>
      <c r="G413" s="38">
        <f>IFERROR(VLOOKUP($C413,Tabla_Documentos[],5,FALSE),"")</f>
        <v>23800</v>
      </c>
      <c r="H413" s="29" t="str">
        <f>IFERROR(VLOOKUP($C413,Tabla_Documentos[],6,FALSE),"")</f>
        <v>PUBLICIDAD</v>
      </c>
      <c r="I413" s="38">
        <f>IFERROR(VLOOKUP($C413,Tabla_Documentos[],5,FALSE),"")</f>
        <v>23800</v>
      </c>
      <c r="J413" s="25">
        <v>45840</v>
      </c>
    </row>
    <row r="414" spans="3:10" ht="21" customHeight="1" x14ac:dyDescent="0.25">
      <c r="C414" s="39">
        <v>1320</v>
      </c>
      <c r="D414" s="28">
        <f>IFERROR(VLOOKUP($C414,Tabla_Documentos[],2,FALSE),"")</f>
        <v>45842</v>
      </c>
      <c r="E414" s="34" t="str">
        <f>IFERROR(VLOOKUP($C414,Tabla_Documentos[],3,FALSE),"")</f>
        <v>78130200-7</v>
      </c>
      <c r="F414" s="35" t="str">
        <f>IFERROR(VLOOKUP($C414,Tabla_Documentos[],4,FALSE),"")</f>
        <v>SOCIEDAD RODERIK AVILA Y COMPANIA LIMITADA</v>
      </c>
      <c r="G414" s="38">
        <f>IFERROR(VLOOKUP($C414,Tabla_Documentos[],5,FALSE),"")</f>
        <v>119000</v>
      </c>
      <c r="H414" s="29" t="str">
        <f>IFERROR(VLOOKUP($C414,Tabla_Documentos[],6,FALSE),"")</f>
        <v>PUBLICIDAD</v>
      </c>
      <c r="I414" s="38">
        <f>IFERROR(VLOOKUP($C414,Tabla_Documentos[],5,FALSE),"")</f>
        <v>119000</v>
      </c>
      <c r="J414" s="25">
        <v>45842</v>
      </c>
    </row>
    <row r="415" spans="3:10" ht="21" customHeight="1" x14ac:dyDescent="0.25">
      <c r="C415" s="39">
        <v>1321</v>
      </c>
      <c r="D415" s="28">
        <f>IFERROR(VLOOKUP($C415,Tabla_Documentos[],2,FALSE),"")</f>
        <v>45842</v>
      </c>
      <c r="E415" s="34" t="str">
        <f>IFERROR(VLOOKUP($C415,Tabla_Documentos[],3,FALSE),"")</f>
        <v>77928137-K</v>
      </c>
      <c r="F415" s="35" t="str">
        <f>IFERROR(VLOOKUP($C415,Tabla_Documentos[],4,FALSE),"")</f>
        <v>TRANSPORTES Y GRUAS LEYTON SPA</v>
      </c>
      <c r="G415" s="38">
        <f>IFERROR(VLOOKUP($C415,Tabla_Documentos[],5,FALSE),"")</f>
        <v>42840</v>
      </c>
      <c r="H415" s="29" t="str">
        <f>IFERROR(VLOOKUP($C415,Tabla_Documentos[],6,FALSE),"")</f>
        <v>PUBLICIDAD</v>
      </c>
      <c r="I415" s="38">
        <f>IFERROR(VLOOKUP($C415,Tabla_Documentos[],5,FALSE),"")</f>
        <v>42840</v>
      </c>
      <c r="J415" s="25">
        <v>45842</v>
      </c>
    </row>
    <row r="416" spans="3:10" ht="21" customHeight="1" x14ac:dyDescent="0.25">
      <c r="C416" s="39">
        <v>1322</v>
      </c>
      <c r="D416" s="28">
        <f>IFERROR(VLOOKUP($C416,Tabla_Documentos[],2,FALSE),"")</f>
        <v>45842</v>
      </c>
      <c r="E416" s="34" t="str">
        <f>IFERROR(VLOOKUP($C416,Tabla_Documentos[],3,FALSE),"")</f>
        <v>96576440-2</v>
      </c>
      <c r="F416" s="35" t="str">
        <f>IFERROR(VLOOKUP($C416,Tabla_Documentos[],4,FALSE),"")</f>
        <v>MAJOR DRILLING CHILE S A</v>
      </c>
      <c r="G416" s="38">
        <f>IFERROR(VLOOKUP($C416,Tabla_Documentos[],5,FALSE),"")</f>
        <v>41650</v>
      </c>
      <c r="H416" s="29" t="str">
        <f>IFERROR(VLOOKUP($C416,Tabla_Documentos[],6,FALSE),"")</f>
        <v>PUBLICIDAD</v>
      </c>
      <c r="I416" s="38">
        <f>IFERROR(VLOOKUP($C416,Tabla_Documentos[],5,FALSE),"")</f>
        <v>41650</v>
      </c>
      <c r="J416" s="25">
        <v>45842</v>
      </c>
    </row>
    <row r="417" spans="3:10" ht="21" customHeight="1" x14ac:dyDescent="0.25">
      <c r="C417" s="39">
        <v>1323</v>
      </c>
      <c r="D417" s="28">
        <f>IFERROR(VLOOKUP($C417,Tabla_Documentos[],2,FALSE),"")</f>
        <v>45843</v>
      </c>
      <c r="E417" s="34" t="str">
        <f>IFERROR(VLOOKUP($C417,Tabla_Documentos[],3,FALSE),"")</f>
        <v>96792430-K</v>
      </c>
      <c r="F417" s="35" t="str">
        <f>IFERROR(VLOOKUP($C417,Tabla_Documentos[],4,FALSE),"")</f>
        <v>SODIMAC S.A.</v>
      </c>
      <c r="G417" s="38">
        <f>IFERROR(VLOOKUP($C417,Tabla_Documentos[],5,FALSE),"")</f>
        <v>1394085</v>
      </c>
      <c r="H417" s="29" t="str">
        <f>IFERROR(VLOOKUP($C417,Tabla_Documentos[],6,FALSE),"")</f>
        <v>BELEN</v>
      </c>
      <c r="I417" s="38">
        <f>IFERROR(VLOOKUP($C417,Tabla_Documentos[],5,FALSE),"")</f>
        <v>1394085</v>
      </c>
      <c r="J417" s="25">
        <v>45873</v>
      </c>
    </row>
    <row r="418" spans="3:10" ht="21" customHeight="1" x14ac:dyDescent="0.25">
      <c r="C418" s="39">
        <v>1324</v>
      </c>
      <c r="D418" s="28">
        <f>IFERROR(VLOOKUP($C418,Tabla_Documentos[],2,FALSE),"")</f>
        <v>45843</v>
      </c>
      <c r="E418" s="34" t="str">
        <f>IFERROR(VLOOKUP($C418,Tabla_Documentos[],3,FALSE),"")</f>
        <v>96792430-K</v>
      </c>
      <c r="F418" s="35" t="str">
        <f>IFERROR(VLOOKUP($C418,Tabla_Documentos[],4,FALSE),"")</f>
        <v>SODIMAC S.A.</v>
      </c>
      <c r="G418" s="38">
        <f>IFERROR(VLOOKUP($C418,Tabla_Documentos[],5,FALSE),"")</f>
        <v>3633070</v>
      </c>
      <c r="H418" s="29" t="str">
        <f>IFERROR(VLOOKUP($C418,Tabla_Documentos[],6,FALSE),"")</f>
        <v>BELEN</v>
      </c>
      <c r="I418" s="38">
        <f>IFERROR(VLOOKUP($C418,Tabla_Documentos[],5,FALSE),"")</f>
        <v>3633070</v>
      </c>
      <c r="J418" s="25">
        <v>45804</v>
      </c>
    </row>
    <row r="419" spans="3:10" ht="21" customHeight="1" x14ac:dyDescent="0.25">
      <c r="C419" s="39">
        <v>1325</v>
      </c>
      <c r="D419" s="28">
        <f>IFERROR(VLOOKUP($C419,Tabla_Documentos[],2,FALSE),"")</f>
        <v>45843</v>
      </c>
      <c r="E419" s="34" t="str">
        <f>IFERROR(VLOOKUP($C419,Tabla_Documentos[],3,FALSE),"")</f>
        <v>76512246-5</v>
      </c>
      <c r="F419" s="35" t="str">
        <f>IFERROR(VLOOKUP($C419,Tabla_Documentos[],4,FALSE),"")</f>
        <v>ESLABÃ“N CAPACITACIÃ“N MAURICIO CASTRO LÃ“PEZ E.I.R.L.</v>
      </c>
      <c r="G419" s="38">
        <f>IFERROR(VLOOKUP($C419,Tabla_Documentos[],5,FALSE),"")</f>
        <v>40001</v>
      </c>
      <c r="H419" s="29" t="str">
        <f>IFERROR(VLOOKUP($C419,Tabla_Documentos[],6,FALSE),"")</f>
        <v>PUBLICIDAD</v>
      </c>
      <c r="I419" s="38">
        <f>IFERROR(VLOOKUP($C419,Tabla_Documentos[],5,FALSE),"")</f>
        <v>40001</v>
      </c>
      <c r="J419" s="25">
        <v>45843</v>
      </c>
    </row>
    <row r="420" spans="3:10" ht="21" customHeight="1" x14ac:dyDescent="0.25">
      <c r="C420" s="39">
        <v>1326</v>
      </c>
      <c r="D420" s="28">
        <f>IFERROR(VLOOKUP($C420,Tabla_Documentos[],2,FALSE),"")</f>
        <v>45843</v>
      </c>
      <c r="E420" s="34" t="str">
        <f>IFERROR(VLOOKUP($C420,Tabla_Documentos[],3,FALSE),"")</f>
        <v>76398726-4</v>
      </c>
      <c r="F420" s="35" t="str">
        <f>IFERROR(VLOOKUP($C420,Tabla_Documentos[],4,FALSE),"")</f>
        <v>CENTRO DE GESTIÃ“N Y NEGOCIOS SPA</v>
      </c>
      <c r="G420" s="38">
        <f>IFERROR(VLOOKUP($C420,Tabla_Documentos[],5,FALSE),"")</f>
        <v>45220</v>
      </c>
      <c r="H420" s="29" t="str">
        <f>IFERROR(VLOOKUP($C420,Tabla_Documentos[],6,FALSE),"")</f>
        <v>PUBLICIDAD</v>
      </c>
      <c r="I420" s="38">
        <f>IFERROR(VLOOKUP($C420,Tabla_Documentos[],5,FALSE),"")</f>
        <v>45220</v>
      </c>
      <c r="J420" s="25">
        <v>45843</v>
      </c>
    </row>
    <row r="421" spans="3:10" ht="21" customHeight="1" x14ac:dyDescent="0.25">
      <c r="C421" s="39">
        <v>1327</v>
      </c>
      <c r="D421" s="28">
        <f>IFERROR(VLOOKUP($C421,Tabla_Documentos[],2,FALSE),"")</f>
        <v>45843</v>
      </c>
      <c r="E421" s="34" t="str">
        <f>IFERROR(VLOOKUP($C421,Tabla_Documentos[],3,FALSE),"")</f>
        <v>10002106-4</v>
      </c>
      <c r="F421" s="35" t="str">
        <f>IFERROR(VLOOKUP($C421,Tabla_Documentos[],4,FALSE),"")</f>
        <v>ALEJANDRO SALVADOR ALQUINTA ALARCON</v>
      </c>
      <c r="G421" s="38">
        <f>IFERROR(VLOOKUP($C421,Tabla_Documentos[],5,FALSE),"")</f>
        <v>35700</v>
      </c>
      <c r="H421" s="29" t="str">
        <f>IFERROR(VLOOKUP($C421,Tabla_Documentos[],6,FALSE),"")</f>
        <v>PUBLICIDAD</v>
      </c>
      <c r="I421" s="38">
        <f>IFERROR(VLOOKUP($C421,Tabla_Documentos[],5,FALSE),"")</f>
        <v>35700</v>
      </c>
      <c r="J421" s="25">
        <v>45843</v>
      </c>
    </row>
    <row r="422" spans="3:10" ht="21" customHeight="1" x14ac:dyDescent="0.25">
      <c r="C422" s="39">
        <v>1328</v>
      </c>
      <c r="D422" s="28">
        <f>IFERROR(VLOOKUP($C422,Tabla_Documentos[],2,FALSE),"")</f>
        <v>45845</v>
      </c>
      <c r="E422" s="34" t="str">
        <f>IFERROR(VLOOKUP($C422,Tabla_Documentos[],3,FALSE),"")</f>
        <v>77575868-6</v>
      </c>
      <c r="F422" s="35" t="str">
        <f>IFERROR(VLOOKUP($C422,Tabla_Documentos[],4,FALSE),"")</f>
        <v>IMPORTADORA Y COMERCIALIZADORA CARLOS PIZARRO E.I.R.L.</v>
      </c>
      <c r="G422" s="38">
        <f>IFERROR(VLOOKUP($C422,Tabla_Documentos[],5,FALSE),"")</f>
        <v>48000</v>
      </c>
      <c r="H422" s="29" t="str">
        <f>IFERROR(VLOOKUP($C422,Tabla_Documentos[],6,FALSE),"")</f>
        <v>PUBLICIDAD</v>
      </c>
      <c r="I422" s="38">
        <f>IFERROR(VLOOKUP($C422,Tabla_Documentos[],5,FALSE),"")</f>
        <v>48000</v>
      </c>
      <c r="J422" s="25">
        <v>45845</v>
      </c>
    </row>
    <row r="423" spans="3:10" ht="21" customHeight="1" x14ac:dyDescent="0.25">
      <c r="C423" s="39">
        <v>1329</v>
      </c>
      <c r="D423" s="28">
        <f>IFERROR(VLOOKUP($C423,Tabla_Documentos[],2,FALSE),"")</f>
        <v>45845</v>
      </c>
      <c r="E423" s="34" t="str">
        <f>IFERROR(VLOOKUP($C423,Tabla_Documentos[],3,FALSE),"")</f>
        <v>76250422-7</v>
      </c>
      <c r="F423" s="35" t="str">
        <f>IFERROR(VLOOKUP($C423,Tabla_Documentos[],4,FALSE),"")</f>
        <v>CENTRO DE RECICLAJE DEL NORTE LIMITADA</v>
      </c>
      <c r="G423" s="38">
        <f>IFERROR(VLOOKUP($C423,Tabla_Documentos[],5,FALSE),"")</f>
        <v>559300</v>
      </c>
      <c r="H423" s="29" t="str">
        <f>IFERROR(VLOOKUP($C423,Tabla_Documentos[],6,FALSE),"")</f>
        <v>PUBLICIDAD</v>
      </c>
      <c r="I423" s="38">
        <f>IFERROR(VLOOKUP($C423,Tabla_Documentos[],5,FALSE),"")</f>
        <v>559300</v>
      </c>
      <c r="J423" s="25">
        <v>45881</v>
      </c>
    </row>
    <row r="424" spans="3:10" ht="21" customHeight="1" x14ac:dyDescent="0.25">
      <c r="C424" s="39">
        <v>1330</v>
      </c>
      <c r="D424" s="28">
        <f>IFERROR(VLOOKUP($C424,Tabla_Documentos[],2,FALSE),"")</f>
        <v>45845</v>
      </c>
      <c r="E424" s="34" t="str">
        <f>IFERROR(VLOOKUP($C424,Tabla_Documentos[],3,FALSE),"")</f>
        <v>76250422-7</v>
      </c>
      <c r="F424" s="35" t="str">
        <f>IFERROR(VLOOKUP($C424,Tabla_Documentos[],4,FALSE),"")</f>
        <v>CENTRO DE RECICLAJE DEL NORTE LIMITADA</v>
      </c>
      <c r="G424" s="38">
        <f>IFERROR(VLOOKUP($C424,Tabla_Documentos[],5,FALSE),"")</f>
        <v>345100</v>
      </c>
      <c r="H424" s="29" t="str">
        <f>IFERROR(VLOOKUP($C424,Tabla_Documentos[],6,FALSE),"")</f>
        <v>PUBLICIDAD</v>
      </c>
      <c r="I424" s="38">
        <f>IFERROR(VLOOKUP($C424,Tabla_Documentos[],5,FALSE),"")</f>
        <v>345100</v>
      </c>
      <c r="J424" s="25">
        <v>45881</v>
      </c>
    </row>
    <row r="425" spans="3:10" ht="21" customHeight="1" x14ac:dyDescent="0.25">
      <c r="C425" s="39">
        <v>1331</v>
      </c>
      <c r="D425" s="28">
        <f>IFERROR(VLOOKUP($C425,Tabla_Documentos[],2,FALSE),"")</f>
        <v>45846</v>
      </c>
      <c r="E425" s="34" t="str">
        <f>IFERROR(VLOOKUP($C425,Tabla_Documentos[],3,FALSE),"")</f>
        <v>76947776-4</v>
      </c>
      <c r="F425" s="35" t="str">
        <f>IFERROR(VLOOKUP($C425,Tabla_Documentos[],4,FALSE),"")</f>
        <v>RBM FIRE PROTECTION SPA</v>
      </c>
      <c r="G425" s="38">
        <f>IFERROR(VLOOKUP($C425,Tabla_Documentos[],5,FALSE),"")</f>
        <v>59500</v>
      </c>
      <c r="H425" s="29" t="str">
        <f>IFERROR(VLOOKUP($C425,Tabla_Documentos[],6,FALSE),"")</f>
        <v>PUBLICIDAD</v>
      </c>
      <c r="I425" s="38">
        <f>IFERROR(VLOOKUP($C425,Tabla_Documentos[],5,FALSE),"")</f>
        <v>59500</v>
      </c>
      <c r="J425" s="25">
        <v>45846</v>
      </c>
    </row>
    <row r="426" spans="3:10" ht="21" customHeight="1" x14ac:dyDescent="0.25">
      <c r="C426" s="39">
        <v>1332</v>
      </c>
      <c r="D426" s="28">
        <f>IFERROR(VLOOKUP($C426,Tabla_Documentos[],2,FALSE),"")</f>
        <v>45846</v>
      </c>
      <c r="E426" s="34" t="str">
        <f>IFERROR(VLOOKUP($C426,Tabla_Documentos[],3,FALSE),"")</f>
        <v>76346498-9</v>
      </c>
      <c r="F426" s="35" t="str">
        <f>IFERROR(VLOOKUP($C426,Tabla_Documentos[],4,FALSE),"")</f>
        <v>CONSTRUCTORA CARLOS ALBERTO ANDRES ALBISTUR REYES E.I.R.L.</v>
      </c>
      <c r="G426" s="38">
        <f>IFERROR(VLOOKUP($C426,Tabla_Documentos[],5,FALSE),"")</f>
        <v>249186</v>
      </c>
      <c r="H426" s="29" t="str">
        <f>IFERROR(VLOOKUP($C426,Tabla_Documentos[],6,FALSE),"")</f>
        <v>PUBLICIDAD</v>
      </c>
      <c r="I426" s="38">
        <f>IFERROR(VLOOKUP($C426,Tabla_Documentos[],5,FALSE),"")</f>
        <v>249186</v>
      </c>
      <c r="J426" s="25">
        <v>45859</v>
      </c>
    </row>
    <row r="427" spans="3:10" ht="21" customHeight="1" x14ac:dyDescent="0.25">
      <c r="C427" s="39">
        <v>1333</v>
      </c>
      <c r="D427" s="28">
        <f>IFERROR(VLOOKUP($C427,Tabla_Documentos[],2,FALSE),"")</f>
        <v>45846</v>
      </c>
      <c r="E427" s="34" t="str">
        <f>IFERROR(VLOOKUP($C427,Tabla_Documentos[],3,FALSE),"")</f>
        <v>76976580-8</v>
      </c>
      <c r="F427" s="35" t="str">
        <f>IFERROR(VLOOKUP($C427,Tabla_Documentos[],4,FALSE),"")</f>
        <v>GRANDLEASING SPA</v>
      </c>
      <c r="G427" s="38">
        <f>IFERROR(VLOOKUP($C427,Tabla_Documentos[],5,FALSE),"")</f>
        <v>177072</v>
      </c>
      <c r="H427" s="29" t="str">
        <f>IFERROR(VLOOKUP($C427,Tabla_Documentos[],6,FALSE),"")</f>
        <v>PUBLICIDAD</v>
      </c>
      <c r="I427" s="38">
        <f>IFERROR(VLOOKUP($C427,Tabla_Documentos[],5,FALSE),"")</f>
        <v>177072</v>
      </c>
      <c r="J427" s="25">
        <v>45874</v>
      </c>
    </row>
    <row r="428" spans="3:10" ht="21" customHeight="1" x14ac:dyDescent="0.25">
      <c r="C428" s="39">
        <v>1334</v>
      </c>
      <c r="D428" s="28">
        <f>IFERROR(VLOOKUP($C428,Tabla_Documentos[],2,FALSE),"")</f>
        <v>45847</v>
      </c>
      <c r="E428" s="34" t="str">
        <f>IFERROR(VLOOKUP($C428,Tabla_Documentos[],3,FALSE),"")</f>
        <v>15612090-1</v>
      </c>
      <c r="F428" s="35" t="str">
        <f>IFERROR(VLOOKUP($C428,Tabla_Documentos[],4,FALSE),"")</f>
        <v>JEAN MAURICIO OLIVARES TOLEDO</v>
      </c>
      <c r="G428" s="38">
        <f>IFERROR(VLOOKUP($C428,Tabla_Documentos[],5,FALSE),"")</f>
        <v>17850</v>
      </c>
      <c r="H428" s="29" t="str">
        <f>IFERROR(VLOOKUP($C428,Tabla_Documentos[],6,FALSE),"")</f>
        <v>PUBLICIDAD</v>
      </c>
      <c r="I428" s="38">
        <f>IFERROR(VLOOKUP($C428,Tabla_Documentos[],5,FALSE),"")</f>
        <v>17850</v>
      </c>
      <c r="J428" s="25">
        <v>45847</v>
      </c>
    </row>
    <row r="429" spans="3:10" ht="21" customHeight="1" x14ac:dyDescent="0.25">
      <c r="C429" s="39">
        <v>1335</v>
      </c>
      <c r="D429" s="28">
        <f>IFERROR(VLOOKUP($C429,Tabla_Documentos[],2,FALSE),"")</f>
        <v>45847</v>
      </c>
      <c r="E429" s="34" t="str">
        <f>IFERROR(VLOOKUP($C429,Tabla_Documentos[],3,FALSE),"")</f>
        <v>77082646-2</v>
      </c>
      <c r="F429" s="35" t="str">
        <f>IFERROR(VLOOKUP($C429,Tabla_Documentos[],4,FALSE),"")</f>
        <v>SOCIEDAD COMERCIALIZADORA Y DISTRIBUIDORA TRES VALLES SPA</v>
      </c>
      <c r="G429" s="38">
        <f>IFERROR(VLOOKUP($C429,Tabla_Documentos[],5,FALSE),"")</f>
        <v>5950</v>
      </c>
      <c r="H429" s="29" t="str">
        <f>IFERROR(VLOOKUP($C429,Tabla_Documentos[],6,FALSE),"")</f>
        <v>PUBLICIDAD</v>
      </c>
      <c r="I429" s="38">
        <f>IFERROR(VLOOKUP($C429,Tabla_Documentos[],5,FALSE),"")</f>
        <v>5950</v>
      </c>
      <c r="J429" s="25">
        <v>45847</v>
      </c>
    </row>
    <row r="430" spans="3:10" ht="21" customHeight="1" x14ac:dyDescent="0.25">
      <c r="C430" s="39">
        <v>1336</v>
      </c>
      <c r="D430" s="28">
        <f>IFERROR(VLOOKUP($C430,Tabla_Documentos[],2,FALSE),"")</f>
        <v>45847</v>
      </c>
      <c r="E430" s="34" t="str">
        <f>IFERROR(VLOOKUP($C430,Tabla_Documentos[],3,FALSE),"")</f>
        <v>78055616-1</v>
      </c>
      <c r="F430" s="35" t="str">
        <f>IFERROR(VLOOKUP($C430,Tabla_Documentos[],4,FALSE),"")</f>
        <v>SERVICIOS INTEGRALES LA RIVERA SPA</v>
      </c>
      <c r="G430" s="38">
        <f>IFERROR(VLOOKUP($C430,Tabla_Documentos[],5,FALSE),"")</f>
        <v>95200</v>
      </c>
      <c r="H430" s="29" t="str">
        <f>IFERROR(VLOOKUP($C430,Tabla_Documentos[],6,FALSE),"")</f>
        <v>PUBLICIDAD</v>
      </c>
      <c r="I430" s="38">
        <f>IFERROR(VLOOKUP($C430,Tabla_Documentos[],5,FALSE),"")</f>
        <v>95200</v>
      </c>
      <c r="J430" s="25">
        <v>45847</v>
      </c>
    </row>
    <row r="431" spans="3:10" ht="21" customHeight="1" x14ac:dyDescent="0.25">
      <c r="C431" s="39">
        <v>1337</v>
      </c>
      <c r="D431" s="28">
        <f>IFERROR(VLOOKUP($C431,Tabla_Documentos[],2,FALSE),"")</f>
        <v>45847</v>
      </c>
      <c r="E431" s="34" t="str">
        <f>IFERROR(VLOOKUP($C431,Tabla_Documentos[],3,FALSE),"")</f>
        <v>77320970-7</v>
      </c>
      <c r="F431" s="35" t="str">
        <f>IFERROR(VLOOKUP($C431,Tabla_Documentos[],4,FALSE),"")</f>
        <v>NEWTRANS LOGISTICS CHILE SPA</v>
      </c>
      <c r="G431" s="38">
        <f>IFERROR(VLOOKUP($C431,Tabla_Documentos[],5,FALSE),"")</f>
        <v>15000</v>
      </c>
      <c r="H431" s="29" t="str">
        <f>IFERROR(VLOOKUP($C431,Tabla_Documentos[],6,FALSE),"")</f>
        <v>PUBLICIDAD</v>
      </c>
      <c r="I431" s="38">
        <f>IFERROR(VLOOKUP($C431,Tabla_Documentos[],5,FALSE),"")</f>
        <v>15000</v>
      </c>
      <c r="J431" s="25">
        <v>45847</v>
      </c>
    </row>
    <row r="432" spans="3:10" ht="21" customHeight="1" x14ac:dyDescent="0.25">
      <c r="C432" s="39">
        <v>1338</v>
      </c>
      <c r="D432" s="28">
        <f>IFERROR(VLOOKUP($C432,Tabla_Documentos[],2,FALSE),"")</f>
        <v>45847</v>
      </c>
      <c r="E432" s="34" t="str">
        <f>IFERROR(VLOOKUP($C432,Tabla_Documentos[],3,FALSE),"")</f>
        <v>76948401-9</v>
      </c>
      <c r="F432" s="35" t="str">
        <f>IFERROR(VLOOKUP($C432,Tabla_Documentos[],4,FALSE),"")</f>
        <v>ZACH PROYECTOS SA</v>
      </c>
      <c r="G432" s="38">
        <f>IFERROR(VLOOKUP($C432,Tabla_Documentos[],5,FALSE),"")</f>
        <v>404600</v>
      </c>
      <c r="H432" s="29" t="str">
        <f>IFERROR(VLOOKUP($C432,Tabla_Documentos[],6,FALSE),"")</f>
        <v>PUBLICIDAD</v>
      </c>
      <c r="I432" s="38">
        <f>IFERROR(VLOOKUP($C432,Tabla_Documentos[],5,FALSE),"")</f>
        <v>404600</v>
      </c>
      <c r="J432" s="25">
        <v>45922</v>
      </c>
    </row>
    <row r="433" spans="3:10" ht="21" customHeight="1" x14ac:dyDescent="0.25">
      <c r="C433" s="39">
        <v>1339</v>
      </c>
      <c r="D433" s="28">
        <f>IFERROR(VLOOKUP($C433,Tabla_Documentos[],2,FALSE),"")</f>
        <v>45847</v>
      </c>
      <c r="E433" s="34" t="str">
        <f>IFERROR(VLOOKUP($C433,Tabla_Documentos[],3,FALSE),"")</f>
        <v>77313060-4</v>
      </c>
      <c r="F433" s="35" t="str">
        <f>IFERROR(VLOOKUP($C433,Tabla_Documentos[],4,FALSE),"")</f>
        <v>COMERCIAL SERPAN SPA</v>
      </c>
      <c r="G433" s="38">
        <f>IFERROR(VLOOKUP($C433,Tabla_Documentos[],5,FALSE),"")</f>
        <v>11900</v>
      </c>
      <c r="H433" s="29" t="str">
        <f>IFERROR(VLOOKUP($C433,Tabla_Documentos[],6,FALSE),"")</f>
        <v>PUBLICIDAD</v>
      </c>
      <c r="I433" s="38">
        <f>IFERROR(VLOOKUP($C433,Tabla_Documentos[],5,FALSE),"")</f>
        <v>11900</v>
      </c>
      <c r="J433" s="25">
        <v>45877</v>
      </c>
    </row>
    <row r="434" spans="3:10" ht="21" customHeight="1" x14ac:dyDescent="0.25">
      <c r="C434" s="39">
        <v>1340</v>
      </c>
      <c r="D434" s="28">
        <f>IFERROR(VLOOKUP($C434,Tabla_Documentos[],2,FALSE),"")</f>
        <v>45847</v>
      </c>
      <c r="E434" s="34" t="str">
        <f>IFERROR(VLOOKUP($C434,Tabla_Documentos[],3,FALSE),"")</f>
        <v>76255245-0</v>
      </c>
      <c r="F434" s="35" t="str">
        <f>IFERROR(VLOOKUP($C434,Tabla_Documentos[],4,FALSE),"")</f>
        <v>SIDESA CHILE S.A.</v>
      </c>
      <c r="G434" s="38">
        <f>IFERROR(VLOOKUP($C434,Tabla_Documentos[],5,FALSE),"")</f>
        <v>886550</v>
      </c>
      <c r="H434" s="29" t="str">
        <f>IFERROR(VLOOKUP($C434,Tabla_Documentos[],6,FALSE),"")</f>
        <v>BELEN</v>
      </c>
      <c r="I434" s="38">
        <f>IFERROR(VLOOKUP($C434,Tabla_Documentos[],5,FALSE),"")</f>
        <v>886550</v>
      </c>
      <c r="J434" s="25">
        <v>45876</v>
      </c>
    </row>
    <row r="435" spans="3:10" ht="21" customHeight="1" x14ac:dyDescent="0.25">
      <c r="C435" s="39">
        <v>1341</v>
      </c>
      <c r="D435" s="28">
        <f>IFERROR(VLOOKUP($C435,Tabla_Documentos[],2,FALSE),"")</f>
        <v>45847</v>
      </c>
      <c r="E435" s="34" t="str">
        <f>IFERROR(VLOOKUP($C435,Tabla_Documentos[],3,FALSE),"")</f>
        <v>8601375-4</v>
      </c>
      <c r="F435" s="35" t="str">
        <f>IFERROR(VLOOKUP($C435,Tabla_Documentos[],4,FALSE),"")</f>
        <v>CLARA ELENA GONZALEZ OCAYO</v>
      </c>
      <c r="G435" s="38">
        <f>IFERROR(VLOOKUP($C435,Tabla_Documentos[],5,FALSE),"")</f>
        <v>261800</v>
      </c>
      <c r="H435" s="29" t="str">
        <f>IFERROR(VLOOKUP($C435,Tabla_Documentos[],6,FALSE),"")</f>
        <v>PUBLICIDAD</v>
      </c>
      <c r="I435" s="38">
        <f>IFERROR(VLOOKUP($C435,Tabla_Documentos[],5,FALSE),"")</f>
        <v>261800</v>
      </c>
      <c r="J435" s="25">
        <v>45847</v>
      </c>
    </row>
    <row r="436" spans="3:10" ht="21" customHeight="1" x14ac:dyDescent="0.25">
      <c r="C436" s="39">
        <v>1342</v>
      </c>
      <c r="D436" s="28">
        <f>IFERROR(VLOOKUP($C436,Tabla_Documentos[],2,FALSE),"")</f>
        <v>45848</v>
      </c>
      <c r="E436" s="34" t="str">
        <f>IFERROR(VLOOKUP($C436,Tabla_Documentos[],3,FALSE),"")</f>
        <v>76686138-5</v>
      </c>
      <c r="F436" s="35" t="str">
        <f>IFERROR(VLOOKUP($C436,Tabla_Documentos[],4,FALSE),"")</f>
        <v>SKC RED SPA</v>
      </c>
      <c r="G436" s="38">
        <f>IFERROR(VLOOKUP($C436,Tabla_Documentos[],5,FALSE),"")</f>
        <v>190400</v>
      </c>
      <c r="H436" s="29" t="str">
        <f>IFERROR(VLOOKUP($C436,Tabla_Documentos[],6,FALSE),"")</f>
        <v>PUBLICIDAD</v>
      </c>
      <c r="I436" s="38">
        <f>IFERROR(VLOOKUP($C436,Tabla_Documentos[],5,FALSE),"")</f>
        <v>190400</v>
      </c>
      <c r="J436" s="25">
        <v>45877</v>
      </c>
    </row>
    <row r="437" spans="3:10" ht="21" customHeight="1" x14ac:dyDescent="0.25">
      <c r="C437" s="39">
        <v>1343</v>
      </c>
      <c r="D437" s="28">
        <f>IFERROR(VLOOKUP($C437,Tabla_Documentos[],2,FALSE),"")</f>
        <v>45848</v>
      </c>
      <c r="E437" s="34" t="str">
        <f>IFERROR(VLOOKUP($C437,Tabla_Documentos[],3,FALSE),"")</f>
        <v>76650779-4</v>
      </c>
      <c r="F437" s="35" t="str">
        <f>IFERROR(VLOOKUP($C437,Tabla_Documentos[],4,FALSE),"")</f>
        <v>SOLUCIONES GLOBALES CARLOS HERBERTO MOSCOSO</v>
      </c>
      <c r="G437" s="38">
        <f>IFERROR(VLOOKUP($C437,Tabla_Documentos[],5,FALSE),"")</f>
        <v>821100</v>
      </c>
      <c r="H437" s="29" t="str">
        <f>IFERROR(VLOOKUP($C437,Tabla_Documentos[],6,FALSE),"")</f>
        <v>PUBLICIDAD</v>
      </c>
      <c r="I437" s="38">
        <f>IFERROR(VLOOKUP($C437,Tabla_Documentos[],5,FALSE),"")</f>
        <v>821100</v>
      </c>
      <c r="J437" s="25">
        <v>45848</v>
      </c>
    </row>
    <row r="438" spans="3:10" ht="21" customHeight="1" x14ac:dyDescent="0.25">
      <c r="C438" s="39">
        <v>1344</v>
      </c>
      <c r="D438" s="28">
        <f>IFERROR(VLOOKUP($C438,Tabla_Documentos[],2,FALSE),"")</f>
        <v>45848</v>
      </c>
      <c r="E438" s="34" t="str">
        <f>IFERROR(VLOOKUP($C438,Tabla_Documentos[],3,FALSE),"")</f>
        <v>77721807-7</v>
      </c>
      <c r="F438" s="35" t="str">
        <f>IFERROR(VLOOKUP($C438,Tabla_Documentos[],4,FALSE),"")</f>
        <v>RESITER SERVICIOS GENERALES SPA</v>
      </c>
      <c r="G438" s="38">
        <f>IFERROR(VLOOKUP($C438,Tabla_Documentos[],5,FALSE),"")</f>
        <v>28560</v>
      </c>
      <c r="H438" s="29" t="str">
        <f>IFERROR(VLOOKUP($C438,Tabla_Documentos[],6,FALSE),"")</f>
        <v>PUBLICIDAD</v>
      </c>
      <c r="I438" s="38">
        <f>IFERROR(VLOOKUP($C438,Tabla_Documentos[],5,FALSE),"")</f>
        <v>28560</v>
      </c>
      <c r="J438" s="25">
        <v>45848</v>
      </c>
    </row>
    <row r="439" spans="3:10" ht="21" customHeight="1" x14ac:dyDescent="0.25">
      <c r="C439" s="39">
        <v>1345</v>
      </c>
      <c r="D439" s="28">
        <f>IFERROR(VLOOKUP($C439,Tabla_Documentos[],2,FALSE),"")</f>
        <v>45849</v>
      </c>
      <c r="E439" s="34" t="str">
        <f>IFERROR(VLOOKUP($C439,Tabla_Documentos[],3,FALSE),"")</f>
        <v>77511008-2</v>
      </c>
      <c r="F439" s="35" t="str">
        <f>IFERROR(VLOOKUP($C439,Tabla_Documentos[],4,FALSE),"")</f>
        <v>MULTISERVICIOS SANABRIA SPA</v>
      </c>
      <c r="G439" s="38">
        <f>IFERROR(VLOOKUP($C439,Tabla_Documentos[],5,FALSE),"")</f>
        <v>113050</v>
      </c>
      <c r="H439" s="29" t="str">
        <f>IFERROR(VLOOKUP($C439,Tabla_Documentos[],6,FALSE),"")</f>
        <v>PUBLICIDAD</v>
      </c>
      <c r="I439" s="38">
        <f>IFERROR(VLOOKUP($C439,Tabla_Documentos[],5,FALSE),"")</f>
        <v>113050</v>
      </c>
      <c r="J439" s="25">
        <v>45849</v>
      </c>
    </row>
    <row r="440" spans="3:10" ht="21" customHeight="1" x14ac:dyDescent="0.25">
      <c r="C440" s="39">
        <v>1346</v>
      </c>
      <c r="D440" s="28">
        <f>IFERROR(VLOOKUP($C440,Tabla_Documentos[],2,FALSE),"")</f>
        <v>45849</v>
      </c>
      <c r="E440" s="34" t="str">
        <f>IFERROR(VLOOKUP($C440,Tabla_Documentos[],3,FALSE),"")</f>
        <v>76346498-9</v>
      </c>
      <c r="F440" s="35" t="str">
        <f>IFERROR(VLOOKUP($C440,Tabla_Documentos[],4,FALSE),"")</f>
        <v>CONSTRUCTORA CARLOS ALBERTO ANDRES ALBISTUR REYES E.I.R.L.</v>
      </c>
      <c r="G440" s="38">
        <f>IFERROR(VLOOKUP($C440,Tabla_Documentos[],5,FALSE),"")</f>
        <v>96331</v>
      </c>
      <c r="H440" s="29" t="str">
        <f>IFERROR(VLOOKUP($C440,Tabla_Documentos[],6,FALSE),"")</f>
        <v>PUBLICIDAD</v>
      </c>
      <c r="I440" s="38">
        <f>IFERROR(VLOOKUP($C440,Tabla_Documentos[],5,FALSE),"")</f>
        <v>96331</v>
      </c>
      <c r="J440" s="25">
        <v>45863</v>
      </c>
    </row>
    <row r="441" spans="3:10" ht="21" customHeight="1" x14ac:dyDescent="0.25">
      <c r="C441" s="39">
        <v>1347</v>
      </c>
      <c r="D441" s="28">
        <f>IFERROR(VLOOKUP($C441,Tabla_Documentos[],2,FALSE),"")</f>
        <v>45849</v>
      </c>
      <c r="E441" s="34" t="str">
        <f>IFERROR(VLOOKUP($C441,Tabla_Documentos[],3,FALSE),"")</f>
        <v>76096835-8</v>
      </c>
      <c r="F441" s="35" t="str">
        <f>IFERROR(VLOOKUP($C441,Tabla_Documentos[],4,FALSE),"")</f>
        <v>COMERCIAL TOTAL TRADER LIMITADA</v>
      </c>
      <c r="G441" s="38">
        <f>IFERROR(VLOOKUP($C441,Tabla_Documentos[],5,FALSE),"")</f>
        <v>71400</v>
      </c>
      <c r="H441" s="29" t="str">
        <f>IFERROR(VLOOKUP($C441,Tabla_Documentos[],6,FALSE),"")</f>
        <v>PUBLICIDAD</v>
      </c>
      <c r="I441" s="38">
        <f>IFERROR(VLOOKUP($C441,Tabla_Documentos[],5,FALSE),"")</f>
        <v>71400</v>
      </c>
      <c r="J441" s="25">
        <v>45849</v>
      </c>
    </row>
    <row r="442" spans="3:10" ht="21" customHeight="1" x14ac:dyDescent="0.25">
      <c r="C442" s="39">
        <v>1348</v>
      </c>
      <c r="D442" s="28">
        <f>IFERROR(VLOOKUP($C442,Tabla_Documentos[],2,FALSE),"")</f>
        <v>45849</v>
      </c>
      <c r="E442" s="34" t="str">
        <f>IFERROR(VLOOKUP($C442,Tabla_Documentos[],3,FALSE),"")</f>
        <v>78095644-5</v>
      </c>
      <c r="F442" s="35" t="str">
        <f>IFERROR(VLOOKUP($C442,Tabla_Documentos[],4,FALSE),"")</f>
        <v>TRANSPORTE Y ARRIENDO MAQUINARIAS RAYKAR SPA</v>
      </c>
      <c r="G442" s="38">
        <f>IFERROR(VLOOKUP($C442,Tabla_Documentos[],5,FALSE),"")</f>
        <v>279650</v>
      </c>
      <c r="H442" s="29" t="str">
        <f>IFERROR(VLOOKUP($C442,Tabla_Documentos[],6,FALSE),"")</f>
        <v>PUBLICIDAD</v>
      </c>
      <c r="I442" s="38">
        <f>IFERROR(VLOOKUP($C442,Tabla_Documentos[],5,FALSE),"")</f>
        <v>279650</v>
      </c>
      <c r="J442" s="25">
        <v>45849</v>
      </c>
    </row>
    <row r="443" spans="3:10" ht="21" customHeight="1" x14ac:dyDescent="0.25">
      <c r="C443" s="39">
        <v>1349</v>
      </c>
      <c r="D443" s="28">
        <f>IFERROR(VLOOKUP($C443,Tabla_Documentos[],2,FALSE),"")</f>
        <v>45852</v>
      </c>
      <c r="E443" s="34" t="str">
        <f>IFERROR(VLOOKUP($C443,Tabla_Documentos[],3,FALSE),"")</f>
        <v>76744135-5</v>
      </c>
      <c r="F443" s="35" t="str">
        <f>IFERROR(VLOOKUP($C443,Tabla_Documentos[],4,FALSE),"")</f>
        <v>PATAGONIA SERVICIOS SPA</v>
      </c>
      <c r="G443" s="38">
        <f>IFERROR(VLOOKUP($C443,Tabla_Documentos[],5,FALSE),"")</f>
        <v>3248700</v>
      </c>
      <c r="H443" s="29" t="str">
        <f>IFERROR(VLOOKUP($C443,Tabla_Documentos[],6,FALSE),"")</f>
        <v>OBRAS CIVILES</v>
      </c>
      <c r="I443" s="38">
        <f>IFERROR(VLOOKUP($C443,Tabla_Documentos[],5,FALSE),"")</f>
        <v>3248700</v>
      </c>
      <c r="J443" s="25">
        <v>45911</v>
      </c>
    </row>
    <row r="444" spans="3:10" ht="21" customHeight="1" x14ac:dyDescent="0.25">
      <c r="C444" s="39">
        <v>1350</v>
      </c>
      <c r="D444" s="28">
        <f>IFERROR(VLOOKUP($C444,Tabla_Documentos[],2,FALSE),"")</f>
        <v>45852</v>
      </c>
      <c r="E444" s="34" t="str">
        <f>IFERROR(VLOOKUP($C444,Tabla_Documentos[],3,FALSE),"")</f>
        <v>76744135-5</v>
      </c>
      <c r="F444" s="35" t="str">
        <f>IFERROR(VLOOKUP($C444,Tabla_Documentos[],4,FALSE),"")</f>
        <v>PATAGONIA SERVICIOS SPA</v>
      </c>
      <c r="G444" s="38">
        <f>IFERROR(VLOOKUP($C444,Tabla_Documentos[],5,FALSE),"")</f>
        <v>3248700</v>
      </c>
      <c r="H444" s="29" t="str">
        <f>IFERROR(VLOOKUP($C444,Tabla_Documentos[],6,FALSE),"")</f>
        <v>PUBLICIDAD</v>
      </c>
      <c r="I444" s="38">
        <f>IFERROR(VLOOKUP($C444,Tabla_Documentos[],5,FALSE),"")</f>
        <v>3248700</v>
      </c>
      <c r="J444" s="25">
        <v>45911</v>
      </c>
    </row>
    <row r="445" spans="3:10" ht="21" customHeight="1" x14ac:dyDescent="0.25">
      <c r="C445" s="39">
        <v>1351</v>
      </c>
      <c r="D445" s="28">
        <f>IFERROR(VLOOKUP($C445,Tabla_Documentos[],2,FALSE),"")</f>
        <v>45853</v>
      </c>
      <c r="E445" s="34" t="str">
        <f>IFERROR(VLOOKUP($C445,Tabla_Documentos[],3,FALSE),"")</f>
        <v>76311879-7</v>
      </c>
      <c r="F445" s="35" t="str">
        <f>IFERROR(VLOOKUP($C445,Tabla_Documentos[],4,FALSE),"")</f>
        <v>SOCIEDAD DE INVERSIONES SAN ALONSO SPA</v>
      </c>
      <c r="G445" s="38">
        <f>IFERROR(VLOOKUP($C445,Tabla_Documentos[],5,FALSE),"")</f>
        <v>260000</v>
      </c>
      <c r="H445" s="29" t="str">
        <f>IFERROR(VLOOKUP($C445,Tabla_Documentos[],6,FALSE),"")</f>
        <v>PUBLICIDAD</v>
      </c>
      <c r="I445" s="38">
        <f>IFERROR(VLOOKUP($C445,Tabla_Documentos[],5,FALSE),"")</f>
        <v>260000</v>
      </c>
      <c r="J445" s="25">
        <v>45853</v>
      </c>
    </row>
    <row r="446" spans="3:10" ht="21" customHeight="1" x14ac:dyDescent="0.25">
      <c r="C446" s="39">
        <v>1352</v>
      </c>
      <c r="D446" s="28">
        <f>IFERROR(VLOOKUP($C446,Tabla_Documentos[],2,FALSE),"")</f>
        <v>45854</v>
      </c>
      <c r="E446" s="34" t="str">
        <f>IFERROR(VLOOKUP($C446,Tabla_Documentos[],3,FALSE),"")</f>
        <v>76478614-9</v>
      </c>
      <c r="F446" s="35" t="str">
        <f>IFERROR(VLOOKUP($C446,Tabla_Documentos[],4,FALSE),"")</f>
        <v>INGENIERIA C Y G LIMITADA</v>
      </c>
      <c r="G446" s="38">
        <f>IFERROR(VLOOKUP($C446,Tabla_Documentos[],5,FALSE),"")</f>
        <v>66640</v>
      </c>
      <c r="H446" s="29" t="str">
        <f>IFERROR(VLOOKUP($C446,Tabla_Documentos[],6,FALSE),"")</f>
        <v>PUBLICIDAD</v>
      </c>
      <c r="I446" s="38">
        <f>IFERROR(VLOOKUP($C446,Tabla_Documentos[],5,FALSE),"")</f>
        <v>66640</v>
      </c>
      <c r="J446" s="25">
        <v>45854</v>
      </c>
    </row>
    <row r="447" spans="3:10" ht="21" customHeight="1" x14ac:dyDescent="0.25">
      <c r="C447" s="39">
        <v>1353</v>
      </c>
      <c r="D447" s="28">
        <f>IFERROR(VLOOKUP($C447,Tabla_Documentos[],2,FALSE),"")</f>
        <v>45855</v>
      </c>
      <c r="E447" s="34" t="str">
        <f>IFERROR(VLOOKUP($C447,Tabla_Documentos[],3,FALSE),"")</f>
        <v>76346498-9</v>
      </c>
      <c r="F447" s="35" t="str">
        <f>IFERROR(VLOOKUP($C447,Tabla_Documentos[],4,FALSE),"")</f>
        <v>CONSTRUCTORA CARLOS ALBERTO ANDRES ALBISTUR REYES E.I.R.L.</v>
      </c>
      <c r="G447" s="38">
        <f>IFERROR(VLOOKUP($C447,Tabla_Documentos[],5,FALSE),"")</f>
        <v>41650</v>
      </c>
      <c r="H447" s="29" t="str">
        <f>IFERROR(VLOOKUP($C447,Tabla_Documentos[],6,FALSE),"")</f>
        <v>PUBLICIDAD</v>
      </c>
      <c r="I447" s="38">
        <f>IFERROR(VLOOKUP($C447,Tabla_Documentos[],5,FALSE),"")</f>
        <v>41650</v>
      </c>
      <c r="J447" s="25">
        <v>45891</v>
      </c>
    </row>
    <row r="448" spans="3:10" ht="21" customHeight="1" x14ac:dyDescent="0.25">
      <c r="C448" s="39">
        <v>1354</v>
      </c>
      <c r="D448" s="28">
        <f>IFERROR(VLOOKUP($C448,Tabla_Documentos[],2,FALSE),"")</f>
        <v>45855</v>
      </c>
      <c r="E448" s="34" t="str">
        <f>IFERROR(VLOOKUP($C448,Tabla_Documentos[],3,FALSE),"")</f>
        <v>76346498-9</v>
      </c>
      <c r="F448" s="35" t="str">
        <f>IFERROR(VLOOKUP($C448,Tabla_Documentos[],4,FALSE),"")</f>
        <v>CONSTRUCTORA CARLOS ALBERTO ANDRES ALBISTUR REYES E.I.R.L.</v>
      </c>
      <c r="G448" s="38">
        <f>IFERROR(VLOOKUP($C448,Tabla_Documentos[],5,FALSE),"")</f>
        <v>124950</v>
      </c>
      <c r="H448" s="29" t="str">
        <f>IFERROR(VLOOKUP($C448,Tabla_Documentos[],6,FALSE),"")</f>
        <v>PUBLICIDAD</v>
      </c>
      <c r="I448" s="38">
        <f>IFERROR(VLOOKUP($C448,Tabla_Documentos[],5,FALSE),"")</f>
        <v>124950</v>
      </c>
      <c r="J448" s="25">
        <v>45863</v>
      </c>
    </row>
    <row r="449" spans="3:10" ht="21" customHeight="1" x14ac:dyDescent="0.25">
      <c r="C449" s="39">
        <v>1355</v>
      </c>
      <c r="D449" s="28">
        <f>IFERROR(VLOOKUP($C449,Tabla_Documentos[],2,FALSE),"")</f>
        <v>45855</v>
      </c>
      <c r="E449" s="34" t="str">
        <f>IFERROR(VLOOKUP($C449,Tabla_Documentos[],3,FALSE),"")</f>
        <v>76864812-3</v>
      </c>
      <c r="F449" s="35" t="str">
        <f>IFERROR(VLOOKUP($C449,Tabla_Documentos[],4,FALSE),"")</f>
        <v>INVERSIONES SANTA LUISA LIMITADA</v>
      </c>
      <c r="G449" s="38">
        <f>IFERROR(VLOOKUP($C449,Tabla_Documentos[],5,FALSE),"")</f>
        <v>130900</v>
      </c>
      <c r="H449" s="29" t="str">
        <f>IFERROR(VLOOKUP($C449,Tabla_Documentos[],6,FALSE),"")</f>
        <v>PUBLICIDAD</v>
      </c>
      <c r="I449" s="38">
        <f>IFERROR(VLOOKUP($C449,Tabla_Documentos[],5,FALSE),"")</f>
        <v>130900</v>
      </c>
      <c r="J449" s="25">
        <v>45890</v>
      </c>
    </row>
    <row r="450" spans="3:10" ht="21" customHeight="1" x14ac:dyDescent="0.25">
      <c r="C450" s="39">
        <v>1356</v>
      </c>
      <c r="D450" s="28">
        <f>IFERROR(VLOOKUP($C450,Tabla_Documentos[],2,FALSE),"")</f>
        <v>45856</v>
      </c>
      <c r="E450" s="34" t="str">
        <f>IFERROR(VLOOKUP($C450,Tabla_Documentos[],3,FALSE),"")</f>
        <v>77406968-2</v>
      </c>
      <c r="F450" s="35" t="str">
        <f>IFERROR(VLOOKUP($C450,Tabla_Documentos[],4,FALSE),"")</f>
        <v>ROCPER INGENIERIA &amp; CONSTRUCCION SPA</v>
      </c>
      <c r="G450" s="38">
        <f>IFERROR(VLOOKUP($C450,Tabla_Documentos[],5,FALSE),"")</f>
        <v>190400</v>
      </c>
      <c r="H450" s="29" t="str">
        <f>IFERROR(VLOOKUP($C450,Tabla_Documentos[],6,FALSE),"")</f>
        <v>PUBLICIDAD</v>
      </c>
      <c r="I450" s="38">
        <f>IFERROR(VLOOKUP($C450,Tabla_Documentos[],5,FALSE),"")</f>
        <v>190400</v>
      </c>
      <c r="J450" s="25">
        <v>45856</v>
      </c>
    </row>
    <row r="451" spans="3:10" ht="21" customHeight="1" x14ac:dyDescent="0.25">
      <c r="C451" s="39">
        <v>1357</v>
      </c>
      <c r="D451" s="28">
        <f>IFERROR(VLOOKUP($C451,Tabla_Documentos[],2,FALSE),"")</f>
        <v>45856</v>
      </c>
      <c r="E451" s="34" t="str">
        <f>IFERROR(VLOOKUP($C451,Tabla_Documentos[],3,FALSE),"")</f>
        <v>78055616-1</v>
      </c>
      <c r="F451" s="35" t="str">
        <f>IFERROR(VLOOKUP($C451,Tabla_Documentos[],4,FALSE),"")</f>
        <v>SERVICIOS INTEGRALES LA RIVERA SPA</v>
      </c>
      <c r="G451" s="38">
        <f>IFERROR(VLOOKUP($C451,Tabla_Documentos[],5,FALSE),"")</f>
        <v>38080</v>
      </c>
      <c r="H451" s="29" t="str">
        <f>IFERROR(VLOOKUP($C451,Tabla_Documentos[],6,FALSE),"")</f>
        <v>PUBLICIDAD</v>
      </c>
      <c r="I451" s="38">
        <f>IFERROR(VLOOKUP($C451,Tabla_Documentos[],5,FALSE),"")</f>
        <v>38080</v>
      </c>
      <c r="J451" s="25">
        <v>45856</v>
      </c>
    </row>
    <row r="452" spans="3:10" ht="21" customHeight="1" x14ac:dyDescent="0.25">
      <c r="C452" s="39">
        <v>1358</v>
      </c>
      <c r="D452" s="28">
        <f>IFERROR(VLOOKUP($C452,Tabla_Documentos[],2,FALSE),"")</f>
        <v>45856</v>
      </c>
      <c r="E452" s="34" t="str">
        <f>IFERROR(VLOOKUP($C452,Tabla_Documentos[],3,FALSE),"")</f>
        <v>76686138-5</v>
      </c>
      <c r="F452" s="35" t="str">
        <f>IFERROR(VLOOKUP($C452,Tabla_Documentos[],4,FALSE),"")</f>
        <v>SKC RED SPA</v>
      </c>
      <c r="G452" s="38">
        <f>IFERROR(VLOOKUP($C452,Tabla_Documentos[],5,FALSE),"")</f>
        <v>17850</v>
      </c>
      <c r="H452" s="29" t="str">
        <f>IFERROR(VLOOKUP($C452,Tabla_Documentos[],6,FALSE),"")</f>
        <v>PUBLICIDAD</v>
      </c>
      <c r="I452" s="38">
        <f>IFERROR(VLOOKUP($C452,Tabla_Documentos[],5,FALSE),"")</f>
        <v>17850</v>
      </c>
      <c r="J452" s="25">
        <v>45883</v>
      </c>
    </row>
    <row r="453" spans="3:10" ht="21" customHeight="1" x14ac:dyDescent="0.25">
      <c r="C453" s="39">
        <v>1359</v>
      </c>
      <c r="D453" s="28">
        <f>IFERROR(VLOOKUP($C453,Tabla_Documentos[],2,FALSE),"")</f>
        <v>45859</v>
      </c>
      <c r="E453" s="34" t="str">
        <f>IFERROR(VLOOKUP($C453,Tabla_Documentos[],3,FALSE),"")</f>
        <v>76219811-8</v>
      </c>
      <c r="F453" s="35" t="str">
        <f>IFERROR(VLOOKUP($C453,Tabla_Documentos[],4,FALSE),"")</f>
        <v>COMERCIAL BOREAL SPA</v>
      </c>
      <c r="G453" s="38">
        <f>IFERROR(VLOOKUP($C453,Tabla_Documentos[],5,FALSE),"")</f>
        <v>19635</v>
      </c>
      <c r="H453" s="29" t="str">
        <f>IFERROR(VLOOKUP($C453,Tabla_Documentos[],6,FALSE),"")</f>
        <v>PUBLICIDAD</v>
      </c>
      <c r="I453" s="38">
        <f>IFERROR(VLOOKUP($C453,Tabla_Documentos[],5,FALSE),"")</f>
        <v>19635</v>
      </c>
      <c r="J453" s="25">
        <v>45859</v>
      </c>
    </row>
    <row r="454" spans="3:10" ht="21" customHeight="1" x14ac:dyDescent="0.25">
      <c r="C454" s="39">
        <v>1360</v>
      </c>
      <c r="D454" s="28">
        <f>IFERROR(VLOOKUP($C454,Tabla_Documentos[],2,FALSE),"")</f>
        <v>45860</v>
      </c>
      <c r="E454" s="34" t="str">
        <f>IFERROR(VLOOKUP($C454,Tabla_Documentos[],3,FALSE),"")</f>
        <v>76478614-9</v>
      </c>
      <c r="F454" s="35" t="str">
        <f>IFERROR(VLOOKUP($C454,Tabla_Documentos[],4,FALSE),"")</f>
        <v>INGENIERIA C Y G LIMITADA</v>
      </c>
      <c r="G454" s="38">
        <f>IFERROR(VLOOKUP($C454,Tabla_Documentos[],5,FALSE),"")</f>
        <v>17850</v>
      </c>
      <c r="H454" s="29" t="str">
        <f>IFERROR(VLOOKUP($C454,Tabla_Documentos[],6,FALSE),"")</f>
        <v>PUBLICIDAD</v>
      </c>
      <c r="I454" s="38">
        <f>IFERROR(VLOOKUP($C454,Tabla_Documentos[],5,FALSE),"")</f>
        <v>17850</v>
      </c>
      <c r="J454" s="25">
        <v>45860</v>
      </c>
    </row>
    <row r="455" spans="3:10" ht="21" customHeight="1" x14ac:dyDescent="0.25">
      <c r="C455" s="39">
        <v>1361</v>
      </c>
      <c r="D455" s="28">
        <f>IFERROR(VLOOKUP($C455,Tabla_Documentos[],2,FALSE),"")</f>
        <v>45860</v>
      </c>
      <c r="E455" s="34" t="str">
        <f>IFERROR(VLOOKUP($C455,Tabla_Documentos[],3,FALSE),"")</f>
        <v>76518034-1</v>
      </c>
      <c r="F455" s="35" t="str">
        <f>IFERROR(VLOOKUP($C455,Tabla_Documentos[],4,FALSE),"")</f>
        <v>UNO DESARROLLOS CONSTRUCTIVOS SPA</v>
      </c>
      <c r="G455" s="38">
        <f>IFERROR(VLOOKUP($C455,Tabla_Documentos[],5,FALSE),"")</f>
        <v>23800</v>
      </c>
      <c r="H455" s="29" t="str">
        <f>IFERROR(VLOOKUP($C455,Tabla_Documentos[],6,FALSE),"")</f>
        <v>PUBLICIDAD</v>
      </c>
      <c r="I455" s="38">
        <f>IFERROR(VLOOKUP($C455,Tabla_Documentos[],5,FALSE),"")</f>
        <v>23800</v>
      </c>
      <c r="J455" s="25">
        <v>45860</v>
      </c>
    </row>
    <row r="456" spans="3:10" ht="21" customHeight="1" x14ac:dyDescent="0.25">
      <c r="C456" s="39">
        <v>1362</v>
      </c>
      <c r="D456" s="28">
        <f>IFERROR(VLOOKUP($C456,Tabla_Documentos[],2,FALSE),"")</f>
        <v>45860</v>
      </c>
      <c r="E456" s="34" t="str">
        <f>IFERROR(VLOOKUP($C456,Tabla_Documentos[],3,FALSE),"")</f>
        <v>77361091-6</v>
      </c>
      <c r="F456" s="35" t="str">
        <f>IFERROR(VLOOKUP($C456,Tabla_Documentos[],4,FALSE),"")</f>
        <v>OSSAVAL SPA</v>
      </c>
      <c r="G456" s="38">
        <f>IFERROR(VLOOKUP($C456,Tabla_Documentos[],5,FALSE),"")</f>
        <v>94010</v>
      </c>
      <c r="H456" s="29" t="str">
        <f>IFERROR(VLOOKUP($C456,Tabla_Documentos[],6,FALSE),"")</f>
        <v>PUBLICIDAD</v>
      </c>
      <c r="I456" s="38">
        <f>IFERROR(VLOOKUP($C456,Tabla_Documentos[],5,FALSE),"")</f>
        <v>94010</v>
      </c>
      <c r="J456" s="25">
        <v>45860</v>
      </c>
    </row>
    <row r="457" spans="3:10" ht="21" customHeight="1" x14ac:dyDescent="0.25">
      <c r="C457" s="39">
        <v>1363</v>
      </c>
      <c r="D457" s="28">
        <f>IFERROR(VLOOKUP($C457,Tabla_Documentos[],2,FALSE),"")</f>
        <v>45861</v>
      </c>
      <c r="E457" s="34" t="str">
        <f>IFERROR(VLOOKUP($C457,Tabla_Documentos[],3,FALSE),"")</f>
        <v>77513077-6</v>
      </c>
      <c r="F457" s="35" t="str">
        <f>IFERROR(VLOOKUP($C457,Tabla_Documentos[],4,FALSE),"")</f>
        <v>SOCIEDAD SB CARRASQUERO SPA</v>
      </c>
      <c r="G457" s="38">
        <f>IFERROR(VLOOKUP($C457,Tabla_Documentos[],5,FALSE),"")</f>
        <v>8925</v>
      </c>
      <c r="H457" s="29" t="str">
        <f>IFERROR(VLOOKUP($C457,Tabla_Documentos[],6,FALSE),"")</f>
        <v>PUBLICIDAD</v>
      </c>
      <c r="I457" s="38">
        <f>IFERROR(VLOOKUP($C457,Tabla_Documentos[],5,FALSE),"")</f>
        <v>8925</v>
      </c>
      <c r="J457" s="25">
        <v>45861</v>
      </c>
    </row>
    <row r="458" spans="3:10" ht="21" customHeight="1" x14ac:dyDescent="0.25">
      <c r="C458" s="39">
        <v>1364</v>
      </c>
      <c r="D458" s="28">
        <f>IFERROR(VLOOKUP($C458,Tabla_Documentos[],2,FALSE),"")</f>
        <v>45861</v>
      </c>
      <c r="E458" s="34" t="str">
        <f>IFERROR(VLOOKUP($C458,Tabla_Documentos[],3,FALSE),"")</f>
        <v>76787662-9</v>
      </c>
      <c r="F458" s="35" t="str">
        <f>IFERROR(VLOOKUP($C458,Tabla_Documentos[],4,FALSE),"")</f>
        <v>LUBRICENTRO  IRMA TRONCOSO PAREDES E.I.R.L.</v>
      </c>
      <c r="G458" s="38">
        <f>IFERROR(VLOOKUP($C458,Tabla_Documentos[],5,FALSE),"")</f>
        <v>23800</v>
      </c>
      <c r="H458" s="29" t="str">
        <f>IFERROR(VLOOKUP($C458,Tabla_Documentos[],6,FALSE),"")</f>
        <v>PUBLICIDAD</v>
      </c>
      <c r="I458" s="38">
        <f>IFERROR(VLOOKUP($C458,Tabla_Documentos[],5,FALSE),"")</f>
        <v>23800</v>
      </c>
      <c r="J458" s="25">
        <v>45861</v>
      </c>
    </row>
    <row r="459" spans="3:10" ht="21" customHeight="1" x14ac:dyDescent="0.25">
      <c r="C459" s="39">
        <v>1365</v>
      </c>
      <c r="D459" s="28">
        <f>IFERROR(VLOOKUP($C459,Tabla_Documentos[],2,FALSE),"")</f>
        <v>45862</v>
      </c>
      <c r="E459" s="34" t="str">
        <f>IFERROR(VLOOKUP($C459,Tabla_Documentos[],3,FALSE),"")</f>
        <v>76655851-8</v>
      </c>
      <c r="F459" s="35" t="str">
        <f>IFERROR(VLOOKUP($C459,Tabla_Documentos[],4,FALSE),"")</f>
        <v>MAESTRANZA INDUSTRIAL FRITIS LIMITADA</v>
      </c>
      <c r="G459" s="38">
        <f>IFERROR(VLOOKUP($C459,Tabla_Documentos[],5,FALSE),"")</f>
        <v>89250</v>
      </c>
      <c r="H459" s="29" t="str">
        <f>IFERROR(VLOOKUP($C459,Tabla_Documentos[],6,FALSE),"")</f>
        <v>PUBLICIDAD</v>
      </c>
      <c r="I459" s="38">
        <f>IFERROR(VLOOKUP($C459,Tabla_Documentos[],5,FALSE),"")</f>
        <v>89250</v>
      </c>
      <c r="J459" s="25">
        <v>45862</v>
      </c>
    </row>
    <row r="460" spans="3:10" ht="21" customHeight="1" x14ac:dyDescent="0.25">
      <c r="C460" s="39">
        <v>1366</v>
      </c>
      <c r="D460" s="28">
        <f>IFERROR(VLOOKUP($C460,Tabla_Documentos[],2,FALSE),"")</f>
        <v>45863</v>
      </c>
      <c r="E460" s="34" t="str">
        <f>IFERROR(VLOOKUP($C460,Tabla_Documentos[],3,FALSE),"")</f>
        <v>76650779-4</v>
      </c>
      <c r="F460" s="35" t="str">
        <f>IFERROR(VLOOKUP($C460,Tabla_Documentos[],4,FALSE),"")</f>
        <v>SOLUCIONES GLOBALES CARLOS HERBERTO MOSCOSO</v>
      </c>
      <c r="G460" s="38">
        <f>IFERROR(VLOOKUP($C460,Tabla_Documentos[],5,FALSE),"")</f>
        <v>141610</v>
      </c>
      <c r="H460" s="29" t="str">
        <f>IFERROR(VLOOKUP($C460,Tabla_Documentos[],6,FALSE),"")</f>
        <v>PUBLICIDAD</v>
      </c>
      <c r="I460" s="38">
        <f>IFERROR(VLOOKUP($C460,Tabla_Documentos[],5,FALSE),"")</f>
        <v>141610</v>
      </c>
      <c r="J460" s="25">
        <v>45863</v>
      </c>
    </row>
    <row r="461" spans="3:10" ht="21" customHeight="1" x14ac:dyDescent="0.25">
      <c r="C461" s="39">
        <v>1367</v>
      </c>
      <c r="D461" s="28">
        <f>IFERROR(VLOOKUP($C461,Tabla_Documentos[],2,FALSE),"")</f>
        <v>45863</v>
      </c>
      <c r="E461" s="34" t="str">
        <f>IFERROR(VLOOKUP($C461,Tabla_Documentos[],3,FALSE),"")</f>
        <v>77294468-3</v>
      </c>
      <c r="F461" s="35" t="str">
        <f>IFERROR(VLOOKUP($C461,Tabla_Documentos[],4,FALSE),"")</f>
        <v>GLOBAL PRO GROUP SPA</v>
      </c>
      <c r="G461" s="38">
        <f>IFERROR(VLOOKUP($C461,Tabla_Documentos[],5,FALSE),"")</f>
        <v>190400</v>
      </c>
      <c r="H461" s="29" t="str">
        <f>IFERROR(VLOOKUP($C461,Tabla_Documentos[],6,FALSE),"")</f>
        <v>PUBLICIDAD</v>
      </c>
      <c r="I461" s="38">
        <f>IFERROR(VLOOKUP($C461,Tabla_Documentos[],5,FALSE),"")</f>
        <v>190400</v>
      </c>
      <c r="J461" s="25">
        <v>45863</v>
      </c>
    </row>
    <row r="462" spans="3:10" ht="21" customHeight="1" x14ac:dyDescent="0.25">
      <c r="C462" s="39">
        <v>1368</v>
      </c>
      <c r="D462" s="28">
        <f>IFERROR(VLOOKUP($C462,Tabla_Documentos[],2,FALSE),"")</f>
        <v>45863</v>
      </c>
      <c r="E462" s="34" t="str">
        <f>IFERROR(VLOOKUP($C462,Tabla_Documentos[],3,FALSE),"")</f>
        <v>70055500-3</v>
      </c>
      <c r="F462" s="35" t="str">
        <f>IFERROR(VLOOKUP($C462,Tabla_Documentos[],4,FALSE),"")</f>
        <v>OBISPADO DE COPIAPO</v>
      </c>
      <c r="G462" s="38">
        <f>IFERROR(VLOOKUP($C462,Tabla_Documentos[],5,FALSE),"")</f>
        <v>35700</v>
      </c>
      <c r="H462" s="29" t="str">
        <f>IFERROR(VLOOKUP($C462,Tabla_Documentos[],6,FALSE),"")</f>
        <v>PUBLICIDAD</v>
      </c>
      <c r="I462" s="38">
        <f>IFERROR(VLOOKUP($C462,Tabla_Documentos[],5,FALSE),"")</f>
        <v>35700</v>
      </c>
      <c r="J462" s="25">
        <v>45863</v>
      </c>
    </row>
    <row r="463" spans="3:10" ht="21" customHeight="1" x14ac:dyDescent="0.25">
      <c r="C463" s="39">
        <v>1369</v>
      </c>
      <c r="D463" s="28">
        <f>IFERROR(VLOOKUP($C463,Tabla_Documentos[],2,FALSE),"")</f>
        <v>45863</v>
      </c>
      <c r="E463" s="34" t="str">
        <f>IFERROR(VLOOKUP($C463,Tabla_Documentos[],3,FALSE),"")</f>
        <v>11189165-6</v>
      </c>
      <c r="F463" s="35" t="str">
        <f>IFERROR(VLOOKUP($C463,Tabla_Documentos[],4,FALSE),"")</f>
        <v>PATRICIO ORLANDO OSORIO RIVERA</v>
      </c>
      <c r="G463" s="38">
        <f>IFERROR(VLOOKUP($C463,Tabla_Documentos[],5,FALSE),"")</f>
        <v>178500</v>
      </c>
      <c r="H463" s="29" t="str">
        <f>IFERROR(VLOOKUP($C463,Tabla_Documentos[],6,FALSE),"")</f>
        <v>PUBLICIDAD</v>
      </c>
      <c r="I463" s="38">
        <f>IFERROR(VLOOKUP($C463,Tabla_Documentos[],5,FALSE),"")</f>
        <v>178500</v>
      </c>
      <c r="J463" s="25">
        <v>45863</v>
      </c>
    </row>
    <row r="464" spans="3:10" ht="21" customHeight="1" x14ac:dyDescent="0.25">
      <c r="C464" s="39">
        <v>1370</v>
      </c>
      <c r="D464" s="28">
        <f>IFERROR(VLOOKUP($C464,Tabla_Documentos[],2,FALSE),"")</f>
        <v>45863</v>
      </c>
      <c r="E464" s="34" t="str">
        <f>IFERROR(VLOOKUP($C464,Tabla_Documentos[],3,FALSE),"")</f>
        <v>77936569-7</v>
      </c>
      <c r="F464" s="35" t="str">
        <f>IFERROR(VLOOKUP($C464,Tabla_Documentos[],4,FALSE),"")</f>
        <v>GYB SPA</v>
      </c>
      <c r="G464" s="38">
        <f>IFERROR(VLOOKUP($C464,Tabla_Documentos[],5,FALSE),"")</f>
        <v>202300</v>
      </c>
      <c r="H464" s="29" t="str">
        <f>IFERROR(VLOOKUP($C464,Tabla_Documentos[],6,FALSE),"")</f>
        <v>PUBLICIDAD</v>
      </c>
      <c r="I464" s="38">
        <f>IFERROR(VLOOKUP($C464,Tabla_Documentos[],5,FALSE),"")</f>
        <v>202300</v>
      </c>
      <c r="J464" s="25">
        <v>45863</v>
      </c>
    </row>
    <row r="465" spans="3:10" ht="21" customHeight="1" x14ac:dyDescent="0.25">
      <c r="C465" s="39">
        <v>1371</v>
      </c>
      <c r="D465" s="28">
        <f>IFERROR(VLOOKUP($C465,Tabla_Documentos[],2,FALSE),"")</f>
        <v>45863</v>
      </c>
      <c r="E465" s="34" t="str">
        <f>IFERROR(VLOOKUP($C465,Tabla_Documentos[],3,FALSE),"")</f>
        <v>19450089-0</v>
      </c>
      <c r="F465" s="35" t="str">
        <f>IFERROR(VLOOKUP($C465,Tabla_Documentos[],4,FALSE),"")</f>
        <v>ELISA DENISE LEON GUERRERO</v>
      </c>
      <c r="G465" s="38">
        <f>IFERROR(VLOOKUP($C465,Tabla_Documentos[],5,FALSE),"")</f>
        <v>226100</v>
      </c>
      <c r="H465" s="29" t="str">
        <f>IFERROR(VLOOKUP($C465,Tabla_Documentos[],6,FALSE),"")</f>
        <v>PUBLICIDAD</v>
      </c>
      <c r="I465" s="38">
        <f>IFERROR(VLOOKUP($C465,Tabla_Documentos[],5,FALSE),"")</f>
        <v>226100</v>
      </c>
      <c r="J465" s="25">
        <v>45863</v>
      </c>
    </row>
    <row r="466" spans="3:10" ht="21" customHeight="1" x14ac:dyDescent="0.25">
      <c r="C466" s="39">
        <v>1372</v>
      </c>
      <c r="D466" s="28">
        <f>IFERROR(VLOOKUP($C466,Tabla_Documentos[],2,FALSE),"")</f>
        <v>45869</v>
      </c>
      <c r="E466" s="34" t="str">
        <f>IFERROR(VLOOKUP($C466,Tabla_Documentos[],3,FALSE),"")</f>
        <v>76881519-4</v>
      </c>
      <c r="F466" s="35" t="str">
        <f>IFERROR(VLOOKUP($C466,Tabla_Documentos[],4,FALSE),"")</f>
        <v>CENTRO DE MANTENIMIENTO AUTOMOTRIZ Y MAQUINARIA SPA</v>
      </c>
      <c r="G466" s="38">
        <f>IFERROR(VLOOKUP($C466,Tabla_Documentos[],5,FALSE),"")</f>
        <v>226100</v>
      </c>
      <c r="H466" s="29" t="str">
        <f>IFERROR(VLOOKUP($C466,Tabla_Documentos[],6,FALSE),"")</f>
        <v>PUBLICIDAD</v>
      </c>
      <c r="I466" s="38">
        <f>IFERROR(VLOOKUP($C466,Tabla_Documentos[],5,FALSE),"")</f>
        <v>226100</v>
      </c>
      <c r="J466" s="25">
        <v>45870</v>
      </c>
    </row>
    <row r="467" spans="3:10" ht="21" customHeight="1" x14ac:dyDescent="0.25">
      <c r="C467" s="39">
        <v>1373</v>
      </c>
      <c r="D467" s="28">
        <f>IFERROR(VLOOKUP($C467,Tabla_Documentos[],2,FALSE),"")</f>
        <v>45869</v>
      </c>
      <c r="E467" s="34" t="str">
        <f>IFERROR(VLOOKUP($C467,Tabla_Documentos[],3,FALSE),"")</f>
        <v>76881519-4</v>
      </c>
      <c r="F467" s="35" t="str">
        <f>IFERROR(VLOOKUP($C467,Tabla_Documentos[],4,FALSE),"")</f>
        <v>CENTRO DE MANTENIMIENTO AUTOMOTRIZ Y MAQUINARIA SPA</v>
      </c>
      <c r="G467" s="38">
        <f>IFERROR(VLOOKUP($C467,Tabla_Documentos[],5,FALSE),"")</f>
        <v>226100</v>
      </c>
      <c r="H467" s="29" t="str">
        <f>IFERROR(VLOOKUP($C467,Tabla_Documentos[],6,FALSE),"")</f>
        <v>PUBLICIDAD</v>
      </c>
      <c r="I467" s="38">
        <f>IFERROR(VLOOKUP($C467,Tabla_Documentos[],5,FALSE),"")</f>
        <v>226100</v>
      </c>
      <c r="J467" s="25">
        <v>45870</v>
      </c>
    </row>
    <row r="468" spans="3:10" ht="21" customHeight="1" x14ac:dyDescent="0.25">
      <c r="C468" s="39">
        <v>1374</v>
      </c>
      <c r="D468" s="28">
        <f>IFERROR(VLOOKUP($C468,Tabla_Documentos[],2,FALSE),"")</f>
        <v>45870</v>
      </c>
      <c r="E468" s="34" t="str">
        <f>IFERROR(VLOOKUP($C468,Tabla_Documentos[],3,FALSE),"")</f>
        <v>76346498-9</v>
      </c>
      <c r="F468" s="35" t="str">
        <f>IFERROR(VLOOKUP($C468,Tabla_Documentos[],4,FALSE),"")</f>
        <v>CONSTRUCTORA CARLOS ALBERTO ANDRES ALBISTUR REYES E.I.R.L.</v>
      </c>
      <c r="G468" s="38">
        <f>IFERROR(VLOOKUP($C468,Tabla_Documentos[],5,FALSE),"")</f>
        <v>60988</v>
      </c>
      <c r="H468" s="29" t="str">
        <f>IFERROR(VLOOKUP($C468,Tabla_Documentos[],6,FALSE),"")</f>
        <v>PUBLICIDAD</v>
      </c>
      <c r="I468" s="38">
        <f>IFERROR(VLOOKUP($C468,Tabla_Documentos[],5,FALSE),"")</f>
        <v>60988</v>
      </c>
      <c r="J468" s="25">
        <v>45883</v>
      </c>
    </row>
    <row r="469" spans="3:10" ht="21" customHeight="1" x14ac:dyDescent="0.25">
      <c r="C469" s="39">
        <v>1375</v>
      </c>
      <c r="D469" s="28">
        <f>IFERROR(VLOOKUP($C469,Tabla_Documentos[],2,FALSE),"")</f>
        <v>45870</v>
      </c>
      <c r="E469" s="34" t="str">
        <f>IFERROR(VLOOKUP($C469,Tabla_Documentos[],3,FALSE),"")</f>
        <v>76346498-9</v>
      </c>
      <c r="F469" s="35" t="str">
        <f>IFERROR(VLOOKUP($C469,Tabla_Documentos[],4,FALSE),"")</f>
        <v>CONSTRUCTORA CARLOS ALBERTO ANDRES ALBISTUR REYES E.I.R.L.</v>
      </c>
      <c r="G469" s="38">
        <f>IFERROR(VLOOKUP($C469,Tabla_Documentos[],5,FALSE),"")</f>
        <v>24990</v>
      </c>
      <c r="H469" s="29" t="str">
        <f>IFERROR(VLOOKUP($C469,Tabla_Documentos[],6,FALSE),"")</f>
        <v>PUBLICIDAD</v>
      </c>
      <c r="I469" s="38">
        <f>IFERROR(VLOOKUP($C469,Tabla_Documentos[],5,FALSE),"")</f>
        <v>24990</v>
      </c>
      <c r="J469" s="25">
        <v>45883</v>
      </c>
    </row>
    <row r="470" spans="3:10" ht="21" customHeight="1" x14ac:dyDescent="0.25">
      <c r="C470" s="39">
        <v>1376</v>
      </c>
      <c r="D470" s="28">
        <f>IFERROR(VLOOKUP($C470,Tabla_Documentos[],2,FALSE),"")</f>
        <v>45870</v>
      </c>
      <c r="E470" s="34" t="str">
        <f>IFERROR(VLOOKUP($C470,Tabla_Documentos[],3,FALSE),"")</f>
        <v>78320430-4</v>
      </c>
      <c r="F470" s="35" t="str">
        <f>IFERROR(VLOOKUP($C470,Tabla_Documentos[],4,FALSE),"")</f>
        <v>AUTOMOTRIZ NICOLAS LTDA.</v>
      </c>
      <c r="G470" s="38">
        <f>IFERROR(VLOOKUP($C470,Tabla_Documentos[],5,FALSE),"")</f>
        <v>226100</v>
      </c>
      <c r="H470" s="29" t="str">
        <f>IFERROR(VLOOKUP($C470,Tabla_Documentos[],6,FALSE),"")</f>
        <v>PUBLICIDAD</v>
      </c>
      <c r="I470" s="38">
        <f>IFERROR(VLOOKUP($C470,Tabla_Documentos[],5,FALSE),"")</f>
        <v>226100</v>
      </c>
      <c r="J470" s="25">
        <v>45870</v>
      </c>
    </row>
    <row r="471" spans="3:10" ht="21" customHeight="1" x14ac:dyDescent="0.25">
      <c r="C471" s="39">
        <v>1377</v>
      </c>
      <c r="D471" s="28">
        <f>IFERROR(VLOOKUP($C471,Tabla_Documentos[],2,FALSE),"")</f>
        <v>45870</v>
      </c>
      <c r="E471" s="34" t="str">
        <f>IFERROR(VLOOKUP($C471,Tabla_Documentos[],3,FALSE),"")</f>
        <v>78320430-4</v>
      </c>
      <c r="F471" s="35" t="str">
        <f>IFERROR(VLOOKUP($C471,Tabla_Documentos[],4,FALSE),"")</f>
        <v>AUTOMOTRIZ NICOLAS LTDA.</v>
      </c>
      <c r="G471" s="38">
        <f>IFERROR(VLOOKUP($C471,Tabla_Documentos[],5,FALSE),"")</f>
        <v>142800</v>
      </c>
      <c r="H471" s="29" t="str">
        <f>IFERROR(VLOOKUP($C471,Tabla_Documentos[],6,FALSE),"")</f>
        <v>PUBLICIDAD</v>
      </c>
      <c r="I471" s="38">
        <f>IFERROR(VLOOKUP($C471,Tabla_Documentos[],5,FALSE),"")</f>
        <v>142800</v>
      </c>
      <c r="J471" s="25">
        <v>45898</v>
      </c>
    </row>
    <row r="472" spans="3:10" ht="21" customHeight="1" x14ac:dyDescent="0.25">
      <c r="C472" s="39">
        <v>1378</v>
      </c>
      <c r="D472" s="28">
        <f>IFERROR(VLOOKUP($C472,Tabla_Documentos[],2,FALSE),"")</f>
        <v>45870</v>
      </c>
      <c r="E472" s="34" t="str">
        <f>IFERROR(VLOOKUP($C472,Tabla_Documentos[],3,FALSE),"")</f>
        <v>76118728-7</v>
      </c>
      <c r="F472" s="35" t="str">
        <f>IFERROR(VLOOKUP($C472,Tabla_Documentos[],4,FALSE),"")</f>
        <v>INGENIERIA HIDRAULICA LIMITADA</v>
      </c>
      <c r="G472" s="38">
        <f>IFERROR(VLOOKUP($C472,Tabla_Documentos[],5,FALSE),"")</f>
        <v>226100</v>
      </c>
      <c r="H472" s="29" t="str">
        <f>IFERROR(VLOOKUP($C472,Tabla_Documentos[],6,FALSE),"")</f>
        <v>PUBLICIDAD</v>
      </c>
      <c r="I472" s="38">
        <f>IFERROR(VLOOKUP($C472,Tabla_Documentos[],5,FALSE),"")</f>
        <v>226100</v>
      </c>
      <c r="J472" s="25">
        <v>45870</v>
      </c>
    </row>
    <row r="473" spans="3:10" ht="21" customHeight="1" x14ac:dyDescent="0.25">
      <c r="C473" s="39">
        <v>1379</v>
      </c>
      <c r="D473" s="28">
        <f>IFERROR(VLOOKUP($C473,Tabla_Documentos[],2,FALSE),"")</f>
        <v>45873</v>
      </c>
      <c r="E473" s="34" t="str">
        <f>IFERROR(VLOOKUP($C473,Tabla_Documentos[],3,FALSE),"")</f>
        <v>78808300-9</v>
      </c>
      <c r="F473" s="35" t="str">
        <f>IFERROR(VLOOKUP($C473,Tabla_Documentos[],4,FALSE),"")</f>
        <v>EDWIN HOLVOET Y COMPANIA LIMITADA</v>
      </c>
      <c r="G473" s="38">
        <f>IFERROR(VLOOKUP($C473,Tabla_Documentos[],5,FALSE),"")</f>
        <v>476000</v>
      </c>
      <c r="H473" s="29" t="str">
        <f>IFERROR(VLOOKUP($C473,Tabla_Documentos[],6,FALSE),"")</f>
        <v>PUBLICIDAD</v>
      </c>
      <c r="I473" s="38">
        <f>IFERROR(VLOOKUP($C473,Tabla_Documentos[],5,FALSE),"")</f>
        <v>476000</v>
      </c>
      <c r="J473" s="25">
        <v>45873</v>
      </c>
    </row>
    <row r="474" spans="3:10" ht="21" customHeight="1" x14ac:dyDescent="0.25">
      <c r="C474" s="39">
        <v>1380</v>
      </c>
      <c r="D474" s="28">
        <f>IFERROR(VLOOKUP($C474,Tabla_Documentos[],2,FALSE),"")</f>
        <v>45873</v>
      </c>
      <c r="E474" s="34" t="str">
        <f>IFERROR(VLOOKUP($C474,Tabla_Documentos[],3,FALSE),"")</f>
        <v>15611576-2</v>
      </c>
      <c r="F474" s="35" t="str">
        <f>IFERROR(VLOOKUP($C474,Tabla_Documentos[],4,FALSE),"")</f>
        <v>KARINA VALESKA CERDA ARAYA</v>
      </c>
      <c r="G474" s="38">
        <f>IFERROR(VLOOKUP($C474,Tabla_Documentos[],5,FALSE),"")</f>
        <v>20000</v>
      </c>
      <c r="H474" s="29" t="str">
        <f>IFERROR(VLOOKUP($C474,Tabla_Documentos[],6,FALSE),"")</f>
        <v>PUBLICIDAD</v>
      </c>
      <c r="I474" s="38">
        <f>IFERROR(VLOOKUP($C474,Tabla_Documentos[],5,FALSE),"")</f>
        <v>20000</v>
      </c>
      <c r="J474" s="25">
        <v>45873</v>
      </c>
    </row>
    <row r="475" spans="3:10" ht="21" customHeight="1" x14ac:dyDescent="0.25">
      <c r="C475" s="39">
        <v>1381</v>
      </c>
      <c r="D475" s="28">
        <f>IFERROR(VLOOKUP($C475,Tabla_Documentos[],2,FALSE),"")</f>
        <v>45873</v>
      </c>
      <c r="E475" s="34" t="str">
        <f>IFERROR(VLOOKUP($C475,Tabla_Documentos[],3,FALSE),"")</f>
        <v>77721807-7</v>
      </c>
      <c r="F475" s="35" t="str">
        <f>IFERROR(VLOOKUP($C475,Tabla_Documentos[],4,FALSE),"")</f>
        <v>RESITER SERVICIOS GENERALES SPA</v>
      </c>
      <c r="G475" s="38">
        <f>IFERROR(VLOOKUP($C475,Tabla_Documentos[],5,FALSE),"")</f>
        <v>23800</v>
      </c>
      <c r="H475" s="29" t="str">
        <f>IFERROR(VLOOKUP($C475,Tabla_Documentos[],6,FALSE),"")</f>
        <v>PUBLICIDAD</v>
      </c>
      <c r="I475" s="38">
        <f>IFERROR(VLOOKUP($C475,Tabla_Documentos[],5,FALSE),"")</f>
        <v>23800</v>
      </c>
      <c r="J475" s="25">
        <v>45873</v>
      </c>
    </row>
    <row r="476" spans="3:10" ht="21" customHeight="1" x14ac:dyDescent="0.25">
      <c r="C476" s="39">
        <v>1382</v>
      </c>
      <c r="D476" s="28">
        <f>IFERROR(VLOOKUP($C476,Tabla_Documentos[],2,FALSE),"")</f>
        <v>45873</v>
      </c>
      <c r="E476" s="34" t="str">
        <f>IFERROR(VLOOKUP($C476,Tabla_Documentos[],3,FALSE),"")</f>
        <v>76686138-5</v>
      </c>
      <c r="F476" s="35" t="str">
        <f>IFERROR(VLOOKUP($C476,Tabla_Documentos[],4,FALSE),"")</f>
        <v>SKC RED SPA</v>
      </c>
      <c r="G476" s="38">
        <f>IFERROR(VLOOKUP($C476,Tabla_Documentos[],5,FALSE),"")</f>
        <v>17850</v>
      </c>
      <c r="H476" s="29" t="str">
        <f>IFERROR(VLOOKUP($C476,Tabla_Documentos[],6,FALSE),"")</f>
        <v>PUBLICIDAD</v>
      </c>
      <c r="I476" s="38">
        <f>IFERROR(VLOOKUP($C476,Tabla_Documentos[],5,FALSE),"")</f>
        <v>17850</v>
      </c>
      <c r="J476" s="25">
        <v>45905</v>
      </c>
    </row>
    <row r="477" spans="3:10" ht="21" customHeight="1" x14ac:dyDescent="0.25">
      <c r="C477" s="39">
        <v>1383</v>
      </c>
      <c r="D477" s="28">
        <f>IFERROR(VLOOKUP($C477,Tabla_Documentos[],2,FALSE),"")</f>
        <v>45873</v>
      </c>
      <c r="E477" s="34" t="str">
        <f>IFERROR(VLOOKUP($C477,Tabla_Documentos[],3,FALSE),"")</f>
        <v>76346498-9</v>
      </c>
      <c r="F477" s="35" t="str">
        <f>IFERROR(VLOOKUP($C477,Tabla_Documentos[],4,FALSE),"")</f>
        <v>CONSTRUCTORA CARLOS ALBERTO ANDRES ALBISTUR REYES E.I.R.L.</v>
      </c>
      <c r="G477" s="38">
        <f>IFERROR(VLOOKUP($C477,Tabla_Documentos[],5,FALSE),"")</f>
        <v>107100</v>
      </c>
      <c r="H477" s="29" t="str">
        <f>IFERROR(VLOOKUP($C477,Tabla_Documentos[],6,FALSE),"")</f>
        <v>PUBLICIDAD</v>
      </c>
      <c r="I477" s="38">
        <f>IFERROR(VLOOKUP($C477,Tabla_Documentos[],5,FALSE),"")</f>
        <v>107100</v>
      </c>
      <c r="J477" s="25">
        <v>45880</v>
      </c>
    </row>
    <row r="478" spans="3:10" ht="21" customHeight="1" x14ac:dyDescent="0.25">
      <c r="C478" s="39">
        <v>1384</v>
      </c>
      <c r="D478" s="28">
        <f>IFERROR(VLOOKUP($C478,Tabla_Documentos[],2,FALSE),"")</f>
        <v>45874</v>
      </c>
      <c r="E478" s="34" t="str">
        <f>IFERROR(VLOOKUP($C478,Tabla_Documentos[],3,FALSE),"")</f>
        <v>76096151-5</v>
      </c>
      <c r="F478" s="35" t="str">
        <f>IFERROR(VLOOKUP($C478,Tabla_Documentos[],4,FALSE),"")</f>
        <v>JP ELECTRONIC SOCIEDAD ANONIMA</v>
      </c>
      <c r="G478" s="38">
        <f>IFERROR(VLOOKUP($C478,Tabla_Documentos[],5,FALSE),"")</f>
        <v>238000</v>
      </c>
      <c r="H478" s="29" t="str">
        <f>IFERROR(VLOOKUP($C478,Tabla_Documentos[],6,FALSE),"")</f>
        <v>PUBLICIDAD</v>
      </c>
      <c r="I478" s="38">
        <f>IFERROR(VLOOKUP($C478,Tabla_Documentos[],5,FALSE),"")</f>
        <v>238000</v>
      </c>
      <c r="J478" s="25">
        <v>45874</v>
      </c>
    </row>
    <row r="479" spans="3:10" ht="21" customHeight="1" x14ac:dyDescent="0.25">
      <c r="C479" s="39">
        <v>1385</v>
      </c>
      <c r="D479" s="28">
        <f>IFERROR(VLOOKUP($C479,Tabla_Documentos[],2,FALSE),"")</f>
        <v>45874</v>
      </c>
      <c r="E479" s="34" t="str">
        <f>IFERROR(VLOOKUP($C479,Tabla_Documentos[],3,FALSE),"")</f>
        <v>77723189-8</v>
      </c>
      <c r="F479" s="35" t="str">
        <f>IFERROR(VLOOKUP($C479,Tabla_Documentos[],4,FALSE),"")</f>
        <v>SEMINET SPA</v>
      </c>
      <c r="G479" s="38">
        <f>IFERROR(VLOOKUP($C479,Tabla_Documentos[],5,FALSE),"")</f>
        <v>139468</v>
      </c>
      <c r="H479" s="29" t="str">
        <f>IFERROR(VLOOKUP($C479,Tabla_Documentos[],6,FALSE),"")</f>
        <v>BELEN</v>
      </c>
      <c r="I479" s="38">
        <f>IFERROR(VLOOKUP($C479,Tabla_Documentos[],5,FALSE),"")</f>
        <v>139468</v>
      </c>
      <c r="J479" s="25">
        <v>45896</v>
      </c>
    </row>
    <row r="480" spans="3:10" ht="21" customHeight="1" x14ac:dyDescent="0.25">
      <c r="C480" s="39">
        <v>1386</v>
      </c>
      <c r="D480" s="28">
        <f>IFERROR(VLOOKUP($C480,Tabla_Documentos[],2,FALSE),"")</f>
        <v>45874</v>
      </c>
      <c r="E480" s="34" t="str">
        <f>IFERROR(VLOOKUP($C480,Tabla_Documentos[],3,FALSE),"")</f>
        <v>9364286-4</v>
      </c>
      <c r="F480" s="35" t="str">
        <f>IFERROR(VLOOKUP($C480,Tabla_Documentos[],4,FALSE),"")</f>
        <v>GUILLERMO EDUARDO PACHECO BOLADO</v>
      </c>
      <c r="G480" s="38">
        <f>IFERROR(VLOOKUP($C480,Tabla_Documentos[],5,FALSE),"")</f>
        <v>17850</v>
      </c>
      <c r="H480" s="29" t="str">
        <f>IFERROR(VLOOKUP($C480,Tabla_Documentos[],6,FALSE),"")</f>
        <v>BELEN</v>
      </c>
      <c r="I480" s="38">
        <f>IFERROR(VLOOKUP($C480,Tabla_Documentos[],5,FALSE),"")</f>
        <v>17850</v>
      </c>
      <c r="J480" s="25">
        <v>45874</v>
      </c>
    </row>
    <row r="481" spans="3:10" ht="21" customHeight="1" x14ac:dyDescent="0.25">
      <c r="C481" s="39">
        <v>1387</v>
      </c>
      <c r="D481" s="28">
        <f>IFERROR(VLOOKUP($C481,Tabla_Documentos[],2,FALSE),"")</f>
        <v>45874</v>
      </c>
      <c r="E481" s="34" t="str">
        <f>IFERROR(VLOOKUP($C481,Tabla_Documentos[],3,FALSE),"")</f>
        <v>76744135-5</v>
      </c>
      <c r="F481" s="35" t="str">
        <f>IFERROR(VLOOKUP($C481,Tabla_Documentos[],4,FALSE),"")</f>
        <v>PATAGONIA SERVICIOS SPA</v>
      </c>
      <c r="G481" s="38">
        <f>IFERROR(VLOOKUP($C481,Tabla_Documentos[],5,FALSE),"")</f>
        <v>17850000</v>
      </c>
      <c r="H481" s="29" t="str">
        <f>IFERROR(VLOOKUP($C481,Tabla_Documentos[],6,FALSE),"")</f>
        <v>PUBLICIDAD</v>
      </c>
      <c r="I481" s="38">
        <v>5850000</v>
      </c>
      <c r="J481" s="25">
        <v>45939</v>
      </c>
    </row>
    <row r="482" spans="3:10" ht="21" customHeight="1" x14ac:dyDescent="0.25">
      <c r="C482" s="39">
        <v>1387</v>
      </c>
      <c r="D482" s="28">
        <f>IFERROR(VLOOKUP($C482,Tabla_Documentos[],2,FALSE),"")</f>
        <v>45874</v>
      </c>
      <c r="E482" s="34" t="str">
        <f>IFERROR(VLOOKUP($C482,Tabla_Documentos[],3,FALSE),"")</f>
        <v>76744135-5</v>
      </c>
      <c r="F482" s="35" t="str">
        <f>IFERROR(VLOOKUP($C482,Tabla_Documentos[],4,FALSE),"")</f>
        <v>PATAGONIA SERVICIOS SPA</v>
      </c>
      <c r="G482" s="38">
        <f>IFERROR(VLOOKUP($C482,Tabla_Documentos[],5,FALSE),"")</f>
        <v>17850000</v>
      </c>
      <c r="H482" s="29" t="str">
        <f>IFERROR(VLOOKUP($C482,Tabla_Documentos[],6,FALSE),"")</f>
        <v>PUBLICIDAD</v>
      </c>
      <c r="I482" s="38">
        <v>7000000</v>
      </c>
      <c r="J482" s="25">
        <v>45939</v>
      </c>
    </row>
    <row r="483" spans="3:10" ht="21" customHeight="1" x14ac:dyDescent="0.25">
      <c r="C483" s="39">
        <v>1387</v>
      </c>
      <c r="D483" s="28">
        <f>IFERROR(VLOOKUP($C483,Tabla_Documentos[],2,FALSE),"")</f>
        <v>45874</v>
      </c>
      <c r="E483" s="34" t="str">
        <f>IFERROR(VLOOKUP($C483,Tabla_Documentos[],3,FALSE),"")</f>
        <v>76744135-5</v>
      </c>
      <c r="F483" s="35" t="str">
        <f>IFERROR(VLOOKUP($C483,Tabla_Documentos[],4,FALSE),"")</f>
        <v>PATAGONIA SERVICIOS SPA</v>
      </c>
      <c r="G483" s="38">
        <f>IFERROR(VLOOKUP($C483,Tabla_Documentos[],5,FALSE),"")</f>
        <v>17850000</v>
      </c>
      <c r="H483" s="29" t="str">
        <f>IFERROR(VLOOKUP($C483,Tabla_Documentos[],6,FALSE),"")</f>
        <v>PUBLICIDAD</v>
      </c>
      <c r="I483" s="38">
        <v>5000000</v>
      </c>
      <c r="J483" s="25">
        <v>45946</v>
      </c>
    </row>
    <row r="484" spans="3:10" ht="21" customHeight="1" x14ac:dyDescent="0.25">
      <c r="C484" s="39">
        <v>1388</v>
      </c>
      <c r="D484" s="28">
        <f>IFERROR(VLOOKUP($C484,Tabla_Documentos[],2,FALSE),"")</f>
        <v>45875</v>
      </c>
      <c r="E484" s="34" t="str">
        <f>IFERROR(VLOOKUP($C484,Tabla_Documentos[],3,FALSE),"")</f>
        <v>99505900-2</v>
      </c>
      <c r="F484" s="35" t="str">
        <f>IFERROR(VLOOKUP($C484,Tabla_Documentos[],4,FALSE),"")</f>
        <v>DISTRIBUIDORA DE EXPLOSIVOS Y ACCESORIOS S A</v>
      </c>
      <c r="G484" s="38">
        <f>IFERROR(VLOOKUP($C484,Tabla_Documentos[],5,FALSE),"")</f>
        <v>17850</v>
      </c>
      <c r="H484" s="29" t="str">
        <f>IFERROR(VLOOKUP($C484,Tabla_Documentos[],6,FALSE),"")</f>
        <v>PUBLICIDAD</v>
      </c>
      <c r="I484" s="38">
        <f>IFERROR(VLOOKUP($C484,Tabla_Documentos[],5,FALSE),"")</f>
        <v>17850</v>
      </c>
      <c r="J484" s="25">
        <v>45875</v>
      </c>
    </row>
    <row r="485" spans="3:10" ht="21" customHeight="1" x14ac:dyDescent="0.25">
      <c r="C485" s="39">
        <v>1389</v>
      </c>
      <c r="D485" s="28">
        <f>IFERROR(VLOOKUP($C485,Tabla_Documentos[],2,FALSE),"")</f>
        <v>45876</v>
      </c>
      <c r="E485" s="34" t="str">
        <f>IFERROR(VLOOKUP($C485,Tabla_Documentos[],3,FALSE),"")</f>
        <v>78511870-7</v>
      </c>
      <c r="F485" s="35" t="str">
        <f>IFERROR(VLOOKUP($C485,Tabla_Documentos[],4,FALSE),"")</f>
        <v>EMPRESA DE TRANSPORTE DE PASAJEROS QUILICAL LIMITADA</v>
      </c>
      <c r="G485" s="38">
        <f>IFERROR(VLOOKUP($C485,Tabla_Documentos[],5,FALSE),"")</f>
        <v>1166200</v>
      </c>
      <c r="H485" s="29" t="str">
        <f>IFERROR(VLOOKUP($C485,Tabla_Documentos[],6,FALSE),"")</f>
        <v>PUBLICIDAD</v>
      </c>
      <c r="I485" s="38">
        <v>250000</v>
      </c>
      <c r="J485" s="25">
        <v>45940</v>
      </c>
    </row>
    <row r="486" spans="3:10" ht="21" customHeight="1" x14ac:dyDescent="0.25">
      <c r="C486" s="39">
        <v>1390</v>
      </c>
      <c r="D486" s="28">
        <f>IFERROR(VLOOKUP($C486,Tabla_Documentos[],2,FALSE),"")</f>
        <v>45876</v>
      </c>
      <c r="E486" s="34" t="str">
        <f>IFERROR(VLOOKUP($C486,Tabla_Documentos[],3,FALSE),"")</f>
        <v>76303840-8</v>
      </c>
      <c r="F486" s="35" t="str">
        <f>IFERROR(VLOOKUP($C486,Tabla_Documentos[],4,FALSE),"")</f>
        <v>TRANSPORTES VERASAY SPA</v>
      </c>
      <c r="G486" s="38">
        <f>IFERROR(VLOOKUP($C486,Tabla_Documentos[],5,FALSE),"")</f>
        <v>416500</v>
      </c>
      <c r="H486" s="29" t="str">
        <f>IFERROR(VLOOKUP($C486,Tabla_Documentos[],6,FALSE),"")</f>
        <v>PUBLICIDAD</v>
      </c>
      <c r="I486" s="38">
        <f>IFERROR(VLOOKUP($C486,Tabla_Documentos[],5,FALSE),"")</f>
        <v>416500</v>
      </c>
      <c r="J486" s="25">
        <v>45923</v>
      </c>
    </row>
    <row r="487" spans="3:10" ht="21" customHeight="1" x14ac:dyDescent="0.25">
      <c r="C487" s="39">
        <v>1391</v>
      </c>
      <c r="D487" s="28">
        <f>IFERROR(VLOOKUP($C487,Tabla_Documentos[],2,FALSE),"")</f>
        <v>45876</v>
      </c>
      <c r="E487" s="34" t="str">
        <f>IFERROR(VLOOKUP($C487,Tabla_Documentos[],3,FALSE),"")</f>
        <v>77758444-8</v>
      </c>
      <c r="F487" s="35" t="str">
        <f>IFERROR(VLOOKUP($C487,Tabla_Documentos[],4,FALSE),"")</f>
        <v>TRANSPORTE DOBLE C SPA</v>
      </c>
      <c r="G487" s="38">
        <f>IFERROR(VLOOKUP($C487,Tabla_Documentos[],5,FALSE),"")</f>
        <v>416500</v>
      </c>
      <c r="H487" s="29" t="str">
        <f>IFERROR(VLOOKUP($C487,Tabla_Documentos[],6,FALSE),"")</f>
        <v>PUBLICIDAD</v>
      </c>
      <c r="I487" s="38">
        <f>IFERROR(VLOOKUP($C487,Tabla_Documentos[],5,FALSE),"")</f>
        <v>416500</v>
      </c>
      <c r="J487" s="25">
        <v>45876</v>
      </c>
    </row>
    <row r="488" spans="3:10" ht="21" customHeight="1" x14ac:dyDescent="0.25">
      <c r="C488" s="39">
        <v>1392</v>
      </c>
      <c r="D488" s="28">
        <f>IFERROR(VLOOKUP($C488,Tabla_Documentos[],2,FALSE),"")</f>
        <v>45877</v>
      </c>
      <c r="E488" s="34" t="str">
        <f>IFERROR(VLOOKUP($C488,Tabla_Documentos[],3,FALSE),"")</f>
        <v>83714300-4</v>
      </c>
      <c r="F488" s="35" t="str">
        <f>IFERROR(VLOOKUP($C488,Tabla_Documentos[],4,FALSE),"")</f>
        <v>COMPAÑÍA EXPLOTADORA MINERA SAN ANDRES</v>
      </c>
      <c r="G488" s="38">
        <f>IFERROR(VLOOKUP($C488,Tabla_Documentos[],5,FALSE),"")</f>
        <v>76160</v>
      </c>
      <c r="H488" s="29" t="str">
        <f>IFERROR(VLOOKUP($C488,Tabla_Documentos[],6,FALSE),"")</f>
        <v>BELEN</v>
      </c>
      <c r="I488" s="38">
        <f>IFERROR(VLOOKUP($C488,Tabla_Documentos[],5,FALSE),"")</f>
        <v>76160</v>
      </c>
      <c r="J488" s="25">
        <v>45877</v>
      </c>
    </row>
    <row r="489" spans="3:10" ht="21" customHeight="1" x14ac:dyDescent="0.25">
      <c r="C489" s="39">
        <v>1393</v>
      </c>
      <c r="D489" s="28">
        <f>IFERROR(VLOOKUP($C489,Tabla_Documentos[],2,FALSE),"")</f>
        <v>45877</v>
      </c>
      <c r="E489" s="34" t="str">
        <f>IFERROR(VLOOKUP($C489,Tabla_Documentos[],3,FALSE),"")</f>
        <v>76255245-0</v>
      </c>
      <c r="F489" s="35" t="str">
        <f>IFERROR(VLOOKUP($C489,Tabla_Documentos[],4,FALSE),"")</f>
        <v>SIDESA CHILE S.A.</v>
      </c>
      <c r="G489" s="38">
        <f>IFERROR(VLOOKUP($C489,Tabla_Documentos[],5,FALSE),"")</f>
        <v>46648</v>
      </c>
      <c r="H489" s="29" t="str">
        <f>IFERROR(VLOOKUP($C489,Tabla_Documentos[],6,FALSE),"")</f>
        <v>BELEN</v>
      </c>
      <c r="I489" s="38">
        <f>IFERROR(VLOOKUP($C489,Tabla_Documentos[],5,FALSE),"")</f>
        <v>46648</v>
      </c>
      <c r="J489" s="25">
        <v>45911</v>
      </c>
    </row>
    <row r="490" spans="3:10" ht="21" customHeight="1" x14ac:dyDescent="0.25">
      <c r="C490" s="39">
        <v>1394</v>
      </c>
      <c r="D490" s="28">
        <f>IFERROR(VLOOKUP($C490,Tabla_Documentos[],2,FALSE),"")</f>
        <v>45877</v>
      </c>
      <c r="E490" s="34" t="str">
        <f>IFERROR(VLOOKUP($C490,Tabla_Documentos[],3,FALSE),"")</f>
        <v>76255245-0</v>
      </c>
      <c r="F490" s="35" t="str">
        <f>IFERROR(VLOOKUP($C490,Tabla_Documentos[],4,FALSE),"")</f>
        <v>SIDESA CHILE S.A.</v>
      </c>
      <c r="G490" s="38">
        <f>IFERROR(VLOOKUP($C490,Tabla_Documentos[],5,FALSE),"")</f>
        <v>160650</v>
      </c>
      <c r="H490" s="29" t="str">
        <f>IFERROR(VLOOKUP($C490,Tabla_Documentos[],6,FALSE),"")</f>
        <v>PUBLICIDAD</v>
      </c>
      <c r="I490" s="38">
        <f>IFERROR(VLOOKUP($C490,Tabla_Documentos[],5,FALSE),"")</f>
        <v>160650</v>
      </c>
      <c r="J490" s="25">
        <v>45908</v>
      </c>
    </row>
    <row r="491" spans="3:10" ht="21" customHeight="1" x14ac:dyDescent="0.25">
      <c r="C491" s="39">
        <v>1395</v>
      </c>
      <c r="D491" s="28">
        <f>IFERROR(VLOOKUP($C491,Tabla_Documentos[],2,FALSE),"")</f>
        <v>45877</v>
      </c>
      <c r="E491" s="34" t="str">
        <f>IFERROR(VLOOKUP($C491,Tabla_Documentos[],3,FALSE),"")</f>
        <v>76255245-0</v>
      </c>
      <c r="F491" s="35" t="str">
        <f>IFERROR(VLOOKUP($C491,Tabla_Documentos[],4,FALSE),"")</f>
        <v>SIDESA CHILE S.A.</v>
      </c>
      <c r="G491" s="38">
        <f>IFERROR(VLOOKUP($C491,Tabla_Documentos[],5,FALSE),"")</f>
        <v>267750</v>
      </c>
      <c r="H491" s="29" t="str">
        <f>IFERROR(VLOOKUP($C491,Tabla_Documentos[],6,FALSE),"")</f>
        <v>PUBLICIDAD</v>
      </c>
      <c r="I491" s="38">
        <f>IFERROR(VLOOKUP($C491,Tabla_Documentos[],5,FALSE),"")</f>
        <v>267750</v>
      </c>
      <c r="J491" s="25">
        <v>45908</v>
      </c>
    </row>
    <row r="492" spans="3:10" ht="21" customHeight="1" x14ac:dyDescent="0.25">
      <c r="C492" s="39">
        <v>1396</v>
      </c>
      <c r="D492" s="28">
        <f>IFERROR(VLOOKUP($C492,Tabla_Documentos[],2,FALSE),"")</f>
        <v>45880</v>
      </c>
      <c r="E492" s="34" t="str">
        <f>IFERROR(VLOOKUP($C492,Tabla_Documentos[],3,FALSE),"")</f>
        <v>9051431-8</v>
      </c>
      <c r="F492" s="35" t="str">
        <f>IFERROR(VLOOKUP($C492,Tabla_Documentos[],4,FALSE),"")</f>
        <v>RAMON ANGEL RIQUELME OLIVARES</v>
      </c>
      <c r="G492" s="38">
        <f>IFERROR(VLOOKUP($C492,Tabla_Documentos[],5,FALSE),"")</f>
        <v>20000</v>
      </c>
      <c r="H492" s="29" t="str">
        <f>IFERROR(VLOOKUP($C492,Tabla_Documentos[],6,FALSE),"")</f>
        <v>PUBLICIDAD</v>
      </c>
      <c r="I492" s="38">
        <f>IFERROR(VLOOKUP($C492,Tabla_Documentos[],5,FALSE),"")</f>
        <v>20000</v>
      </c>
      <c r="J492" s="25">
        <v>45880</v>
      </c>
    </row>
    <row r="493" spans="3:10" ht="21" customHeight="1" x14ac:dyDescent="0.25">
      <c r="C493" s="39">
        <v>1397</v>
      </c>
      <c r="D493" s="28">
        <f>IFERROR(VLOOKUP($C493,Tabla_Documentos[],2,FALSE),"")</f>
        <v>45880</v>
      </c>
      <c r="E493" s="34" t="str">
        <f>IFERROR(VLOOKUP($C493,Tabla_Documentos[],3,FALSE),"")</f>
        <v>77449132-5</v>
      </c>
      <c r="F493" s="35" t="str">
        <f>IFERROR(VLOOKUP($C493,Tabla_Documentos[],4,FALSE),"")</f>
        <v>ALICE IMPORT EXPORT LIMITADA</v>
      </c>
      <c r="G493" s="38">
        <f>IFERROR(VLOOKUP($C493,Tabla_Documentos[],5,FALSE),"")</f>
        <v>35700</v>
      </c>
      <c r="H493" s="29" t="str">
        <f>IFERROR(VLOOKUP($C493,Tabla_Documentos[],6,FALSE),"")</f>
        <v>PUBLICIDAD</v>
      </c>
      <c r="I493" s="38">
        <f>IFERROR(VLOOKUP($C493,Tabla_Documentos[],5,FALSE),"")</f>
        <v>35700</v>
      </c>
      <c r="J493" s="25">
        <v>45880</v>
      </c>
    </row>
    <row r="494" spans="3:10" ht="21" customHeight="1" x14ac:dyDescent="0.25">
      <c r="C494" s="39">
        <v>1398</v>
      </c>
      <c r="D494" s="28">
        <f>IFERROR(VLOOKUP($C494,Tabla_Documentos[],2,FALSE),"")</f>
        <v>45880</v>
      </c>
      <c r="E494" s="34" t="str">
        <f>IFERROR(VLOOKUP($C494,Tabla_Documentos[],3,FALSE),"")</f>
        <v>77389370-5</v>
      </c>
      <c r="F494" s="35" t="str">
        <f>IFERROR(VLOOKUP($C494,Tabla_Documentos[],4,FALSE),"")</f>
        <v>PROTAB SPA</v>
      </c>
      <c r="G494" s="38">
        <f>IFERROR(VLOOKUP($C494,Tabla_Documentos[],5,FALSE),"")</f>
        <v>83300</v>
      </c>
      <c r="H494" s="29" t="str">
        <f>IFERROR(VLOOKUP($C494,Tabla_Documentos[],6,FALSE),"")</f>
        <v>PUBLICIDAD</v>
      </c>
      <c r="I494" s="38">
        <f>IFERROR(VLOOKUP($C494,Tabla_Documentos[],5,FALSE),"")</f>
        <v>83300</v>
      </c>
      <c r="J494" s="25">
        <v>45880</v>
      </c>
    </row>
    <row r="495" spans="3:10" ht="21" customHeight="1" x14ac:dyDescent="0.25">
      <c r="C495" s="39">
        <v>1399</v>
      </c>
      <c r="D495" s="28">
        <f>IFERROR(VLOOKUP($C495,Tabla_Documentos[],2,FALSE),"")</f>
        <v>45881</v>
      </c>
      <c r="E495" s="34" t="str">
        <f>IFERROR(VLOOKUP($C495,Tabla_Documentos[],3,FALSE),"")</f>
        <v>76366587-9</v>
      </c>
      <c r="F495" s="35" t="str">
        <f>IFERROR(VLOOKUP($C495,Tabla_Documentos[],4,FALSE),"")</f>
        <v>CONSTRUCTORA VGA SPA</v>
      </c>
      <c r="G495" s="38">
        <f>IFERROR(VLOOKUP($C495,Tabla_Documentos[],5,FALSE),"")</f>
        <v>50000</v>
      </c>
      <c r="H495" s="29" t="str">
        <f>IFERROR(VLOOKUP($C495,Tabla_Documentos[],6,FALSE),"")</f>
        <v>PUBLICIDAD</v>
      </c>
      <c r="I495" s="38">
        <f>IFERROR(VLOOKUP($C495,Tabla_Documentos[],5,FALSE),"")</f>
        <v>50000</v>
      </c>
      <c r="J495" s="25">
        <v>45881</v>
      </c>
    </row>
    <row r="496" spans="3:10" ht="21" customHeight="1" x14ac:dyDescent="0.25">
      <c r="C496" s="39">
        <v>1400</v>
      </c>
      <c r="D496" s="28">
        <f>IFERROR(VLOOKUP($C496,Tabla_Documentos[],2,FALSE),"")</f>
        <v>45882</v>
      </c>
      <c r="E496" s="34" t="str">
        <f>IFERROR(VLOOKUP($C496,Tabla_Documentos[],3,FALSE),"")</f>
        <v>96792430-K</v>
      </c>
      <c r="F496" s="35" t="str">
        <f>IFERROR(VLOOKUP($C496,Tabla_Documentos[],4,FALSE),"")</f>
        <v>SODIMAC S.A.</v>
      </c>
      <c r="G496" s="38">
        <f>IFERROR(VLOOKUP($C496,Tabla_Documentos[],5,FALSE),"")</f>
        <v>1448230</v>
      </c>
      <c r="H496" s="29" t="str">
        <f>IFERROR(VLOOKUP($C496,Tabla_Documentos[],6,FALSE),"")</f>
        <v>BELEN</v>
      </c>
      <c r="I496" s="38">
        <f>IFERROR(VLOOKUP($C496,Tabla_Documentos[],5,FALSE),"")</f>
        <v>1448230</v>
      </c>
      <c r="J496" s="25">
        <v>45912</v>
      </c>
    </row>
    <row r="497" spans="3:10" ht="21" customHeight="1" x14ac:dyDescent="0.25">
      <c r="C497" s="39">
        <v>1401</v>
      </c>
      <c r="D497" s="28">
        <f>IFERROR(VLOOKUP($C497,Tabla_Documentos[],2,FALSE),"")</f>
        <v>45882</v>
      </c>
      <c r="E497" s="34" t="str">
        <f>IFERROR(VLOOKUP($C497,Tabla_Documentos[],3,FALSE),"")</f>
        <v>76187388-1</v>
      </c>
      <c r="F497" s="35" t="str">
        <f>IFERROR(VLOOKUP($C497,Tabla_Documentos[],4,FALSE),"")</f>
        <v>NORTENERGY SOCIEDAD POR ACCIONES SPA</v>
      </c>
      <c r="G497" s="38">
        <f>IFERROR(VLOOKUP($C497,Tabla_Documentos[],5,FALSE),"")</f>
        <v>535500</v>
      </c>
      <c r="H497" s="29" t="str">
        <f>IFERROR(VLOOKUP($C497,Tabla_Documentos[],6,FALSE),"")</f>
        <v>PUBLICIDAD</v>
      </c>
      <c r="I497" s="38">
        <f>IFERROR(VLOOKUP($C497,Tabla_Documentos[],5,FALSE),"")</f>
        <v>535500</v>
      </c>
      <c r="J497" s="25">
        <v>45903</v>
      </c>
    </row>
    <row r="498" spans="3:10" ht="21" customHeight="1" x14ac:dyDescent="0.25">
      <c r="C498" s="39">
        <v>1402</v>
      </c>
      <c r="D498" s="28">
        <f>IFERROR(VLOOKUP($C498,Tabla_Documentos[],2,FALSE),"")</f>
        <v>45882</v>
      </c>
      <c r="E498" s="34" t="str">
        <f>IFERROR(VLOOKUP($C498,Tabla_Documentos[],3,FALSE),"")</f>
        <v>76606960-6</v>
      </c>
      <c r="F498" s="35" t="str">
        <f>IFERROR(VLOOKUP($C498,Tabla_Documentos[],4,FALSE),"")</f>
        <v>ETYCA PROFESIONALES CAPACITACION LIMITADA</v>
      </c>
      <c r="G498" s="38">
        <f>IFERROR(VLOOKUP($C498,Tabla_Documentos[],5,FALSE),"")</f>
        <v>95200</v>
      </c>
      <c r="H498" s="29" t="str">
        <f>IFERROR(VLOOKUP($C498,Tabla_Documentos[],6,FALSE),"")</f>
        <v>PUBLICIDAD</v>
      </c>
      <c r="I498" s="38">
        <f>IFERROR(VLOOKUP($C498,Tabla_Documentos[],5,FALSE),"")</f>
        <v>95200</v>
      </c>
      <c r="J498" s="25">
        <v>45882</v>
      </c>
    </row>
    <row r="499" spans="3:10" ht="21" customHeight="1" x14ac:dyDescent="0.25">
      <c r="C499" s="39">
        <v>1403</v>
      </c>
      <c r="D499" s="28">
        <f>IFERROR(VLOOKUP($C499,Tabla_Documentos[],2,FALSE),"")</f>
        <v>45883</v>
      </c>
      <c r="E499" s="34" t="str">
        <f>IFERROR(VLOOKUP($C499,Tabla_Documentos[],3,FALSE),"")</f>
        <v>76650779-4</v>
      </c>
      <c r="F499" s="35" t="str">
        <f>IFERROR(VLOOKUP($C499,Tabla_Documentos[],4,FALSE),"")</f>
        <v>SOLUCIONES GLOBALES CARLOS HERBERTO MOSCOSO</v>
      </c>
      <c r="G499" s="38">
        <f>IFERROR(VLOOKUP($C499,Tabla_Documentos[],5,FALSE),"")</f>
        <v>52360</v>
      </c>
      <c r="H499" s="29" t="str">
        <f>IFERROR(VLOOKUP($C499,Tabla_Documentos[],6,FALSE),"")</f>
        <v>PUBLICIDAD</v>
      </c>
      <c r="I499" s="38">
        <f>IFERROR(VLOOKUP($C499,Tabla_Documentos[],5,FALSE),"")</f>
        <v>52360</v>
      </c>
      <c r="J499" s="25">
        <v>45883</v>
      </c>
    </row>
    <row r="500" spans="3:10" ht="21" customHeight="1" x14ac:dyDescent="0.25">
      <c r="C500" s="39">
        <v>1404</v>
      </c>
      <c r="D500" s="28">
        <f>IFERROR(VLOOKUP($C500,Tabla_Documentos[],2,FALSE),"")</f>
        <v>45887</v>
      </c>
      <c r="E500" s="34" t="str">
        <f>IFERROR(VLOOKUP($C500,Tabla_Documentos[],3,FALSE),"")</f>
        <v>76346498-9</v>
      </c>
      <c r="F500" s="35" t="str">
        <f>IFERROR(VLOOKUP($C500,Tabla_Documentos[],4,FALSE),"")</f>
        <v>CONSTRUCTORA CARLOS ALBERTO ANDRES ALBISTUR REYES E.I.R.L.</v>
      </c>
      <c r="G500" s="38">
        <f>IFERROR(VLOOKUP($C500,Tabla_Documentos[],5,FALSE),"")</f>
        <v>357000</v>
      </c>
      <c r="H500" s="29" t="str">
        <f>IFERROR(VLOOKUP($C500,Tabla_Documentos[],6,FALSE),"")</f>
        <v>PUBLICIDAD</v>
      </c>
      <c r="I500" s="38">
        <f>IFERROR(VLOOKUP($C500,Tabla_Documentos[],5,FALSE),"")</f>
        <v>357000</v>
      </c>
      <c r="J500" s="25">
        <v>45887</v>
      </c>
    </row>
    <row r="501" spans="3:10" ht="21" customHeight="1" x14ac:dyDescent="0.25">
      <c r="C501" s="39">
        <v>1405</v>
      </c>
      <c r="D501" s="28">
        <f>IFERROR(VLOOKUP($C501,Tabla_Documentos[],2,FALSE),"")</f>
        <v>45887</v>
      </c>
      <c r="E501" s="34" t="str">
        <f>IFERROR(VLOOKUP($C501,Tabla_Documentos[],3,FALSE),"")</f>
        <v>76346498-9</v>
      </c>
      <c r="F501" s="35" t="str">
        <f>IFERROR(VLOOKUP($C501,Tabla_Documentos[],4,FALSE),"")</f>
        <v>CONSTRUCTORA CARLOS ALBERTO ANDRES ALBISTUR REYES E.I.R.L.</v>
      </c>
      <c r="G501" s="38">
        <f>IFERROR(VLOOKUP($C501,Tabla_Documentos[],5,FALSE),"")</f>
        <v>357000</v>
      </c>
      <c r="H501" s="29" t="str">
        <f>IFERROR(VLOOKUP($C501,Tabla_Documentos[],6,FALSE),"")</f>
        <v>PUBLICIDAD</v>
      </c>
      <c r="I501" s="38">
        <f>IFERROR(VLOOKUP($C501,Tabla_Documentos[],5,FALSE),"")</f>
        <v>357000</v>
      </c>
      <c r="J501" s="25">
        <v>45901</v>
      </c>
    </row>
    <row r="502" spans="3:10" ht="21" customHeight="1" x14ac:dyDescent="0.25">
      <c r="C502" s="39">
        <v>1406</v>
      </c>
      <c r="D502" s="28">
        <f>IFERROR(VLOOKUP($C502,Tabla_Documentos[],2,FALSE),"")</f>
        <v>45887</v>
      </c>
      <c r="E502" s="34" t="str">
        <f>IFERROR(VLOOKUP($C502,Tabla_Documentos[],3,FALSE),"")</f>
        <v>77382153-4</v>
      </c>
      <c r="F502" s="35" t="str">
        <f>IFERROR(VLOOKUP($C502,Tabla_Documentos[],4,FALSE),"")</f>
        <v>AUCAN LOGISTIC SPA</v>
      </c>
      <c r="G502" s="38">
        <f>IFERROR(VLOOKUP($C502,Tabla_Documentos[],5,FALSE),"")</f>
        <v>3424820</v>
      </c>
      <c r="H502" s="29" t="str">
        <f>IFERROR(VLOOKUP($C502,Tabla_Documentos[],6,FALSE),"")</f>
        <v>PUBLICIDAD</v>
      </c>
      <c r="I502" s="38">
        <f>IFERROR(VLOOKUP($C502,Tabla_Documentos[],5,FALSE),"")</f>
        <v>3424820</v>
      </c>
      <c r="J502" s="25">
        <v>45887</v>
      </c>
    </row>
    <row r="503" spans="3:10" ht="21" customHeight="1" x14ac:dyDescent="0.25">
      <c r="C503" s="39">
        <v>1407</v>
      </c>
      <c r="D503" s="28">
        <f>IFERROR(VLOOKUP($C503,Tabla_Documentos[],2,FALSE),"")</f>
        <v>45887</v>
      </c>
      <c r="E503" s="34" t="str">
        <f>IFERROR(VLOOKUP($C503,Tabla_Documentos[],3,FALSE),"")</f>
        <v>76881519-4</v>
      </c>
      <c r="F503" s="35" t="str">
        <f>IFERROR(VLOOKUP($C503,Tabla_Documentos[],4,FALSE),"")</f>
        <v>CENTRO DE MANTENIMIENTO AUTOMOTRIZ Y MAQUINARIA SPA</v>
      </c>
      <c r="G503" s="38">
        <f>IFERROR(VLOOKUP($C503,Tabla_Documentos[],5,FALSE),"")</f>
        <v>226100</v>
      </c>
      <c r="H503" s="29" t="str">
        <f>IFERROR(VLOOKUP($C503,Tabla_Documentos[],6,FALSE),"")</f>
        <v>PUBLICIDAD</v>
      </c>
      <c r="I503" s="38">
        <f>IFERROR(VLOOKUP($C503,Tabla_Documentos[],5,FALSE),"")</f>
        <v>226100</v>
      </c>
      <c r="J503" s="25">
        <v>45903</v>
      </c>
    </row>
    <row r="504" spans="3:10" ht="21" customHeight="1" x14ac:dyDescent="0.25">
      <c r="C504" s="39">
        <v>1408</v>
      </c>
      <c r="D504" s="28">
        <f>IFERROR(VLOOKUP($C504,Tabla_Documentos[],2,FALSE),"")</f>
        <v>45887</v>
      </c>
      <c r="E504" s="34" t="str">
        <f>IFERROR(VLOOKUP($C504,Tabla_Documentos[],3,FALSE),"")</f>
        <v>76346498-9</v>
      </c>
      <c r="F504" s="35" t="str">
        <f>IFERROR(VLOOKUP($C504,Tabla_Documentos[],4,FALSE),"")</f>
        <v>CONSTRUCTORA CARLOS ALBERTO ANDRES ALBISTUR REYES E.I.R.L.</v>
      </c>
      <c r="G504" s="38">
        <f>IFERROR(VLOOKUP($C504,Tabla_Documentos[],5,FALSE),"")</f>
        <v>65926</v>
      </c>
      <c r="H504" s="29" t="str">
        <f>IFERROR(VLOOKUP($C504,Tabla_Documentos[],6,FALSE),"")</f>
        <v>PUBLICIDAD</v>
      </c>
      <c r="I504" s="38">
        <f>IFERROR(VLOOKUP($C504,Tabla_Documentos[],5,FALSE),"")</f>
        <v>65926</v>
      </c>
      <c r="J504" s="25">
        <v>45940</v>
      </c>
    </row>
    <row r="505" spans="3:10" ht="21" customHeight="1" x14ac:dyDescent="0.25">
      <c r="C505" s="39">
        <v>1409</v>
      </c>
      <c r="D505" s="28">
        <f>IFERROR(VLOOKUP($C505,Tabla_Documentos[],2,FALSE),"")</f>
        <v>45888</v>
      </c>
      <c r="E505" s="34" t="str">
        <f>IFERROR(VLOOKUP($C505,Tabla_Documentos[],3,FALSE),"")</f>
        <v>76655851-8</v>
      </c>
      <c r="F505" s="35" t="str">
        <f>IFERROR(VLOOKUP($C505,Tabla_Documentos[],4,FALSE),"")</f>
        <v>MAESTRANZA INDUSTRIAL FRITIS LIMITADA</v>
      </c>
      <c r="G505" s="38">
        <f>IFERROR(VLOOKUP($C505,Tabla_Documentos[],5,FALSE),"")</f>
        <v>17850</v>
      </c>
      <c r="H505" s="29" t="str">
        <f>IFERROR(VLOOKUP($C505,Tabla_Documentos[],6,FALSE),"")</f>
        <v>PUBLICIDAD</v>
      </c>
      <c r="I505" s="38">
        <f>IFERROR(VLOOKUP($C505,Tabla_Documentos[],5,FALSE),"")</f>
        <v>17850</v>
      </c>
      <c r="J505" s="25">
        <v>45888</v>
      </c>
    </row>
    <row r="506" spans="3:10" ht="21" customHeight="1" x14ac:dyDescent="0.25">
      <c r="C506" s="39">
        <v>1410</v>
      </c>
      <c r="D506" s="28">
        <f>IFERROR(VLOOKUP($C506,Tabla_Documentos[],2,FALSE),"")</f>
        <v>45888</v>
      </c>
      <c r="E506" s="34" t="str">
        <f>IFERROR(VLOOKUP($C506,Tabla_Documentos[],3,FALSE),"")</f>
        <v>76346498-9</v>
      </c>
      <c r="F506" s="35" t="str">
        <f>IFERROR(VLOOKUP($C506,Tabla_Documentos[],4,FALSE),"")</f>
        <v>CONSTRUCTORA CARLOS ALBERTO ANDRES ALBISTUR REYES E.I.R.L.</v>
      </c>
      <c r="G506" s="38">
        <f>IFERROR(VLOOKUP($C506,Tabla_Documentos[],5,FALSE),"")</f>
        <v>596785</v>
      </c>
      <c r="H506" s="29" t="str">
        <f>IFERROR(VLOOKUP($C506,Tabla_Documentos[],6,FALSE),"")</f>
        <v>PUBLICIDAD</v>
      </c>
      <c r="I506" s="38">
        <f>IFERROR(VLOOKUP($C506,Tabla_Documentos[],5,FALSE),"")</f>
        <v>596785</v>
      </c>
      <c r="J506" s="25">
        <v>45901</v>
      </c>
    </row>
    <row r="507" spans="3:10" ht="21" customHeight="1" x14ac:dyDescent="0.25">
      <c r="C507" s="39">
        <v>1411</v>
      </c>
      <c r="D507" s="28">
        <f>IFERROR(VLOOKUP($C507,Tabla_Documentos[],2,FALSE),"")</f>
        <v>45888</v>
      </c>
      <c r="E507" s="34" t="str">
        <f>IFERROR(VLOOKUP($C507,Tabla_Documentos[],3,FALSE),"")</f>
        <v>77382153-4</v>
      </c>
      <c r="F507" s="35" t="str">
        <f>IFERROR(VLOOKUP($C507,Tabla_Documentos[],4,FALSE),"")</f>
        <v>AUCAN LOGISTIC SPA</v>
      </c>
      <c r="G507" s="38">
        <f>IFERROR(VLOOKUP($C507,Tabla_Documentos[],5,FALSE),"")</f>
        <v>201824</v>
      </c>
      <c r="H507" s="29" t="str">
        <f>IFERROR(VLOOKUP($C507,Tabla_Documentos[],6,FALSE),"")</f>
        <v>PUBLICIDAD</v>
      </c>
      <c r="I507" s="38">
        <f>IFERROR(VLOOKUP($C507,Tabla_Documentos[],5,FALSE),"")</f>
        <v>201824</v>
      </c>
      <c r="J507" s="25">
        <v>45888</v>
      </c>
    </row>
    <row r="508" spans="3:10" ht="21" customHeight="1" x14ac:dyDescent="0.25">
      <c r="C508" s="39">
        <v>1412</v>
      </c>
      <c r="D508" s="28">
        <f>IFERROR(VLOOKUP($C508,Tabla_Documentos[],2,FALSE),"")</f>
        <v>45889</v>
      </c>
      <c r="E508" s="34" t="str">
        <f>IFERROR(VLOOKUP($C508,Tabla_Documentos[],3,FALSE),"")</f>
        <v>76606960-6</v>
      </c>
      <c r="F508" s="35" t="str">
        <f>IFERROR(VLOOKUP($C508,Tabla_Documentos[],4,FALSE),"")</f>
        <v>ETYCA PROFESIONALES CAPACITACION LIMITADA</v>
      </c>
      <c r="G508" s="38">
        <f>IFERROR(VLOOKUP($C508,Tabla_Documentos[],5,FALSE),"")</f>
        <v>38080</v>
      </c>
      <c r="H508" s="29" t="str">
        <f>IFERROR(VLOOKUP($C508,Tabla_Documentos[],6,FALSE),"")</f>
        <v>PUBLICIDAD</v>
      </c>
      <c r="I508" s="38">
        <f>IFERROR(VLOOKUP($C508,Tabla_Documentos[],5,FALSE),"")</f>
        <v>38080</v>
      </c>
      <c r="J508" s="25">
        <v>45889</v>
      </c>
    </row>
    <row r="509" spans="3:10" ht="21" customHeight="1" x14ac:dyDescent="0.25">
      <c r="C509" s="39">
        <v>1413</v>
      </c>
      <c r="D509" s="28">
        <f>IFERROR(VLOOKUP($C509,Tabla_Documentos[],2,FALSE),"")</f>
        <v>45889</v>
      </c>
      <c r="E509" s="34" t="str">
        <f>IFERROR(VLOOKUP($C509,Tabla_Documentos[],3,FALSE),"")</f>
        <v>76586659-6</v>
      </c>
      <c r="F509" s="35" t="str">
        <f>IFERROR(VLOOKUP($C509,Tabla_Documentos[],4,FALSE),"")</f>
        <v>ESPACIO LUAN SPA</v>
      </c>
      <c r="G509" s="38">
        <f>IFERROR(VLOOKUP($C509,Tabla_Documentos[],5,FALSE),"")</f>
        <v>35700</v>
      </c>
      <c r="H509" s="29" t="str">
        <f>IFERROR(VLOOKUP($C509,Tabla_Documentos[],6,FALSE),"")</f>
        <v>PUBLICIDAD</v>
      </c>
      <c r="I509" s="38">
        <f>IFERROR(VLOOKUP($C509,Tabla_Documentos[],5,FALSE),"")</f>
        <v>35700</v>
      </c>
      <c r="J509" s="25">
        <v>45889</v>
      </c>
    </row>
    <row r="510" spans="3:10" ht="21" customHeight="1" x14ac:dyDescent="0.25">
      <c r="C510" s="39">
        <v>1414</v>
      </c>
      <c r="D510" s="28">
        <f>IFERROR(VLOOKUP($C510,Tabla_Documentos[],2,FALSE),"")</f>
        <v>45889</v>
      </c>
      <c r="E510" s="34" t="str">
        <f>IFERROR(VLOOKUP($C510,Tabla_Documentos[],3,FALSE),"")</f>
        <v>76336122-5</v>
      </c>
      <c r="F510" s="35" t="str">
        <f>IFERROR(VLOOKUP($C510,Tabla_Documentos[],4,FALSE),"")</f>
        <v>INGENIERIA Y SERVICIOS TERRACOP SPA</v>
      </c>
      <c r="G510" s="38">
        <f>IFERROR(VLOOKUP($C510,Tabla_Documentos[],5,FALSE),"")</f>
        <v>476000</v>
      </c>
      <c r="H510" s="29" t="str">
        <f>IFERROR(VLOOKUP($C510,Tabla_Documentos[],6,FALSE),"")</f>
        <v>PUBLICIDAD</v>
      </c>
      <c r="I510" s="38">
        <f>IFERROR(VLOOKUP($C510,Tabla_Documentos[],5,FALSE),"")</f>
        <v>476000</v>
      </c>
      <c r="J510" s="25">
        <v>45889</v>
      </c>
    </row>
    <row r="511" spans="3:10" ht="21" customHeight="1" x14ac:dyDescent="0.25">
      <c r="C511" s="39">
        <v>1415</v>
      </c>
      <c r="D511" s="28">
        <f>IFERROR(VLOOKUP($C511,Tabla_Documentos[],2,FALSE),"")</f>
        <v>45890</v>
      </c>
      <c r="E511" s="34" t="str">
        <f>IFERROR(VLOOKUP($C511,Tabla_Documentos[],3,FALSE),"")</f>
        <v>77062894-6</v>
      </c>
      <c r="F511" s="35" t="str">
        <f>IFERROR(VLOOKUP($C511,Tabla_Documentos[],4,FALSE),"")</f>
        <v>MENDOZA CAZ  SPA</v>
      </c>
      <c r="G511" s="38">
        <f>IFERROR(VLOOKUP($C511,Tabla_Documentos[],5,FALSE),"")</f>
        <v>1059100</v>
      </c>
      <c r="H511" s="29" t="str">
        <f>IFERROR(VLOOKUP($C511,Tabla_Documentos[],6,FALSE),"")</f>
        <v>PUBLICIDAD</v>
      </c>
      <c r="I511" s="38">
        <f>IFERROR(VLOOKUP($C511,Tabla_Documentos[],5,FALSE),"")</f>
        <v>1059100</v>
      </c>
      <c r="J511" s="25">
        <v>45890</v>
      </c>
    </row>
    <row r="512" spans="3:10" ht="21" customHeight="1" x14ac:dyDescent="0.25">
      <c r="C512" s="39">
        <v>1416</v>
      </c>
      <c r="D512" s="28">
        <f>IFERROR(VLOOKUP($C512,Tabla_Documentos[],2,FALSE),"")</f>
        <v>45890</v>
      </c>
      <c r="E512" s="34" t="str">
        <f>IFERROR(VLOOKUP($C512,Tabla_Documentos[],3,FALSE),"")</f>
        <v>77789862-0</v>
      </c>
      <c r="F512" s="35" t="str">
        <f>IFERROR(VLOOKUP($C512,Tabla_Documentos[],4,FALSE),"")</f>
        <v>MOINCO INGENIERIA SPA</v>
      </c>
      <c r="G512" s="38">
        <f>IFERROR(VLOOKUP($C512,Tabla_Documentos[],5,FALSE),"")</f>
        <v>636550</v>
      </c>
      <c r="H512" s="29" t="str">
        <f>IFERROR(VLOOKUP($C512,Tabla_Documentos[],6,FALSE),"")</f>
        <v>PUBLICIDAD</v>
      </c>
      <c r="I512" s="38">
        <f>IFERROR(VLOOKUP($C512,Tabla_Documentos[],5,FALSE),"")</f>
        <v>636550</v>
      </c>
      <c r="J512" s="25">
        <v>45890</v>
      </c>
    </row>
    <row r="513" spans="3:10" ht="21" customHeight="1" x14ac:dyDescent="0.25">
      <c r="C513" s="39">
        <v>1417</v>
      </c>
      <c r="D513" s="28">
        <f>IFERROR(VLOOKUP($C513,Tabla_Documentos[],2,FALSE),"")</f>
        <v>45891</v>
      </c>
      <c r="E513" s="34" t="str">
        <f>IFERROR(VLOOKUP($C513,Tabla_Documentos[],3,FALSE),"")</f>
        <v>76591503-1</v>
      </c>
      <c r="F513" s="35" t="str">
        <f>IFERROR(VLOOKUP($C513,Tabla_Documentos[],4,FALSE),"")</f>
        <v>VALTECK CHILE SPA</v>
      </c>
      <c r="G513" s="38">
        <f>IFERROR(VLOOKUP($C513,Tabla_Documentos[],5,FALSE),"")</f>
        <v>599760</v>
      </c>
      <c r="H513" s="29" t="str">
        <f>IFERROR(VLOOKUP($C513,Tabla_Documentos[],6,FALSE),"")</f>
        <v>PUBLICIDAD</v>
      </c>
      <c r="I513" s="38">
        <f>IFERROR(VLOOKUP($C513,Tabla_Documentos[],5,FALSE),"")</f>
        <v>599760</v>
      </c>
      <c r="J513" s="25">
        <v>45891</v>
      </c>
    </row>
    <row r="514" spans="3:10" ht="21" customHeight="1" x14ac:dyDescent="0.25">
      <c r="C514" s="39">
        <v>1418</v>
      </c>
      <c r="D514" s="28">
        <f>IFERROR(VLOOKUP($C514,Tabla_Documentos[],2,FALSE),"")</f>
        <v>45894</v>
      </c>
      <c r="E514" s="34" t="str">
        <f>IFERROR(VLOOKUP($C514,Tabla_Documentos[],3,FALSE),"")</f>
        <v>77382153-4</v>
      </c>
      <c r="F514" s="35" t="str">
        <f>IFERROR(VLOOKUP($C514,Tabla_Documentos[],4,FALSE),"")</f>
        <v>AUCAN LOGISTIC SPA</v>
      </c>
      <c r="G514" s="38">
        <f>IFERROR(VLOOKUP($C514,Tabla_Documentos[],5,FALSE),"")</f>
        <v>333200</v>
      </c>
      <c r="H514" s="29" t="str">
        <f>IFERROR(VLOOKUP($C514,Tabla_Documentos[],6,FALSE),"")</f>
        <v>PUBLICIDAD</v>
      </c>
      <c r="I514" s="38">
        <f>IFERROR(VLOOKUP($C514,Tabla_Documentos[],5,FALSE),"")</f>
        <v>333200</v>
      </c>
      <c r="J514" s="25">
        <v>45894</v>
      </c>
    </row>
    <row r="515" spans="3:10" ht="21" customHeight="1" x14ac:dyDescent="0.25">
      <c r="C515" s="39">
        <v>1419</v>
      </c>
      <c r="D515" s="28">
        <f>IFERROR(VLOOKUP($C515,Tabla_Documentos[],2,FALSE),"")</f>
        <v>45894</v>
      </c>
      <c r="E515" s="34" t="str">
        <f>IFERROR(VLOOKUP($C515,Tabla_Documentos[],3,FALSE),"")</f>
        <v>77313060-4</v>
      </c>
      <c r="F515" s="35" t="str">
        <f>IFERROR(VLOOKUP($C515,Tabla_Documentos[],4,FALSE),"")</f>
        <v>COMERCIAL SERPAN SPA</v>
      </c>
      <c r="G515" s="38">
        <f>IFERROR(VLOOKUP($C515,Tabla_Documentos[],5,FALSE),"")</f>
        <v>11900</v>
      </c>
      <c r="H515" s="29" t="str">
        <f>IFERROR(VLOOKUP($C515,Tabla_Documentos[],6,FALSE),"")</f>
        <v>PUBLICIDAD</v>
      </c>
      <c r="I515" s="38">
        <f>IFERROR(VLOOKUP($C515,Tabla_Documentos[],5,FALSE),"")</f>
        <v>11900</v>
      </c>
      <c r="J515" s="25">
        <v>45931</v>
      </c>
    </row>
    <row r="516" spans="3:10" ht="21" customHeight="1" x14ac:dyDescent="0.25">
      <c r="C516" s="39">
        <v>1420</v>
      </c>
      <c r="D516" s="28">
        <f>IFERROR(VLOOKUP($C516,Tabla_Documentos[],2,FALSE),"")</f>
        <v>45894</v>
      </c>
      <c r="E516" s="34" t="str">
        <f>IFERROR(VLOOKUP($C516,Tabla_Documentos[],3,FALSE),"")</f>
        <v>77511008-2</v>
      </c>
      <c r="F516" s="35" t="str">
        <f>IFERROR(VLOOKUP($C516,Tabla_Documentos[],4,FALSE),"")</f>
        <v>MULTISERVICIOS SANABRIA SPA</v>
      </c>
      <c r="G516" s="38">
        <f>IFERROR(VLOOKUP($C516,Tabla_Documentos[],5,FALSE),"")</f>
        <v>93415</v>
      </c>
      <c r="H516" s="29" t="str">
        <f>IFERROR(VLOOKUP($C516,Tabla_Documentos[],6,FALSE),"")</f>
        <v>PUBLICIDAD</v>
      </c>
      <c r="I516" s="38">
        <f>IFERROR(VLOOKUP($C516,Tabla_Documentos[],5,FALSE),"")</f>
        <v>93415</v>
      </c>
      <c r="J516" s="25">
        <v>45894</v>
      </c>
    </row>
    <row r="517" spans="3:10" ht="21" customHeight="1" x14ac:dyDescent="0.25">
      <c r="C517" s="39">
        <v>1421</v>
      </c>
      <c r="D517" s="28">
        <f>IFERROR(VLOOKUP($C517,Tabla_Documentos[],2,FALSE),"")</f>
        <v>45895</v>
      </c>
      <c r="E517" s="34" t="str">
        <f>IFERROR(VLOOKUP($C517,Tabla_Documentos[],3,FALSE),"")</f>
        <v>78808300-9</v>
      </c>
      <c r="F517" s="35" t="str">
        <f>IFERROR(VLOOKUP($C517,Tabla_Documentos[],4,FALSE),"")</f>
        <v>EDWIN HOLVOET Y COMPANIA LIMITADA</v>
      </c>
      <c r="G517" s="38">
        <f>IFERROR(VLOOKUP($C517,Tabla_Documentos[],5,FALSE),"")</f>
        <v>214200</v>
      </c>
      <c r="H517" s="29" t="str">
        <f>IFERROR(VLOOKUP($C517,Tabla_Documentos[],6,FALSE),"")</f>
        <v>PUBLICIDAD</v>
      </c>
      <c r="I517" s="38">
        <f>IFERROR(VLOOKUP($C517,Tabla_Documentos[],5,FALSE),"")</f>
        <v>214200</v>
      </c>
      <c r="J517" s="25">
        <v>45895</v>
      </c>
    </row>
    <row r="518" spans="3:10" ht="21" customHeight="1" x14ac:dyDescent="0.25">
      <c r="C518" s="39">
        <v>1422</v>
      </c>
      <c r="D518" s="28">
        <f>IFERROR(VLOOKUP($C518,Tabla_Documentos[],2,FALSE),"")</f>
        <v>45895</v>
      </c>
      <c r="E518" s="34" t="str">
        <f>IFERROR(VLOOKUP($C518,Tabla_Documentos[],3,FALSE),"")</f>
        <v>76686138-5</v>
      </c>
      <c r="F518" s="35" t="str">
        <f>IFERROR(VLOOKUP($C518,Tabla_Documentos[],4,FALSE),"")</f>
        <v>SKC RED SPA</v>
      </c>
      <c r="G518" s="38">
        <f>IFERROR(VLOOKUP($C518,Tabla_Documentos[],5,FALSE),"")</f>
        <v>380800</v>
      </c>
      <c r="H518" s="29" t="str">
        <f>IFERROR(VLOOKUP($C518,Tabla_Documentos[],6,FALSE),"")</f>
        <v>PUBLICIDAD</v>
      </c>
      <c r="I518" s="38">
        <f>IFERROR(VLOOKUP($C518,Tabla_Documentos[],5,FALSE),"")</f>
        <v>380800</v>
      </c>
      <c r="J518" s="25">
        <v>45926</v>
      </c>
    </row>
    <row r="519" spans="3:10" ht="21" customHeight="1" x14ac:dyDescent="0.25">
      <c r="C519" s="39">
        <v>1423</v>
      </c>
      <c r="D519" s="28">
        <f>IFERROR(VLOOKUP($C519,Tabla_Documentos[],2,FALSE),"")</f>
        <v>45895</v>
      </c>
      <c r="E519" s="34" t="str">
        <f>IFERROR(VLOOKUP($C519,Tabla_Documentos[],3,FALSE),"")</f>
        <v>65583040-5</v>
      </c>
      <c r="F519" s="35" t="str">
        <f>IFERROR(VLOOKUP($C519,Tabla_Documentos[],4,FALSE),"")</f>
        <v>CLUB EDAD DE ORO DEL CONSULTORIO ARMANDO OSSA</v>
      </c>
      <c r="G519" s="38">
        <f>IFERROR(VLOOKUP($C519,Tabla_Documentos[],5,FALSE),"")</f>
        <v>297500</v>
      </c>
      <c r="H519" s="29" t="str">
        <f>IFERROR(VLOOKUP($C519,Tabla_Documentos[],6,FALSE),"")</f>
        <v>PUBLICIDAD</v>
      </c>
      <c r="I519" s="38">
        <f>IFERROR(VLOOKUP($C519,Tabla_Documentos[],5,FALSE),"")</f>
        <v>297500</v>
      </c>
      <c r="J519" s="25">
        <v>45895</v>
      </c>
    </row>
    <row r="520" spans="3:10" ht="21" customHeight="1" x14ac:dyDescent="0.25">
      <c r="C520" s="39">
        <v>1424</v>
      </c>
      <c r="D520" s="28">
        <f>IFERROR(VLOOKUP($C520,Tabla_Documentos[],2,FALSE),"")</f>
        <v>45896</v>
      </c>
      <c r="E520" s="34" t="str">
        <f>IFERROR(VLOOKUP($C520,Tabla_Documentos[],3,FALSE),"")</f>
        <v>96792430-K</v>
      </c>
      <c r="F520" s="35" t="str">
        <f>IFERROR(VLOOKUP($C520,Tabla_Documentos[],4,FALSE),"")</f>
        <v>SODIMAC S.A.</v>
      </c>
      <c r="G520" s="38">
        <f>IFERROR(VLOOKUP($C520,Tabla_Documentos[],5,FALSE),"")</f>
        <v>3633070</v>
      </c>
      <c r="H520" s="29" t="str">
        <f>IFERROR(VLOOKUP($C520,Tabla_Documentos[],6,FALSE),"")</f>
        <v>BELEN</v>
      </c>
      <c r="I520" s="38">
        <f>IFERROR(VLOOKUP($C520,Tabla_Documentos[],5,FALSE),"")</f>
        <v>3633070</v>
      </c>
      <c r="J520" s="25">
        <v>45926</v>
      </c>
    </row>
    <row r="521" spans="3:10" ht="21" customHeight="1" x14ac:dyDescent="0.25">
      <c r="C521" s="39">
        <v>1425</v>
      </c>
      <c r="D521" s="28">
        <f>IFERROR(VLOOKUP($C521,Tabla_Documentos[],2,FALSE),"")</f>
        <v>45898</v>
      </c>
      <c r="E521" s="34" t="str">
        <f>IFERROR(VLOOKUP($C521,Tabla_Documentos[],3,FALSE),"")</f>
        <v>78415820-9</v>
      </c>
      <c r="F521" s="35" t="str">
        <f>IFERROR(VLOOKUP($C521,Tabla_Documentos[],4,FALSE),"")</f>
        <v>AGRICOLA MILLAHUE LTDA</v>
      </c>
      <c r="G521" s="38">
        <f>IFERROR(VLOOKUP($C521,Tabla_Documentos[],5,FALSE),"")</f>
        <v>23800</v>
      </c>
      <c r="H521" s="29" t="str">
        <f>IFERROR(VLOOKUP($C521,Tabla_Documentos[],6,FALSE),"")</f>
        <v>PUBLICIDAD</v>
      </c>
      <c r="I521" s="38">
        <f>IFERROR(VLOOKUP($C521,Tabla_Documentos[],5,FALSE),"")</f>
        <v>23800</v>
      </c>
      <c r="J521" s="25">
        <v>45898</v>
      </c>
    </row>
    <row r="522" spans="3:10" ht="21" customHeight="1" x14ac:dyDescent="0.25">
      <c r="C522" s="39">
        <v>1426</v>
      </c>
      <c r="D522" s="28">
        <f>IFERROR(VLOOKUP($C522,Tabla_Documentos[],2,FALSE),"")</f>
        <v>45901</v>
      </c>
      <c r="E522" s="34" t="str">
        <f>IFERROR(VLOOKUP($C522,Tabla_Documentos[],3,FALSE),"")</f>
        <v>76336122-5</v>
      </c>
      <c r="F522" s="35" t="str">
        <f>IFERROR(VLOOKUP($C522,Tabla_Documentos[],4,FALSE),"")</f>
        <v>INGENIERIA Y SERVICIOS TERRACOP SPA</v>
      </c>
      <c r="G522" s="38">
        <f>IFERROR(VLOOKUP($C522,Tabla_Documentos[],5,FALSE),"")</f>
        <v>208250</v>
      </c>
      <c r="H522" s="29" t="str">
        <f>IFERROR(VLOOKUP($C522,Tabla_Documentos[],6,FALSE),"")</f>
        <v>PUBLICIDAD</v>
      </c>
      <c r="I522" s="38">
        <f>IFERROR(VLOOKUP($C522,Tabla_Documentos[],5,FALSE),"")</f>
        <v>208250</v>
      </c>
      <c r="J522" s="25">
        <v>45901</v>
      </c>
    </row>
    <row r="523" spans="3:10" ht="21" customHeight="1" x14ac:dyDescent="0.25">
      <c r="C523" s="39">
        <v>1427</v>
      </c>
      <c r="D523" s="28">
        <f>IFERROR(VLOOKUP($C523,Tabla_Documentos[],2,FALSE),"")</f>
        <v>45901</v>
      </c>
      <c r="E523" s="34" t="str">
        <f>IFERROR(VLOOKUP($C523,Tabla_Documentos[],3,FALSE),"")</f>
        <v>76336122-5</v>
      </c>
      <c r="F523" s="35" t="str">
        <f>IFERROR(VLOOKUP($C523,Tabla_Documentos[],4,FALSE),"")</f>
        <v>INGENIERIA Y SERVICIOS TERRACOP SPA</v>
      </c>
      <c r="G523" s="38">
        <f>IFERROR(VLOOKUP($C523,Tabla_Documentos[],5,FALSE),"")</f>
        <v>190000</v>
      </c>
      <c r="H523" s="29" t="str">
        <f>IFERROR(VLOOKUP($C523,Tabla_Documentos[],6,FALSE),"")</f>
        <v>PUBLICIDAD</v>
      </c>
      <c r="I523" s="38">
        <f>IFERROR(VLOOKUP($C523,Tabla_Documentos[],5,FALSE),"")</f>
        <v>190000</v>
      </c>
      <c r="J523" s="25">
        <v>45901</v>
      </c>
    </row>
    <row r="524" spans="3:10" ht="21" customHeight="1" x14ac:dyDescent="0.25">
      <c r="C524" s="39">
        <v>1428</v>
      </c>
      <c r="D524" s="28">
        <f>IFERROR(VLOOKUP($C524,Tabla_Documentos[],2,FALSE),"")</f>
        <v>45901</v>
      </c>
      <c r="E524" s="34" t="str">
        <f>IFERROR(VLOOKUP($C524,Tabla_Documentos[],3,FALSE),"")</f>
        <v>76336122-5</v>
      </c>
      <c r="F524" s="35" t="str">
        <f>IFERROR(VLOOKUP($C524,Tabla_Documentos[],4,FALSE),"")</f>
        <v>INGENIERIA Y SERVICIOS TERRACOP SPA</v>
      </c>
      <c r="G524" s="38">
        <f>IFERROR(VLOOKUP($C524,Tabla_Documentos[],5,FALSE),"")</f>
        <v>420000</v>
      </c>
      <c r="H524" s="29" t="str">
        <f>IFERROR(VLOOKUP($C524,Tabla_Documentos[],6,FALSE),"")</f>
        <v>PUBLICIDAD</v>
      </c>
      <c r="I524" s="38">
        <f>IFERROR(VLOOKUP($C524,Tabla_Documentos[],5,FALSE),"")</f>
        <v>420000</v>
      </c>
      <c r="J524" s="25">
        <v>45901</v>
      </c>
    </row>
    <row r="525" spans="3:10" ht="21" customHeight="1" x14ac:dyDescent="0.25">
      <c r="C525" s="39">
        <v>1429</v>
      </c>
      <c r="D525" s="28">
        <f>IFERROR(VLOOKUP($C525,Tabla_Documentos[],2,FALSE),"")</f>
        <v>45901</v>
      </c>
      <c r="E525" s="34" t="str">
        <f>IFERROR(VLOOKUP($C525,Tabla_Documentos[],3,FALSE),"")</f>
        <v>76343386-2</v>
      </c>
      <c r="F525" s="35" t="str">
        <f>IFERROR(VLOOKUP($C525,Tabla_Documentos[],4,FALSE),"")</f>
        <v>SOCIEDAD DE INVERSIONES E INMOBILIARIA ASEGEN PROPIEDADES LIMITADA</v>
      </c>
      <c r="G525" s="38">
        <f>IFERROR(VLOOKUP($C525,Tabla_Documentos[],5,FALSE),"")</f>
        <v>190400</v>
      </c>
      <c r="H525" s="29" t="str">
        <f>IFERROR(VLOOKUP($C525,Tabla_Documentos[],6,FALSE),"")</f>
        <v>PUBLICIDAD</v>
      </c>
      <c r="I525" s="38">
        <f>IFERROR(VLOOKUP($C525,Tabla_Documentos[],5,FALSE),"")</f>
        <v>190400</v>
      </c>
      <c r="J525" s="25">
        <v>45902</v>
      </c>
    </row>
    <row r="526" spans="3:10" ht="21" customHeight="1" x14ac:dyDescent="0.25">
      <c r="C526" s="39">
        <v>1430</v>
      </c>
      <c r="D526" s="28">
        <f>IFERROR(VLOOKUP($C526,Tabla_Documentos[],2,FALSE),"")</f>
        <v>45901</v>
      </c>
      <c r="E526" s="34" t="str">
        <f>IFERROR(VLOOKUP($C526,Tabla_Documentos[],3,FALSE),"")</f>
        <v>76096151-5</v>
      </c>
      <c r="F526" s="35" t="str">
        <f>IFERROR(VLOOKUP($C526,Tabla_Documentos[],4,FALSE),"")</f>
        <v>JP ELECTRONIC SOCIEDAD ANONIMA</v>
      </c>
      <c r="G526" s="38">
        <f>IFERROR(VLOOKUP($C526,Tabla_Documentos[],5,FALSE),"")</f>
        <v>238000</v>
      </c>
      <c r="H526" s="29" t="str">
        <f>IFERROR(VLOOKUP($C526,Tabla_Documentos[],6,FALSE),"")</f>
        <v>PUBLICIDAD</v>
      </c>
      <c r="I526" s="38">
        <f>IFERROR(VLOOKUP($C526,Tabla_Documentos[],5,FALSE),"")</f>
        <v>238000</v>
      </c>
      <c r="J526" s="25">
        <v>45901</v>
      </c>
    </row>
    <row r="527" spans="3:10" ht="21" customHeight="1" x14ac:dyDescent="0.25">
      <c r="C527" s="39">
        <v>1433</v>
      </c>
      <c r="D527" s="28">
        <f>IFERROR(VLOOKUP($C527,Tabla_Documentos[],2,FALSE),"")</f>
        <v>45901</v>
      </c>
      <c r="E527" s="34" t="str">
        <f>IFERROR(VLOOKUP($C527,Tabla_Documentos[],3,FALSE),"")</f>
        <v>76686138-5</v>
      </c>
      <c r="F527" s="35" t="str">
        <f>IFERROR(VLOOKUP($C527,Tabla_Documentos[],4,FALSE),"")</f>
        <v>SKC RED SPA</v>
      </c>
      <c r="G527" s="38">
        <f>IFERROR(VLOOKUP($C527,Tabla_Documentos[],5,FALSE),"")</f>
        <v>119000</v>
      </c>
      <c r="H527" s="29" t="str">
        <f>IFERROR(VLOOKUP($C527,Tabla_Documentos[],6,FALSE),"")</f>
        <v>PUBLICIDAD</v>
      </c>
      <c r="I527" s="38">
        <f>IFERROR(VLOOKUP($C527,Tabla_Documentos[],5,FALSE),"")</f>
        <v>119000</v>
      </c>
      <c r="J527" s="25">
        <v>45933</v>
      </c>
    </row>
    <row r="528" spans="3:10" ht="21" customHeight="1" x14ac:dyDescent="0.25">
      <c r="C528" s="39">
        <v>1434</v>
      </c>
      <c r="D528" s="28">
        <f>IFERROR(VLOOKUP($C528,Tabla_Documentos[],2,FALSE),"")</f>
        <v>45902</v>
      </c>
      <c r="E528" s="34" t="str">
        <f>IFERROR(VLOOKUP($C528,Tabla_Documentos[],3,FALSE),"")</f>
        <v>76686138-5</v>
      </c>
      <c r="F528" s="35" t="str">
        <f>IFERROR(VLOOKUP($C528,Tabla_Documentos[],4,FALSE),"")</f>
        <v>SKC RED SPA</v>
      </c>
      <c r="G528" s="38">
        <f>IFERROR(VLOOKUP($C528,Tabla_Documentos[],5,FALSE),"")</f>
        <v>23800</v>
      </c>
      <c r="H528" s="29" t="str">
        <f>IFERROR(VLOOKUP($C528,Tabla_Documentos[],6,FALSE),"")</f>
        <v>PUBLICIDAD</v>
      </c>
      <c r="I528" s="38">
        <f>IFERROR(VLOOKUP($C528,Tabla_Documentos[],5,FALSE),"")</f>
        <v>23800</v>
      </c>
      <c r="J528" s="25">
        <v>45933</v>
      </c>
    </row>
    <row r="529" spans="3:10" ht="21" customHeight="1" x14ac:dyDescent="0.25">
      <c r="C529" s="39">
        <v>1435</v>
      </c>
      <c r="D529" s="28">
        <f>IFERROR(VLOOKUP($C529,Tabla_Documentos[],2,FALSE),"")</f>
        <v>45902</v>
      </c>
      <c r="E529" s="34" t="str">
        <f>IFERROR(VLOOKUP($C529,Tabla_Documentos[],3,FALSE),"")</f>
        <v>25834369-7</v>
      </c>
      <c r="F529" s="35" t="str">
        <f>IFERROR(VLOOKUP($C529,Tabla_Documentos[],4,FALSE),"")</f>
        <v>JONATHAN STEVEN ESCOBAR ZAPATA</v>
      </c>
      <c r="G529" s="38">
        <f>IFERROR(VLOOKUP($C529,Tabla_Documentos[],5,FALSE),"")</f>
        <v>830000</v>
      </c>
      <c r="H529" s="29" t="str">
        <f>IFERROR(VLOOKUP($C529,Tabla_Documentos[],6,FALSE),"")</f>
        <v>PUBLICIDAD</v>
      </c>
      <c r="I529" s="38">
        <f>IFERROR(VLOOKUP($C529,Tabla_Documentos[],5,FALSE),"")</f>
        <v>830000</v>
      </c>
      <c r="J529" s="25">
        <v>45902</v>
      </c>
    </row>
    <row r="530" spans="3:10" ht="21" customHeight="1" x14ac:dyDescent="0.25">
      <c r="C530" s="39">
        <v>1436</v>
      </c>
      <c r="D530" s="28">
        <f>IFERROR(VLOOKUP($C530,Tabla_Documentos[],2,FALSE),"")</f>
        <v>45898</v>
      </c>
      <c r="E530" s="34" t="str">
        <f>IFERROR(VLOOKUP($C530,Tabla_Documentos[],3,FALSE),"")</f>
        <v>60505105-7</v>
      </c>
      <c r="F530" s="35" t="str">
        <f>IFERROR(VLOOKUP($C530,Tabla_Documentos[],4,FALSE),"")</f>
        <v>ZONA DE CARABINEROS ATACAMA</v>
      </c>
      <c r="G530" s="38">
        <f>IFERROR(VLOOKUP($C530,Tabla_Documentos[],5,FALSE),"")</f>
        <v>27000</v>
      </c>
      <c r="H530" s="29" t="str">
        <f>IFERROR(VLOOKUP($C530,Tabla_Documentos[],6,FALSE),"")</f>
        <v>PUBLICIDAD</v>
      </c>
      <c r="I530" s="38">
        <f>IFERROR(VLOOKUP($C530,Tabla_Documentos[],5,FALSE),"")</f>
        <v>27000</v>
      </c>
      <c r="J530" s="25">
        <v>45898</v>
      </c>
    </row>
    <row r="531" spans="3:10" ht="21" customHeight="1" x14ac:dyDescent="0.25">
      <c r="C531" s="39">
        <v>1437</v>
      </c>
      <c r="D531" s="28">
        <f>IFERROR(VLOOKUP($C531,Tabla_Documentos[],2,FALSE),"")</f>
        <v>45902</v>
      </c>
      <c r="E531" s="34" t="str">
        <f>IFERROR(VLOOKUP($C531,Tabla_Documentos[],3,FALSE),"")</f>
        <v>15611576-2</v>
      </c>
      <c r="F531" s="35" t="str">
        <f>IFERROR(VLOOKUP($C531,Tabla_Documentos[],4,FALSE),"")</f>
        <v>KARINA VALESKA CERDA ARAYA</v>
      </c>
      <c r="G531" s="38">
        <f>IFERROR(VLOOKUP($C531,Tabla_Documentos[],5,FALSE),"")</f>
        <v>158270</v>
      </c>
      <c r="H531" s="29" t="str">
        <f>IFERROR(VLOOKUP($C531,Tabla_Documentos[],6,FALSE),"")</f>
        <v>PUBLICIDAD</v>
      </c>
      <c r="I531" s="38">
        <f>IFERROR(VLOOKUP($C531,Tabla_Documentos[],5,FALSE),"")</f>
        <v>158270</v>
      </c>
      <c r="J531" s="25">
        <v>45902</v>
      </c>
    </row>
    <row r="532" spans="3:10" ht="21" customHeight="1" x14ac:dyDescent="0.25">
      <c r="C532" s="39">
        <v>1438</v>
      </c>
      <c r="D532" s="28">
        <f>IFERROR(VLOOKUP($C532,Tabla_Documentos[],2,FALSE),"")</f>
        <v>45902</v>
      </c>
      <c r="E532" s="34" t="str">
        <f>IFERROR(VLOOKUP($C532,Tabla_Documentos[],3,FALSE),"")</f>
        <v>78220086-0</v>
      </c>
      <c r="F532" s="35" t="str">
        <f>IFERROR(VLOOKUP($C532,Tabla_Documentos[],4,FALSE),"")</f>
        <v>VITAPRO LIMPIEZA SPA</v>
      </c>
      <c r="G532" s="38">
        <f>IFERROR(VLOOKUP($C532,Tabla_Documentos[],5,FALSE),"")</f>
        <v>297500</v>
      </c>
      <c r="H532" s="29" t="str">
        <f>IFERROR(VLOOKUP($C532,Tabla_Documentos[],6,FALSE),"")</f>
        <v>PUBLICIDAD</v>
      </c>
      <c r="I532" s="38">
        <f>IFERROR(VLOOKUP($C532,Tabla_Documentos[],5,FALSE),"")</f>
        <v>297500</v>
      </c>
      <c r="J532" s="25">
        <v>45902</v>
      </c>
    </row>
    <row r="533" spans="3:10" ht="21" customHeight="1" x14ac:dyDescent="0.25">
      <c r="C533" s="39">
        <v>1439</v>
      </c>
      <c r="D533" s="28">
        <f>IFERROR(VLOOKUP($C533,Tabla_Documentos[],2,FALSE),"")</f>
        <v>45903</v>
      </c>
      <c r="E533" s="34" t="str">
        <f>IFERROR(VLOOKUP($C533,Tabla_Documentos[],3,FALSE),"")</f>
        <v>9515956-7</v>
      </c>
      <c r="F533" s="35" t="str">
        <f>IFERROR(VLOOKUP($C533,Tabla_Documentos[],4,FALSE),"")</f>
        <v>CARLOS EDUARDO MOYANO RODRIGUEZ</v>
      </c>
      <c r="G533" s="38">
        <f>IFERROR(VLOOKUP($C533,Tabla_Documentos[],5,FALSE),"")</f>
        <v>299880</v>
      </c>
      <c r="H533" s="29" t="str">
        <f>IFERROR(VLOOKUP($C533,Tabla_Documentos[],6,FALSE),"")</f>
        <v>BELEN</v>
      </c>
      <c r="I533" s="38">
        <f>IFERROR(VLOOKUP($C533,Tabla_Documentos[],5,FALSE),"")</f>
        <v>299880</v>
      </c>
      <c r="J533" s="25">
        <v>45903</v>
      </c>
    </row>
    <row r="534" spans="3:10" ht="21" customHeight="1" x14ac:dyDescent="0.25">
      <c r="C534" s="39">
        <v>1440</v>
      </c>
      <c r="D534" s="28">
        <f>IFERROR(VLOOKUP($C534,Tabla_Documentos[],2,FALSE),"")</f>
        <v>45903</v>
      </c>
      <c r="E534" s="34" t="str">
        <f>IFERROR(VLOOKUP($C534,Tabla_Documentos[],3,FALSE),"")</f>
        <v>77654554-6</v>
      </c>
      <c r="F534" s="35" t="str">
        <f>IFERROR(VLOOKUP($C534,Tabla_Documentos[],4,FALSE),"")</f>
        <v>INVERSIONES KUNZA SALUD SPA</v>
      </c>
      <c r="G534" s="38">
        <f>IFERROR(VLOOKUP($C534,Tabla_Documentos[],5,FALSE),"")</f>
        <v>71400</v>
      </c>
      <c r="H534" s="29" t="str">
        <f>IFERROR(VLOOKUP($C534,Tabla_Documentos[],6,FALSE),"")</f>
        <v>PUBLICIDAD</v>
      </c>
      <c r="I534" s="38">
        <f>IFERROR(VLOOKUP($C534,Tabla_Documentos[],5,FALSE),"")</f>
        <v>71400</v>
      </c>
      <c r="J534" s="25">
        <v>45940</v>
      </c>
    </row>
    <row r="535" spans="3:10" ht="21" customHeight="1" x14ac:dyDescent="0.25">
      <c r="C535" s="39">
        <v>1441</v>
      </c>
      <c r="D535" s="28">
        <f>IFERROR(VLOOKUP($C535,Tabla_Documentos[],2,FALSE),"")</f>
        <v>45903</v>
      </c>
      <c r="E535" s="34" t="str">
        <f>IFERROR(VLOOKUP($C535,Tabla_Documentos[],3,FALSE),"")</f>
        <v>77903950-1</v>
      </c>
      <c r="F535" s="35" t="str">
        <f>IFERROR(VLOOKUP($C535,Tabla_Documentos[],4,FALSE),"")</f>
        <v>SOC DE ASMECO INGENIERIA LIMITADA</v>
      </c>
      <c r="G535" s="38">
        <f>IFERROR(VLOOKUP($C535,Tabla_Documentos[],5,FALSE),"")</f>
        <v>71400</v>
      </c>
      <c r="H535" s="29" t="str">
        <f>IFERROR(VLOOKUP($C535,Tabla_Documentos[],6,FALSE),"")</f>
        <v>PUBLICIDAD</v>
      </c>
      <c r="I535" s="38">
        <f>IFERROR(VLOOKUP($C535,Tabla_Documentos[],5,FALSE),"")</f>
        <v>71400</v>
      </c>
      <c r="J535" s="25">
        <v>45904</v>
      </c>
    </row>
    <row r="536" spans="3:10" ht="21" customHeight="1" x14ac:dyDescent="0.25">
      <c r="C536" s="39">
        <v>1442</v>
      </c>
      <c r="D536" s="28">
        <f>IFERROR(VLOOKUP($C536,Tabla_Documentos[],2,FALSE),"")</f>
        <v>45903</v>
      </c>
      <c r="E536" s="34" t="str">
        <f>IFERROR(VLOOKUP($C536,Tabla_Documentos[],3,FALSE),"")</f>
        <v>77080879-0</v>
      </c>
      <c r="F536" s="35" t="str">
        <f>IFERROR(VLOOKUP($C536,Tabla_Documentos[],4,FALSE),"")</f>
        <v>INVERSIONES VIALUM SPA</v>
      </c>
      <c r="G536" s="38">
        <f>IFERROR(VLOOKUP($C536,Tabla_Documentos[],5,FALSE),"")</f>
        <v>15000</v>
      </c>
      <c r="H536" s="29" t="str">
        <f>IFERROR(VLOOKUP($C536,Tabla_Documentos[],6,FALSE),"")</f>
        <v>PUBLICIDAD</v>
      </c>
      <c r="I536" s="38">
        <f>IFERROR(VLOOKUP($C536,Tabla_Documentos[],5,FALSE),"")</f>
        <v>15000</v>
      </c>
      <c r="J536" s="25">
        <v>45903</v>
      </c>
    </row>
    <row r="537" spans="3:10" ht="21" customHeight="1" x14ac:dyDescent="0.25">
      <c r="C537" s="39">
        <v>1443</v>
      </c>
      <c r="D537" s="28">
        <f>IFERROR(VLOOKUP($C537,Tabla_Documentos[],2,FALSE),"")</f>
        <v>45903</v>
      </c>
      <c r="E537" s="34" t="str">
        <f>IFERROR(VLOOKUP($C537,Tabla_Documentos[],3,FALSE),"")</f>
        <v>77511008-2</v>
      </c>
      <c r="F537" s="35" t="str">
        <f>IFERROR(VLOOKUP($C537,Tabla_Documentos[],4,FALSE),"")</f>
        <v>MULTISERVICIOS SANABRIA SPA</v>
      </c>
      <c r="G537" s="38">
        <f>IFERROR(VLOOKUP($C537,Tabla_Documentos[],5,FALSE),"")</f>
        <v>55930</v>
      </c>
      <c r="H537" s="29" t="str">
        <f>IFERROR(VLOOKUP($C537,Tabla_Documentos[],6,FALSE),"")</f>
        <v>PUBLICIDAD</v>
      </c>
      <c r="I537" s="38">
        <f>IFERROR(VLOOKUP($C537,Tabla_Documentos[],5,FALSE),"")</f>
        <v>55930</v>
      </c>
      <c r="J537" s="25">
        <v>45904</v>
      </c>
    </row>
    <row r="538" spans="3:10" ht="21" customHeight="1" x14ac:dyDescent="0.25">
      <c r="C538" s="39">
        <v>1444</v>
      </c>
      <c r="D538" s="28">
        <f>IFERROR(VLOOKUP($C538,Tabla_Documentos[],2,FALSE),"")</f>
        <v>45904</v>
      </c>
      <c r="E538" s="34" t="str">
        <f>IFERROR(VLOOKUP($C538,Tabla_Documentos[],3,FALSE),"")</f>
        <v>76419914-6</v>
      </c>
      <c r="F538" s="35" t="str">
        <f>IFERROR(VLOOKUP($C538,Tabla_Documentos[],4,FALSE),"")</f>
        <v>SOCIEDAD DE SERVICIOS FUNERARIOS S.A.</v>
      </c>
      <c r="G538" s="38">
        <f>IFERROR(VLOOKUP($C538,Tabla_Documentos[],5,FALSE),"")</f>
        <v>255850</v>
      </c>
      <c r="H538" s="29" t="str">
        <f>IFERROR(VLOOKUP($C538,Tabla_Documentos[],6,FALSE),"")</f>
        <v>PUBLICIDAD</v>
      </c>
      <c r="I538" s="38">
        <f>IFERROR(VLOOKUP($C538,Tabla_Documentos[],5,FALSE),"")</f>
        <v>255850</v>
      </c>
      <c r="J538" s="25">
        <v>45940</v>
      </c>
    </row>
    <row r="539" spans="3:10" ht="21" customHeight="1" x14ac:dyDescent="0.25">
      <c r="C539" s="39">
        <v>1445</v>
      </c>
      <c r="D539" s="28">
        <f>IFERROR(VLOOKUP($C539,Tabla_Documentos[],2,FALSE),"")</f>
        <v>45904</v>
      </c>
      <c r="E539" s="34" t="str">
        <f>IFERROR(VLOOKUP($C539,Tabla_Documentos[],3,FALSE),"")</f>
        <v>76956816-6</v>
      </c>
      <c r="F539" s="35" t="str">
        <f>IFERROR(VLOOKUP($C539,Tabla_Documentos[],4,FALSE),"")</f>
        <v>SERVICIOS EDUCACIONALES BYENNÃˆT SPA</v>
      </c>
      <c r="G539" s="38">
        <f>IFERROR(VLOOKUP($C539,Tabla_Documentos[],5,FALSE),"")</f>
        <v>345100</v>
      </c>
      <c r="H539" s="29" t="str">
        <f>IFERROR(VLOOKUP($C539,Tabla_Documentos[],6,FALSE),"")</f>
        <v>PUBLICIDAD</v>
      </c>
      <c r="I539" s="38">
        <f>IFERROR(VLOOKUP($C539,Tabla_Documentos[],5,FALSE),"")</f>
        <v>345100</v>
      </c>
      <c r="J539" s="25">
        <v>45904</v>
      </c>
    </row>
    <row r="540" spans="3:10" ht="21" customHeight="1" x14ac:dyDescent="0.25">
      <c r="C540" s="39">
        <v>1446</v>
      </c>
      <c r="D540" s="28">
        <f>IFERROR(VLOOKUP($C540,Tabla_Documentos[],2,FALSE),"")</f>
        <v>45904</v>
      </c>
      <c r="E540" s="34" t="str">
        <f>IFERROR(VLOOKUP($C540,Tabla_Documentos[],3,FALSE),"")</f>
        <v>9051431-8</v>
      </c>
      <c r="F540" s="35" t="str">
        <f>IFERROR(VLOOKUP($C540,Tabla_Documentos[],4,FALSE),"")</f>
        <v>RAMON ANGEL RIQUELME OLIVARES</v>
      </c>
      <c r="G540" s="38">
        <f>IFERROR(VLOOKUP($C540,Tabla_Documentos[],5,FALSE),"")</f>
        <v>249781</v>
      </c>
      <c r="H540" s="29" t="str">
        <f>IFERROR(VLOOKUP($C540,Tabla_Documentos[],6,FALSE),"")</f>
        <v>PUBLICIDAD</v>
      </c>
      <c r="I540" s="38">
        <f>IFERROR(VLOOKUP($C540,Tabla_Documentos[],5,FALSE),"")</f>
        <v>249781</v>
      </c>
      <c r="J540" s="25">
        <v>45904</v>
      </c>
    </row>
    <row r="541" spans="3:10" ht="21" customHeight="1" x14ac:dyDescent="0.25">
      <c r="C541" s="39">
        <v>1447</v>
      </c>
      <c r="D541" s="28">
        <f>IFERROR(VLOOKUP($C541,Tabla_Documentos[],2,FALSE),"")</f>
        <v>45904</v>
      </c>
      <c r="E541" s="34" t="str">
        <f>IFERROR(VLOOKUP($C541,Tabla_Documentos[],3,FALSE),"")</f>
        <v>9051431-8</v>
      </c>
      <c r="F541" s="35" t="str">
        <f>IFERROR(VLOOKUP($C541,Tabla_Documentos[],4,FALSE),"")</f>
        <v>RAMON ANGEL RIQUELME OLIVARES</v>
      </c>
      <c r="G541" s="38">
        <f>IFERROR(VLOOKUP($C541,Tabla_Documentos[],5,FALSE),"")</f>
        <v>53550</v>
      </c>
      <c r="H541" s="29" t="str">
        <f>IFERROR(VLOOKUP($C541,Tabla_Documentos[],6,FALSE),"")</f>
        <v>PUBLICIDAD</v>
      </c>
      <c r="I541" s="38">
        <f>IFERROR(VLOOKUP($C541,Tabla_Documentos[],5,FALSE),"")</f>
        <v>53550</v>
      </c>
      <c r="J541" s="25">
        <v>45904</v>
      </c>
    </row>
    <row r="542" spans="3:10" ht="21" customHeight="1" x14ac:dyDescent="0.25">
      <c r="C542" s="39">
        <v>1448</v>
      </c>
      <c r="D542" s="28">
        <f>IFERROR(VLOOKUP($C542,Tabla_Documentos[],2,FALSE),"")</f>
        <v>45904</v>
      </c>
      <c r="E542" s="34" t="str">
        <f>IFERROR(VLOOKUP($C542,Tabla_Documentos[],3,FALSE),"")</f>
        <v>77062894-6</v>
      </c>
      <c r="F542" s="35" t="str">
        <f>IFERROR(VLOOKUP($C542,Tabla_Documentos[],4,FALSE),"")</f>
        <v>MENDOZA CAZ  SPA</v>
      </c>
      <c r="G542" s="38">
        <f>IFERROR(VLOOKUP($C542,Tabla_Documentos[],5,FALSE),"")</f>
        <v>55811</v>
      </c>
      <c r="H542" s="29" t="str">
        <f>IFERROR(VLOOKUP($C542,Tabla_Documentos[],6,FALSE),"")</f>
        <v>PUBLICIDAD</v>
      </c>
      <c r="I542" s="38">
        <f>IFERROR(VLOOKUP($C542,Tabla_Documentos[],5,FALSE),"")</f>
        <v>55811</v>
      </c>
      <c r="J542" s="25">
        <v>45904</v>
      </c>
    </row>
    <row r="543" spans="3:10" ht="21" customHeight="1" x14ac:dyDescent="0.25">
      <c r="C543" s="39">
        <v>1449</v>
      </c>
      <c r="D543" s="28">
        <f>IFERROR(VLOOKUP($C543,Tabla_Documentos[],2,FALSE),"")</f>
        <v>45905</v>
      </c>
      <c r="E543" s="34" t="str">
        <f>IFERROR(VLOOKUP($C543,Tabla_Documentos[],3,FALSE),"")</f>
        <v>76410595-8</v>
      </c>
      <c r="F543" s="35" t="str">
        <f>IFERROR(VLOOKUP($C543,Tabla_Documentos[],4,FALSE),"")</f>
        <v>CROSAN SPA</v>
      </c>
      <c r="G543" s="38">
        <f>IFERROR(VLOOKUP($C543,Tabla_Documentos[],5,FALSE),"")</f>
        <v>164220</v>
      </c>
      <c r="H543" s="29" t="str">
        <f>IFERROR(VLOOKUP($C543,Tabla_Documentos[],6,FALSE),"")</f>
        <v>PUBLICIDAD</v>
      </c>
      <c r="I543" s="38">
        <f>IFERROR(VLOOKUP($C543,Tabla_Documentos[],5,FALSE),"")</f>
        <v>164220</v>
      </c>
      <c r="J543" s="25">
        <v>45905</v>
      </c>
    </row>
    <row r="544" spans="3:10" ht="21" customHeight="1" x14ac:dyDescent="0.25">
      <c r="C544" s="39">
        <v>1450</v>
      </c>
      <c r="D544" s="28">
        <f>IFERROR(VLOOKUP($C544,Tabla_Documentos[],2,FALSE),"")</f>
        <v>45905</v>
      </c>
      <c r="E544" s="34" t="str">
        <f>IFERROR(VLOOKUP($C544,Tabla_Documentos[],3,FALSE),"")</f>
        <v>77320970-7</v>
      </c>
      <c r="F544" s="35" t="str">
        <f>IFERROR(VLOOKUP($C544,Tabla_Documentos[],4,FALSE),"")</f>
        <v>NEWTRANS LOGISTICS CHILE SPA</v>
      </c>
      <c r="G544" s="38">
        <f>IFERROR(VLOOKUP($C544,Tabla_Documentos[],5,FALSE),"")</f>
        <v>15000</v>
      </c>
      <c r="H544" s="29" t="str">
        <f>IFERROR(VLOOKUP($C544,Tabla_Documentos[],6,FALSE),"")</f>
        <v>PUBLICIDAD</v>
      </c>
      <c r="I544" s="38">
        <f>IFERROR(VLOOKUP($C544,Tabla_Documentos[],5,FALSE),"")</f>
        <v>15000</v>
      </c>
      <c r="J544" s="25">
        <v>45905</v>
      </c>
    </row>
    <row r="545" spans="3:10" ht="21" customHeight="1" x14ac:dyDescent="0.25">
      <c r="C545" s="39">
        <v>1451</v>
      </c>
      <c r="D545" s="28">
        <f>IFERROR(VLOOKUP($C545,Tabla_Documentos[],2,FALSE),"")</f>
        <v>45905</v>
      </c>
      <c r="E545" s="34" t="str">
        <f>IFERROR(VLOOKUP($C545,Tabla_Documentos[],3,FALSE),"")</f>
        <v>77111933-6</v>
      </c>
      <c r="F545" s="35" t="str">
        <f>IFERROR(VLOOKUP($C545,Tabla_Documentos[],4,FALSE),"")</f>
        <v>VIDRIOS Y ALUMINIOS SERVAL SPA</v>
      </c>
      <c r="G545" s="38">
        <f>IFERROR(VLOOKUP($C545,Tabla_Documentos[],5,FALSE),"")</f>
        <v>250000</v>
      </c>
      <c r="H545" s="29" t="str">
        <f>IFERROR(VLOOKUP($C545,Tabla_Documentos[],6,FALSE),"")</f>
        <v>PUBLICIDAD</v>
      </c>
      <c r="I545" s="38">
        <f>IFERROR(VLOOKUP($C545,Tabla_Documentos[],5,FALSE),"")</f>
        <v>250000</v>
      </c>
      <c r="J545" s="25">
        <v>45943</v>
      </c>
    </row>
    <row r="546" spans="3:10" ht="21" customHeight="1" x14ac:dyDescent="0.25">
      <c r="C546" s="39">
        <v>1452</v>
      </c>
      <c r="D546" s="28">
        <f>IFERROR(VLOOKUP($C546,Tabla_Documentos[],2,FALSE),"")</f>
        <v>45905</v>
      </c>
      <c r="E546" s="34" t="str">
        <f>IFERROR(VLOOKUP($C546,Tabla_Documentos[],3,FALSE),"")</f>
        <v>76591748-4</v>
      </c>
      <c r="F546" s="35" t="str">
        <f>IFERROR(VLOOKUP($C546,Tabla_Documentos[],4,FALSE),"")</f>
        <v>JAG SERVICIOS CHILE SPA</v>
      </c>
      <c r="G546" s="38">
        <f>IFERROR(VLOOKUP($C546,Tabla_Documentos[],5,FALSE),"")</f>
        <v>169575</v>
      </c>
      <c r="H546" s="29" t="str">
        <f>IFERROR(VLOOKUP($C546,Tabla_Documentos[],6,FALSE),"")</f>
        <v>PUBLICIDAD</v>
      </c>
      <c r="I546" s="38">
        <f>IFERROR(VLOOKUP($C546,Tabla_Documentos[],5,FALSE),"")</f>
        <v>169575</v>
      </c>
      <c r="J546" s="25">
        <v>45905</v>
      </c>
    </row>
    <row r="547" spans="3:10" ht="21" customHeight="1" x14ac:dyDescent="0.25">
      <c r="C547" s="39">
        <v>1453</v>
      </c>
      <c r="D547" s="28">
        <f>IFERROR(VLOOKUP($C547,Tabla_Documentos[],2,FALSE),"")</f>
        <v>45905</v>
      </c>
      <c r="E547" s="34" t="str">
        <f>IFERROR(VLOOKUP($C547,Tabla_Documentos[],3,FALSE),"")</f>
        <v>77840923-2</v>
      </c>
      <c r="F547" s="35" t="str">
        <f>IFERROR(VLOOKUP($C547,Tabla_Documentos[],4,FALSE),"")</f>
        <v>INGENIERIA GACITUA SPA</v>
      </c>
      <c r="G547" s="38">
        <f>IFERROR(VLOOKUP($C547,Tabla_Documentos[],5,FALSE),"")</f>
        <v>60000</v>
      </c>
      <c r="H547" s="29" t="str">
        <f>IFERROR(VLOOKUP($C547,Tabla_Documentos[],6,FALSE),"")</f>
        <v>PUBLICIDAD</v>
      </c>
      <c r="I547" s="38">
        <f>IFERROR(VLOOKUP($C547,Tabla_Documentos[],5,FALSE),"")</f>
        <v>60000</v>
      </c>
      <c r="J547" s="25">
        <v>45905</v>
      </c>
    </row>
    <row r="548" spans="3:10" ht="21" customHeight="1" x14ac:dyDescent="0.25">
      <c r="C548" s="39">
        <v>1454</v>
      </c>
      <c r="D548" s="28">
        <f>IFERROR(VLOOKUP($C548,Tabla_Documentos[],2,FALSE),"")</f>
        <v>45905</v>
      </c>
      <c r="E548" s="34" t="str">
        <f>IFERROR(VLOOKUP($C548,Tabla_Documentos[],3,FALSE),"")</f>
        <v>77900448-1</v>
      </c>
      <c r="F548" s="35" t="str">
        <f>IFERROR(VLOOKUP($C548,Tabla_Documentos[],4,FALSE),"")</f>
        <v>SOCIEDAD DE ALIMENTACION SUPO SPA</v>
      </c>
      <c r="G548" s="38">
        <f>IFERROR(VLOOKUP($C548,Tabla_Documentos[],5,FALSE),"")</f>
        <v>262990</v>
      </c>
      <c r="H548" s="29" t="str">
        <f>IFERROR(VLOOKUP($C548,Tabla_Documentos[],6,FALSE),"")</f>
        <v>BELEN</v>
      </c>
      <c r="I548" s="38">
        <f>IFERROR(VLOOKUP($C548,Tabla_Documentos[],5,FALSE),"")</f>
        <v>262990</v>
      </c>
      <c r="J548" s="25">
        <v>45905</v>
      </c>
    </row>
    <row r="549" spans="3:10" ht="21" customHeight="1" x14ac:dyDescent="0.25">
      <c r="C549" s="39">
        <v>1455</v>
      </c>
      <c r="D549" s="28">
        <f>IFERROR(VLOOKUP($C549,Tabla_Documentos[],2,FALSE),"")</f>
        <v>45905</v>
      </c>
      <c r="E549" s="34" t="str">
        <f>IFERROR(VLOOKUP($C549,Tabla_Documentos[],3,FALSE),"")</f>
        <v>96792430-K</v>
      </c>
      <c r="F549" s="35" t="str">
        <f>IFERROR(VLOOKUP($C549,Tabla_Documentos[],4,FALSE),"")</f>
        <v>SODIMAC S.A.</v>
      </c>
      <c r="G549" s="38">
        <f>IFERROR(VLOOKUP($C549,Tabla_Documentos[],5,FALSE),"")</f>
        <v>2088212</v>
      </c>
      <c r="H549" s="29" t="str">
        <f>IFERROR(VLOOKUP($C549,Tabla_Documentos[],6,FALSE),"")</f>
        <v>BELEN</v>
      </c>
      <c r="I549" s="38">
        <f>IFERROR(VLOOKUP($C549,Tabla_Documentos[],5,FALSE),"")</f>
        <v>2088212</v>
      </c>
      <c r="J549" s="25">
        <v>45933</v>
      </c>
    </row>
    <row r="550" spans="3:10" ht="21" customHeight="1" x14ac:dyDescent="0.25">
      <c r="C550" s="39">
        <v>1456</v>
      </c>
      <c r="D550" s="28">
        <f>IFERROR(VLOOKUP($C550,Tabla_Documentos[],2,FALSE),"")</f>
        <v>45905</v>
      </c>
      <c r="E550" s="34" t="str">
        <f>IFERROR(VLOOKUP($C550,Tabla_Documentos[],3,FALSE),"")</f>
        <v>77723189-8</v>
      </c>
      <c r="F550" s="35" t="str">
        <f>IFERROR(VLOOKUP($C550,Tabla_Documentos[],4,FALSE),"")</f>
        <v>SEMINET SPA</v>
      </c>
      <c r="G550" s="38">
        <f>IFERROR(VLOOKUP($C550,Tabla_Documentos[],5,FALSE),"")</f>
        <v>197064</v>
      </c>
      <c r="H550" s="29" t="str">
        <f>IFERROR(VLOOKUP($C550,Tabla_Documentos[],6,FALSE),"")</f>
        <v>BELEN</v>
      </c>
      <c r="I550" s="38">
        <f>IFERROR(VLOOKUP($C550,Tabla_Documentos[],5,FALSE),"")</f>
        <v>197064</v>
      </c>
      <c r="J550" s="25">
        <v>45931</v>
      </c>
    </row>
    <row r="551" spans="3:10" ht="21" customHeight="1" x14ac:dyDescent="0.25">
      <c r="C551" s="39">
        <v>1457</v>
      </c>
      <c r="D551" s="28">
        <f>IFERROR(VLOOKUP($C551,Tabla_Documentos[],2,FALSE),"")</f>
        <v>45908</v>
      </c>
      <c r="E551" s="34" t="str">
        <f>IFERROR(VLOOKUP($C551,Tabla_Documentos[],3,FALSE),"")</f>
        <v>77082646-2</v>
      </c>
      <c r="F551" s="35" t="str">
        <f>IFERROR(VLOOKUP($C551,Tabla_Documentos[],4,FALSE),"")</f>
        <v>SOCIEDAD COMERCIALIZADORA Y DISTRIBUIDORA TRES VALLES SPA</v>
      </c>
      <c r="G551" s="38">
        <f>IFERROR(VLOOKUP($C551,Tabla_Documentos[],5,FALSE),"")</f>
        <v>236215</v>
      </c>
      <c r="H551" s="29" t="str">
        <f>IFERROR(VLOOKUP($C551,Tabla_Documentos[],6,FALSE),"")</f>
        <v>PUBLICIDAD</v>
      </c>
      <c r="I551" s="38">
        <f>IFERROR(VLOOKUP($C551,Tabla_Documentos[],5,FALSE),"")</f>
        <v>236215</v>
      </c>
      <c r="J551" s="25">
        <v>45908</v>
      </c>
    </row>
    <row r="552" spans="3:10" ht="21" customHeight="1" x14ac:dyDescent="0.25">
      <c r="C552" s="39">
        <v>1458</v>
      </c>
      <c r="D552" s="28">
        <f>IFERROR(VLOOKUP($C552,Tabla_Documentos[],2,FALSE),"")</f>
        <v>45908</v>
      </c>
      <c r="E552" s="34" t="str">
        <f>IFERROR(VLOOKUP($C552,Tabla_Documentos[],3,FALSE),"")</f>
        <v>77382153-4</v>
      </c>
      <c r="F552" s="35" t="str">
        <f>IFERROR(VLOOKUP($C552,Tabla_Documentos[],4,FALSE),"")</f>
        <v>AUCAN LOGISTIC SPA</v>
      </c>
      <c r="G552" s="38">
        <f>IFERROR(VLOOKUP($C552,Tabla_Documentos[],5,FALSE),"")</f>
        <v>76160</v>
      </c>
      <c r="H552" s="29" t="str">
        <f>IFERROR(VLOOKUP($C552,Tabla_Documentos[],6,FALSE),"")</f>
        <v>PUBLICIDAD</v>
      </c>
      <c r="I552" s="38">
        <f>IFERROR(VLOOKUP($C552,Tabla_Documentos[],5,FALSE),"")</f>
        <v>76160</v>
      </c>
      <c r="J552" s="25">
        <v>45908</v>
      </c>
    </row>
    <row r="553" spans="3:10" ht="21" customHeight="1" x14ac:dyDescent="0.25">
      <c r="C553" s="39">
        <v>1459</v>
      </c>
      <c r="D553" s="28">
        <f>IFERROR(VLOOKUP($C553,Tabla_Documentos[],2,FALSE),"")</f>
        <v>45908</v>
      </c>
      <c r="E553" s="34" t="str">
        <f>IFERROR(VLOOKUP($C553,Tabla_Documentos[],3,FALSE),"")</f>
        <v>77916387-3</v>
      </c>
      <c r="F553" s="35" t="str">
        <f>IFERROR(VLOOKUP($C553,Tabla_Documentos[],4,FALSE),"")</f>
        <v>DHARMA SPA</v>
      </c>
      <c r="G553" s="38">
        <f>IFERROR(VLOOKUP($C553,Tabla_Documentos[],5,FALSE),"")</f>
        <v>423402</v>
      </c>
      <c r="H553" s="29" t="str">
        <f>IFERROR(VLOOKUP($C553,Tabla_Documentos[],6,FALSE),"")</f>
        <v>BELEN</v>
      </c>
      <c r="I553" s="38">
        <f>IFERROR(VLOOKUP($C553,Tabla_Documentos[],5,FALSE),"")</f>
        <v>423402</v>
      </c>
      <c r="J553" s="25">
        <v>45908</v>
      </c>
    </row>
    <row r="554" spans="3:10" ht="21" customHeight="1" x14ac:dyDescent="0.25">
      <c r="C554" s="39">
        <v>1460</v>
      </c>
      <c r="D554" s="28">
        <f>IFERROR(VLOOKUP($C554,Tabla_Documentos[],2,FALSE),"")</f>
        <v>45909</v>
      </c>
      <c r="E554" s="34" t="str">
        <f>IFERROR(VLOOKUP($C554,Tabla_Documentos[],3,FALSE),"")</f>
        <v>76994396-K</v>
      </c>
      <c r="F554" s="35" t="str">
        <f>IFERROR(VLOOKUP($C554,Tabla_Documentos[],4,FALSE),"")</f>
        <v>ASESORIAS E INVERSIONES BETANIAÂ´S COMPANY SPA</v>
      </c>
      <c r="G554" s="38">
        <f>IFERROR(VLOOKUP($C554,Tabla_Documentos[],5,FALSE),"")</f>
        <v>20000</v>
      </c>
      <c r="H554" s="29" t="str">
        <f>IFERROR(VLOOKUP($C554,Tabla_Documentos[],6,FALSE),"")</f>
        <v>PUBLICIDAD</v>
      </c>
      <c r="I554" s="38">
        <f>IFERROR(VLOOKUP($C554,Tabla_Documentos[],5,FALSE),"")</f>
        <v>20000</v>
      </c>
      <c r="J554" s="25">
        <v>45909</v>
      </c>
    </row>
    <row r="555" spans="3:10" ht="21" customHeight="1" x14ac:dyDescent="0.25">
      <c r="C555" s="39">
        <v>1461</v>
      </c>
      <c r="D555" s="28">
        <f>IFERROR(VLOOKUP($C555,Tabla_Documentos[],2,FALSE),"")</f>
        <v>45909</v>
      </c>
      <c r="E555" s="34" t="str">
        <f>IFERROR(VLOOKUP($C555,Tabla_Documentos[],3,FALSE),"")</f>
        <v>76744135-5</v>
      </c>
      <c r="F555" s="35" t="str">
        <f>IFERROR(VLOOKUP($C555,Tabla_Documentos[],4,FALSE),"")</f>
        <v>PATAGONIA SERVICIOS SPA</v>
      </c>
      <c r="G555" s="38">
        <f>IFERROR(VLOOKUP($C555,Tabla_Documentos[],5,FALSE),"")</f>
        <v>1130500</v>
      </c>
      <c r="H555" s="29" t="str">
        <f>IFERROR(VLOOKUP($C555,Tabla_Documentos[],6,FALSE),"")</f>
        <v>OBRAS CIVILES</v>
      </c>
      <c r="I555" s="38">
        <f>IFERROR(VLOOKUP($C555,Tabla_Documentos[],5,FALSE),"")</f>
        <v>1130500</v>
      </c>
      <c r="J555" s="25">
        <v>45973</v>
      </c>
    </row>
    <row r="556" spans="3:10" ht="21" customHeight="1" x14ac:dyDescent="0.25">
      <c r="C556" s="39">
        <v>1462</v>
      </c>
      <c r="D556" s="28">
        <f>IFERROR(VLOOKUP($C556,Tabla_Documentos[],2,FALSE),"")</f>
        <v>45909</v>
      </c>
      <c r="E556" s="34" t="str">
        <f>IFERROR(VLOOKUP($C556,Tabla_Documentos[],3,FALSE),"")</f>
        <v>76744135-5</v>
      </c>
      <c r="F556" s="35" t="str">
        <f>IFERROR(VLOOKUP($C556,Tabla_Documentos[],4,FALSE),"")</f>
        <v>PATAGONIA SERVICIOS SPA</v>
      </c>
      <c r="G556" s="38">
        <f>IFERROR(VLOOKUP($C556,Tabla_Documentos[],5,FALSE),"")</f>
        <v>3320100</v>
      </c>
      <c r="H556" s="29" t="str">
        <f>IFERROR(VLOOKUP($C556,Tabla_Documentos[],6,FALSE),"")</f>
        <v>OBRAS CIVILES</v>
      </c>
      <c r="I556" s="38">
        <f>IFERROR(VLOOKUP($C556,Tabla_Documentos[],5,FALSE),"")</f>
        <v>3320100</v>
      </c>
      <c r="J556" s="25">
        <v>45972</v>
      </c>
    </row>
    <row r="557" spans="3:10" ht="21" customHeight="1" x14ac:dyDescent="0.25">
      <c r="C557" s="39">
        <v>1463</v>
      </c>
      <c r="D557" s="28">
        <f>IFERROR(VLOOKUP($C557,Tabla_Documentos[],2,FALSE),"")</f>
        <v>45909</v>
      </c>
      <c r="E557" s="34" t="str">
        <f>IFERROR(VLOOKUP($C557,Tabla_Documentos[],3,FALSE),"")</f>
        <v>76744135-5</v>
      </c>
      <c r="F557" s="35" t="str">
        <f>IFERROR(VLOOKUP($C557,Tabla_Documentos[],4,FALSE),"")</f>
        <v>PATAGONIA SERVICIOS SPA</v>
      </c>
      <c r="G557" s="38">
        <f>IFERROR(VLOOKUP($C557,Tabla_Documentos[],5,FALSE),"")</f>
        <v>1190000</v>
      </c>
      <c r="H557" s="29" t="str">
        <f>IFERROR(VLOOKUP($C557,Tabla_Documentos[],6,FALSE),"")</f>
        <v>OBRAS CIVILES</v>
      </c>
      <c r="I557" s="38">
        <f>IFERROR(VLOOKUP($C557,Tabla_Documentos[],5,FALSE),"")</f>
        <v>1190000</v>
      </c>
      <c r="J557" s="25">
        <v>46021</v>
      </c>
    </row>
    <row r="558" spans="3:10" ht="21" customHeight="1" x14ac:dyDescent="0.25">
      <c r="C558" s="39">
        <v>1464</v>
      </c>
      <c r="D558" s="28">
        <f>IFERROR(VLOOKUP($C558,Tabla_Documentos[],2,FALSE),"")</f>
        <v>45909</v>
      </c>
      <c r="E558" s="34" t="str">
        <f>IFERROR(VLOOKUP($C558,Tabla_Documentos[],3,FALSE),"")</f>
        <v>76744135-5</v>
      </c>
      <c r="F558" s="35" t="str">
        <f>IFERROR(VLOOKUP($C558,Tabla_Documentos[],4,FALSE),"")</f>
        <v>PATAGONIA SERVICIOS SPA</v>
      </c>
      <c r="G558" s="38">
        <f>IFERROR(VLOOKUP($C558,Tabla_Documentos[],5,FALSE),"")</f>
        <v>2118200</v>
      </c>
      <c r="H558" s="29" t="str">
        <f>IFERROR(VLOOKUP($C558,Tabla_Documentos[],6,FALSE),"")</f>
        <v>OBRAS CIVILES</v>
      </c>
      <c r="I558" s="38">
        <f>IFERROR(VLOOKUP($C558,Tabla_Documentos[],5,FALSE),"")</f>
        <v>2118200</v>
      </c>
      <c r="J558" s="25">
        <v>45973</v>
      </c>
    </row>
    <row r="559" spans="3:10" ht="21" customHeight="1" x14ac:dyDescent="0.25">
      <c r="C559" s="39">
        <v>1465</v>
      </c>
      <c r="D559" s="28">
        <f>IFERROR(VLOOKUP($C559,Tabla_Documentos[],2,FALSE),"")</f>
        <v>45909</v>
      </c>
      <c r="E559" s="34" t="str">
        <f>IFERROR(VLOOKUP($C559,Tabla_Documentos[],3,FALSE),"")</f>
        <v>76744135-5</v>
      </c>
      <c r="F559" s="35" t="str">
        <f>IFERROR(VLOOKUP($C559,Tabla_Documentos[],4,FALSE),"")</f>
        <v>PATAGONIA SERVICIOS SPA</v>
      </c>
      <c r="G559" s="38">
        <f>IFERROR(VLOOKUP($C559,Tabla_Documentos[],5,FALSE),"")</f>
        <v>8817900</v>
      </c>
      <c r="H559" s="29" t="str">
        <f>IFERROR(VLOOKUP($C559,Tabla_Documentos[],6,FALSE),"")</f>
        <v>OBRAS CIVILES</v>
      </c>
      <c r="I559" s="38">
        <f>IFERROR(VLOOKUP($C559,Tabla_Documentos[],5,FALSE),"")</f>
        <v>8817900</v>
      </c>
      <c r="J559" s="25">
        <v>45972</v>
      </c>
    </row>
    <row r="560" spans="3:10" ht="21" customHeight="1" x14ac:dyDescent="0.25">
      <c r="C560" s="39">
        <v>1466</v>
      </c>
      <c r="D560" s="28">
        <f>IFERROR(VLOOKUP($C560,Tabla_Documentos[],2,FALSE),"")</f>
        <v>45909</v>
      </c>
      <c r="E560" s="34" t="str">
        <f>IFERROR(VLOOKUP($C560,Tabla_Documentos[],3,FALSE),"")</f>
        <v>76183251-4</v>
      </c>
      <c r="F560" s="35" t="str">
        <f>IFERROR(VLOOKUP($C560,Tabla_Documentos[],4,FALSE),"")</f>
        <v>ELIAS RESK CONTRERAS TRANSPORTES Y SERVICIOS LIMITADA</v>
      </c>
      <c r="G560" s="38">
        <f>IFERROR(VLOOKUP($C560,Tabla_Documentos[],5,FALSE),"")</f>
        <v>142800</v>
      </c>
      <c r="H560" s="29" t="str">
        <f>IFERROR(VLOOKUP($C560,Tabla_Documentos[],6,FALSE),"")</f>
        <v>PUBLICIDAD</v>
      </c>
      <c r="I560" s="38">
        <f>IFERROR(VLOOKUP($C560,Tabla_Documentos[],5,FALSE),"")</f>
        <v>142800</v>
      </c>
      <c r="J560" s="25">
        <v>45909</v>
      </c>
    </row>
    <row r="561" spans="3:10" ht="21" customHeight="1" x14ac:dyDescent="0.25">
      <c r="C561" s="39">
        <v>1467</v>
      </c>
      <c r="D561" s="28">
        <f>IFERROR(VLOOKUP($C561,Tabla_Documentos[],2,FALSE),"")</f>
        <v>45910</v>
      </c>
      <c r="E561" s="34" t="str">
        <f>IFERROR(VLOOKUP($C561,Tabla_Documentos[],3,FALSE),"")</f>
        <v>77878342-8</v>
      </c>
      <c r="F561" s="35" t="str">
        <f>IFERROR(VLOOKUP($C561,Tabla_Documentos[],4,FALSE),"")</f>
        <v>SERVICIOS GRAFICOS DESERT GRAPHICS LIMITADA</v>
      </c>
      <c r="G561" s="38">
        <f>IFERROR(VLOOKUP($C561,Tabla_Documentos[],5,FALSE),"")</f>
        <v>238000</v>
      </c>
      <c r="H561" s="29" t="str">
        <f>IFERROR(VLOOKUP($C561,Tabla_Documentos[],6,FALSE),"")</f>
        <v>PUBLICIDAD</v>
      </c>
      <c r="I561" s="38">
        <f>IFERROR(VLOOKUP($C561,Tabla_Documentos[],5,FALSE),"")</f>
        <v>238000</v>
      </c>
      <c r="J561" s="25">
        <v>45910</v>
      </c>
    </row>
    <row r="562" spans="3:10" ht="21" customHeight="1" x14ac:dyDescent="0.25">
      <c r="C562" s="39">
        <v>1468</v>
      </c>
      <c r="D562" s="28">
        <f>IFERROR(VLOOKUP($C562,Tabla_Documentos[],2,FALSE),"")</f>
        <v>45910</v>
      </c>
      <c r="E562" s="34" t="str">
        <f>IFERROR(VLOOKUP($C562,Tabla_Documentos[],3,FALSE),"")</f>
        <v>77437999-1</v>
      </c>
      <c r="F562" s="35" t="str">
        <f>IFERROR(VLOOKUP($C562,Tabla_Documentos[],4,FALSE),"")</f>
        <v>INVERSIONES SAFUMAR LIMITADA</v>
      </c>
      <c r="G562" s="38">
        <f>IFERROR(VLOOKUP($C562,Tabla_Documentos[],5,FALSE),"")</f>
        <v>316540</v>
      </c>
      <c r="H562" s="29" t="str">
        <f>IFERROR(VLOOKUP($C562,Tabla_Documentos[],6,FALSE),"")</f>
        <v>PUBLICIDAD</v>
      </c>
      <c r="I562" s="38">
        <f>IFERROR(VLOOKUP($C562,Tabla_Documentos[],5,FALSE),"")</f>
        <v>316540</v>
      </c>
      <c r="J562" s="25">
        <v>45915</v>
      </c>
    </row>
    <row r="563" spans="3:10" ht="21" customHeight="1" x14ac:dyDescent="0.25">
      <c r="C563" s="39">
        <v>1469</v>
      </c>
      <c r="D563" s="28">
        <f>IFERROR(VLOOKUP($C563,Tabla_Documentos[],2,FALSE),"")</f>
        <v>45910</v>
      </c>
      <c r="E563" s="34" t="str">
        <f>IFERROR(VLOOKUP($C563,Tabla_Documentos[],3,FALSE),"")</f>
        <v>76311879-7</v>
      </c>
      <c r="F563" s="35" t="str">
        <f>IFERROR(VLOOKUP($C563,Tabla_Documentos[],4,FALSE),"")</f>
        <v>SOCIEDAD DE INVERSIONES SAN ALONSO SPA</v>
      </c>
      <c r="G563" s="38">
        <f>IFERROR(VLOOKUP($C563,Tabla_Documentos[],5,FALSE),"")</f>
        <v>595000</v>
      </c>
      <c r="H563" s="29" t="str">
        <f>IFERROR(VLOOKUP($C563,Tabla_Documentos[],6,FALSE),"")</f>
        <v>PUBLICIDAD</v>
      </c>
      <c r="I563" s="38">
        <f>IFERROR(VLOOKUP($C563,Tabla_Documentos[],5,FALSE),"")</f>
        <v>595000</v>
      </c>
      <c r="J563" s="25">
        <v>45910</v>
      </c>
    </row>
    <row r="564" spans="3:10" ht="21" customHeight="1" x14ac:dyDescent="0.25">
      <c r="C564" s="39">
        <v>1470</v>
      </c>
      <c r="D564" s="28">
        <f>IFERROR(VLOOKUP($C564,Tabla_Documentos[],2,FALSE),"")</f>
        <v>45910</v>
      </c>
      <c r="E564" s="34" t="str">
        <f>IFERROR(VLOOKUP($C564,Tabla_Documentos[],3,FALSE),"")</f>
        <v>9051431-8</v>
      </c>
      <c r="F564" s="35" t="str">
        <f>IFERROR(VLOOKUP($C564,Tabla_Documentos[],4,FALSE),"")</f>
        <v>RAMON ANGEL RIQUELME OLIVARES</v>
      </c>
      <c r="G564" s="38">
        <f>IFERROR(VLOOKUP($C564,Tabla_Documentos[],5,FALSE),"")</f>
        <v>142800</v>
      </c>
      <c r="H564" s="29" t="str">
        <f>IFERROR(VLOOKUP($C564,Tabla_Documentos[],6,FALSE),"")</f>
        <v>PUBLICIDAD</v>
      </c>
      <c r="I564" s="38">
        <f>IFERROR(VLOOKUP($C564,Tabla_Documentos[],5,FALSE),"")</f>
        <v>142800</v>
      </c>
      <c r="J564" s="25">
        <v>45910</v>
      </c>
    </row>
    <row r="565" spans="3:10" ht="21" customHeight="1" x14ac:dyDescent="0.25">
      <c r="C565" s="39">
        <v>1471</v>
      </c>
      <c r="D565" s="28">
        <f>IFERROR(VLOOKUP($C565,Tabla_Documentos[],2,FALSE),"")</f>
        <v>45910</v>
      </c>
      <c r="E565" s="34" t="str">
        <f>IFERROR(VLOOKUP($C565,Tabla_Documentos[],3,FALSE),"")</f>
        <v>10446368-1</v>
      </c>
      <c r="F565" s="35" t="str">
        <f>IFERROR(VLOOKUP($C565,Tabla_Documentos[],4,FALSE),"")</f>
        <v>MARIO HERNAN CASTILLO FUENTES</v>
      </c>
      <c r="G565" s="38">
        <f>IFERROR(VLOOKUP($C565,Tabla_Documentos[],5,FALSE),"")</f>
        <v>192780</v>
      </c>
      <c r="H565" s="29" t="str">
        <f>IFERROR(VLOOKUP($C565,Tabla_Documentos[],6,FALSE),"")</f>
        <v>PUBLICIDAD</v>
      </c>
      <c r="I565" s="38">
        <f>IFERROR(VLOOKUP($C565,Tabla_Documentos[],5,FALSE),"")</f>
        <v>192780</v>
      </c>
      <c r="J565" s="25">
        <v>45910</v>
      </c>
    </row>
    <row r="566" spans="3:10" ht="21" customHeight="1" x14ac:dyDescent="0.25">
      <c r="C566" s="39">
        <v>1472</v>
      </c>
      <c r="D566" s="28">
        <f>IFERROR(VLOOKUP($C566,Tabla_Documentos[],2,FALSE),"")</f>
        <v>45910</v>
      </c>
      <c r="E566" s="34" t="str">
        <f>IFERROR(VLOOKUP($C566,Tabla_Documentos[],3,FALSE),"")</f>
        <v>76575710-K</v>
      </c>
      <c r="F566" s="35" t="str">
        <f>IFERROR(VLOOKUP($C566,Tabla_Documentos[],4,FALSE),"")</f>
        <v>GALEB  GALEB EVENTOS LIMITADA</v>
      </c>
      <c r="G566" s="38">
        <f>IFERROR(VLOOKUP($C566,Tabla_Documentos[],5,FALSE),"")</f>
        <v>150000</v>
      </c>
      <c r="H566" s="29" t="str">
        <f>IFERROR(VLOOKUP($C566,Tabla_Documentos[],6,FALSE),"")</f>
        <v>PUBLICIDAD</v>
      </c>
      <c r="I566" s="38">
        <f>IFERROR(VLOOKUP($C566,Tabla_Documentos[],5,FALSE),"")</f>
        <v>150000</v>
      </c>
      <c r="J566" s="25">
        <v>45910</v>
      </c>
    </row>
    <row r="567" spans="3:10" ht="21" customHeight="1" x14ac:dyDescent="0.25">
      <c r="C567" s="39">
        <v>1473</v>
      </c>
      <c r="D567" s="28">
        <f>IFERROR(VLOOKUP($C567,Tabla_Documentos[],2,FALSE),"")</f>
        <v>45910</v>
      </c>
      <c r="E567" s="34" t="str">
        <f>IFERROR(VLOOKUP($C567,Tabla_Documentos[],3,FALSE),"")</f>
        <v>71236700-8</v>
      </c>
      <c r="F567" s="35" t="str">
        <f>IFERROR(VLOOKUP($C567,Tabla_Documentos[],4,FALSE),"")</f>
        <v>UNIVERSIDAD DE ATACAMA</v>
      </c>
      <c r="G567" s="38">
        <f>IFERROR(VLOOKUP($C567,Tabla_Documentos[],5,FALSE),"")</f>
        <v>58310</v>
      </c>
      <c r="H567" s="29" t="str">
        <f>IFERROR(VLOOKUP($C567,Tabla_Documentos[],6,FALSE),"")</f>
        <v>BELEN</v>
      </c>
      <c r="I567" s="38">
        <f>IFERROR(VLOOKUP($C567,Tabla_Documentos[],5,FALSE),"")</f>
        <v>58310</v>
      </c>
      <c r="J567" s="25">
        <v>45910</v>
      </c>
    </row>
    <row r="568" spans="3:10" ht="21" customHeight="1" x14ac:dyDescent="0.25">
      <c r="C568" s="39">
        <v>1474</v>
      </c>
      <c r="D568" s="28">
        <f>IFERROR(VLOOKUP($C568,Tabla_Documentos[],2,FALSE),"")</f>
        <v>45910</v>
      </c>
      <c r="E568" s="34" t="str">
        <f>IFERROR(VLOOKUP($C568,Tabla_Documentos[],3,FALSE),"")</f>
        <v>71236700-8</v>
      </c>
      <c r="F568" s="35" t="str">
        <f>IFERROR(VLOOKUP($C568,Tabla_Documentos[],4,FALSE),"")</f>
        <v>UNIVERSIDAD DE ATACAMA</v>
      </c>
      <c r="G568" s="38">
        <f>IFERROR(VLOOKUP($C568,Tabla_Documentos[],5,FALSE),"")</f>
        <v>58312</v>
      </c>
      <c r="H568" s="29" t="str">
        <f>IFERROR(VLOOKUP($C568,Tabla_Documentos[],6,FALSE),"")</f>
        <v>BELEN</v>
      </c>
      <c r="I568" s="38">
        <f>IFERROR(VLOOKUP($C568,Tabla_Documentos[],5,FALSE),"")</f>
        <v>58312</v>
      </c>
      <c r="J568" s="25">
        <v>45910</v>
      </c>
    </row>
    <row r="569" spans="3:10" ht="21" customHeight="1" x14ac:dyDescent="0.25">
      <c r="C569" s="39">
        <v>1475</v>
      </c>
      <c r="D569" s="28">
        <f>IFERROR(VLOOKUP($C569,Tabla_Documentos[],2,FALSE),"")</f>
        <v>45911</v>
      </c>
      <c r="E569" s="34" t="str">
        <f>IFERROR(VLOOKUP($C569,Tabla_Documentos[],3,FALSE),"")</f>
        <v>76310683-7</v>
      </c>
      <c r="F569" s="35" t="str">
        <f>IFERROR(VLOOKUP($C569,Tabla_Documentos[],4,FALSE),"")</f>
        <v>MAQUINARIAS Y TRANSPORTES BULL SPA.</v>
      </c>
      <c r="G569" s="38">
        <f>IFERROR(VLOOKUP($C569,Tabla_Documentos[],5,FALSE),"")</f>
        <v>36890</v>
      </c>
      <c r="H569" s="29" t="str">
        <f>IFERROR(VLOOKUP($C569,Tabla_Documentos[],6,FALSE),"")</f>
        <v>PUBLICIDAD</v>
      </c>
      <c r="I569" s="38">
        <f>IFERROR(VLOOKUP($C569,Tabla_Documentos[],5,FALSE),"")</f>
        <v>36890</v>
      </c>
      <c r="J569" s="25">
        <v>45911</v>
      </c>
    </row>
    <row r="570" spans="3:10" ht="21" customHeight="1" x14ac:dyDescent="0.25">
      <c r="C570" s="39">
        <v>1476</v>
      </c>
      <c r="D570" s="28">
        <f>IFERROR(VLOOKUP($C570,Tabla_Documentos[],2,FALSE),"")</f>
        <v>45911</v>
      </c>
      <c r="E570" s="34" t="str">
        <f>IFERROR(VLOOKUP($C570,Tabla_Documentos[],3,FALSE),"")</f>
        <v>76183251-4</v>
      </c>
      <c r="F570" s="35" t="str">
        <f>IFERROR(VLOOKUP($C570,Tabla_Documentos[],4,FALSE),"")</f>
        <v>ELIAS RESK CONTRERAS TRANSPORTES Y SERVICIOS LIMITADA</v>
      </c>
      <c r="G570" s="38">
        <f>IFERROR(VLOOKUP($C570,Tabla_Documentos[],5,FALSE),"")</f>
        <v>29750</v>
      </c>
      <c r="H570" s="29" t="str">
        <f>IFERROR(VLOOKUP($C570,Tabla_Documentos[],6,FALSE),"")</f>
        <v>PUBLICIDAD</v>
      </c>
      <c r="I570" s="38">
        <f>IFERROR(VLOOKUP($C570,Tabla_Documentos[],5,FALSE),"")</f>
        <v>29750</v>
      </c>
      <c r="J570" s="25">
        <v>45911</v>
      </c>
    </row>
    <row r="571" spans="3:10" ht="21" customHeight="1" x14ac:dyDescent="0.25">
      <c r="C571" s="39">
        <v>1477</v>
      </c>
      <c r="D571" s="28">
        <f>IFERROR(VLOOKUP($C571,Tabla_Documentos[],2,FALSE),"")</f>
        <v>45912</v>
      </c>
      <c r="E571" s="34" t="str">
        <f>IFERROR(VLOOKUP($C571,Tabla_Documentos[],3,FALSE),"")</f>
        <v>76575710-K</v>
      </c>
      <c r="F571" s="35" t="str">
        <f>IFERROR(VLOOKUP($C571,Tabla_Documentos[],4,FALSE),"")</f>
        <v>GALEB  GALEB EVENTOS LIMITADA</v>
      </c>
      <c r="G571" s="38">
        <f>IFERROR(VLOOKUP($C571,Tabla_Documentos[],5,FALSE),"")</f>
        <v>210000</v>
      </c>
      <c r="H571" s="29" t="str">
        <f>IFERROR(VLOOKUP($C571,Tabla_Documentos[],6,FALSE),"")</f>
        <v>PUBLICIDAD</v>
      </c>
      <c r="I571" s="38">
        <f>IFERROR(VLOOKUP($C571,Tabla_Documentos[],5,FALSE),"")</f>
        <v>210000</v>
      </c>
      <c r="J571" s="25">
        <v>45912</v>
      </c>
    </row>
    <row r="572" spans="3:10" ht="21" customHeight="1" x14ac:dyDescent="0.25">
      <c r="C572" s="39">
        <v>1478</v>
      </c>
      <c r="D572" s="28">
        <f>IFERROR(VLOOKUP($C572,Tabla_Documentos[],2,FALSE),"")</f>
        <v>45912</v>
      </c>
      <c r="E572" s="34" t="str">
        <f>IFERROR(VLOOKUP($C572,Tabla_Documentos[],3,FALSE),"")</f>
        <v>77154334-0</v>
      </c>
      <c r="F572" s="35" t="str">
        <f>IFERROR(VLOOKUP($C572,Tabla_Documentos[],4,FALSE),"")</f>
        <v>INVERSIONES RÃO BIO BIO SPA</v>
      </c>
      <c r="G572" s="38">
        <f>IFERROR(VLOOKUP($C572,Tabla_Documentos[],5,FALSE),"")</f>
        <v>190400</v>
      </c>
      <c r="H572" s="29" t="str">
        <f>IFERROR(VLOOKUP($C572,Tabla_Documentos[],6,FALSE),"")</f>
        <v>PUBLICIDAD</v>
      </c>
      <c r="I572" s="38">
        <f>IFERROR(VLOOKUP($C572,Tabla_Documentos[],5,FALSE),"")</f>
        <v>190400</v>
      </c>
      <c r="J572" s="25">
        <v>45912</v>
      </c>
    </row>
    <row r="573" spans="3:10" ht="21" customHeight="1" x14ac:dyDescent="0.25">
      <c r="C573" s="39">
        <v>1479</v>
      </c>
      <c r="D573" s="28">
        <f>IFERROR(VLOOKUP($C573,Tabla_Documentos[],2,FALSE),"")</f>
        <v>45915</v>
      </c>
      <c r="E573" s="34" t="str">
        <f>IFERROR(VLOOKUP($C573,Tabla_Documentos[],3,FALSE),"")</f>
        <v>89622400-K</v>
      </c>
      <c r="F573" s="35" t="str">
        <f>IFERROR(VLOOKUP($C573,Tabla_Documentos[],4,FALSE),"")</f>
        <v>PULLMAN CARGO S A</v>
      </c>
      <c r="G573" s="38">
        <f>IFERROR(VLOOKUP($C573,Tabla_Documentos[],5,FALSE),"")</f>
        <v>23800</v>
      </c>
      <c r="H573" s="29" t="str">
        <f>IFERROR(VLOOKUP($C573,Tabla_Documentos[],6,FALSE),"")</f>
        <v>PUBLICIDAD</v>
      </c>
      <c r="I573" s="38">
        <f>IFERROR(VLOOKUP($C573,Tabla_Documentos[],5,FALSE),"")</f>
        <v>23800</v>
      </c>
      <c r="J573" s="25">
        <v>45915</v>
      </c>
    </row>
    <row r="574" spans="3:10" ht="21" customHeight="1" x14ac:dyDescent="0.25">
      <c r="C574" s="39">
        <v>1480</v>
      </c>
      <c r="D574" s="28">
        <f>IFERROR(VLOOKUP($C574,Tabla_Documentos[],2,FALSE),"")</f>
        <v>45915</v>
      </c>
      <c r="E574" s="34" t="str">
        <f>IFERROR(VLOOKUP($C574,Tabla_Documentos[],3,FALSE),"")</f>
        <v>76311879-7</v>
      </c>
      <c r="F574" s="35" t="str">
        <f>IFERROR(VLOOKUP($C574,Tabla_Documentos[],4,FALSE),"")</f>
        <v>SOCIEDAD DE INVERSIONES SAN ALONSO SPA</v>
      </c>
      <c r="G574" s="38">
        <f>IFERROR(VLOOKUP($C574,Tabla_Documentos[],5,FALSE),"")</f>
        <v>714000</v>
      </c>
      <c r="H574" s="29" t="str">
        <f>IFERROR(VLOOKUP($C574,Tabla_Documentos[],6,FALSE),"")</f>
        <v>PUBLICIDAD</v>
      </c>
      <c r="I574" s="38">
        <f>IFERROR(VLOOKUP($C574,Tabla_Documentos[],5,FALSE),"")</f>
        <v>714000</v>
      </c>
      <c r="J574" s="25">
        <v>45915</v>
      </c>
    </row>
    <row r="575" spans="3:10" ht="21" customHeight="1" x14ac:dyDescent="0.25">
      <c r="C575" s="39">
        <v>1481</v>
      </c>
      <c r="D575" s="28">
        <f>IFERROR(VLOOKUP($C575,Tabla_Documentos[],2,FALSE),"")</f>
        <v>45916</v>
      </c>
      <c r="E575" s="34" t="str">
        <f>IFERROR(VLOOKUP($C575,Tabla_Documentos[],3,FALSE),"")</f>
        <v>77929415-3</v>
      </c>
      <c r="F575" s="35" t="str">
        <f>IFERROR(VLOOKUP($C575,Tabla_Documentos[],4,FALSE),"")</f>
        <v>SERVICIOS INTEGRALES GENERALES SPA</v>
      </c>
      <c r="G575" s="38">
        <f>IFERROR(VLOOKUP($C575,Tabla_Documentos[],5,FALSE),"")</f>
        <v>821100</v>
      </c>
      <c r="H575" s="29" t="str">
        <f>IFERROR(VLOOKUP($C575,Tabla_Documentos[],6,FALSE),"")</f>
        <v>PUBLICIDAD</v>
      </c>
      <c r="I575" s="38">
        <f>IFERROR(VLOOKUP($C575,Tabla_Documentos[],5,FALSE),"")</f>
        <v>821100</v>
      </c>
      <c r="J575" s="25">
        <v>45916</v>
      </c>
    </row>
    <row r="576" spans="3:10" ht="21" customHeight="1" x14ac:dyDescent="0.25">
      <c r="C576" s="39">
        <v>1482</v>
      </c>
      <c r="D576" s="28">
        <f>IFERROR(VLOOKUP($C576,Tabla_Documentos[],2,FALSE),"")</f>
        <v>45916</v>
      </c>
      <c r="E576" s="34" t="str">
        <f>IFERROR(VLOOKUP($C576,Tabla_Documentos[],3,FALSE),"")</f>
        <v>96792430-K</v>
      </c>
      <c r="F576" s="35" t="str">
        <f>IFERROR(VLOOKUP($C576,Tabla_Documentos[],4,FALSE),"")</f>
        <v>SODIMAC S.A.</v>
      </c>
      <c r="G576" s="38">
        <f>IFERROR(VLOOKUP($C576,Tabla_Documentos[],5,FALSE),"")</f>
        <v>470526</v>
      </c>
      <c r="H576" s="29" t="str">
        <f>IFERROR(VLOOKUP($C576,Tabla_Documentos[],6,FALSE),"")</f>
        <v>BELEN</v>
      </c>
      <c r="I576" s="38">
        <f>IFERROR(VLOOKUP($C576,Tabla_Documentos[],5,FALSE),"")</f>
        <v>470526</v>
      </c>
      <c r="J576" s="25">
        <v>45945</v>
      </c>
    </row>
    <row r="577" spans="3:10" ht="21" customHeight="1" x14ac:dyDescent="0.25">
      <c r="C577" s="39">
        <v>1483</v>
      </c>
      <c r="D577" s="28">
        <f>IFERROR(VLOOKUP($C577,Tabla_Documentos[],2,FALSE),"")</f>
        <v>45917</v>
      </c>
      <c r="E577" s="34" t="str">
        <f>IFERROR(VLOOKUP($C577,Tabla_Documentos[],3,FALSE),"")</f>
        <v>77317168-8</v>
      </c>
      <c r="F577" s="35" t="str">
        <f>IFERROR(VLOOKUP($C577,Tabla_Documentos[],4,FALSE),"")</f>
        <v>TECNOLOGIA Y EQUIPOS METCAM SPA</v>
      </c>
      <c r="G577" s="38">
        <f>IFERROR(VLOOKUP($C577,Tabla_Documentos[],5,FALSE),"")</f>
        <v>14280</v>
      </c>
      <c r="H577" s="29" t="str">
        <f>IFERROR(VLOOKUP($C577,Tabla_Documentos[],6,FALSE),"")</f>
        <v>PUBLICIDAD</v>
      </c>
      <c r="I577" s="38">
        <f>IFERROR(VLOOKUP($C577,Tabla_Documentos[],5,FALSE),"")</f>
        <v>14280</v>
      </c>
      <c r="J577" s="25">
        <v>45917</v>
      </c>
    </row>
    <row r="578" spans="3:10" ht="21" customHeight="1" x14ac:dyDescent="0.25">
      <c r="C578" s="39">
        <v>1484</v>
      </c>
      <c r="D578" s="28">
        <f>IFERROR(VLOOKUP($C578,Tabla_Documentos[],2,FALSE),"")</f>
        <v>45917</v>
      </c>
      <c r="E578" s="34" t="str">
        <f>IFERROR(VLOOKUP($C578,Tabla_Documentos[],3,FALSE),"")</f>
        <v>77317168-8</v>
      </c>
      <c r="F578" s="35" t="str">
        <f>IFERROR(VLOOKUP($C578,Tabla_Documentos[],4,FALSE),"")</f>
        <v>TECNOLOGIA Y EQUIPOS METCAM SPA</v>
      </c>
      <c r="G578" s="38">
        <f>IFERROR(VLOOKUP($C578,Tabla_Documentos[],5,FALSE),"")</f>
        <v>20230</v>
      </c>
      <c r="H578" s="29" t="str">
        <f>IFERROR(VLOOKUP($C578,Tabla_Documentos[],6,FALSE),"")</f>
        <v>PUBLICIDAD</v>
      </c>
      <c r="I578" s="38">
        <f>IFERROR(VLOOKUP($C578,Tabla_Documentos[],5,FALSE),"")</f>
        <v>20230</v>
      </c>
      <c r="J578" s="25">
        <v>45917</v>
      </c>
    </row>
    <row r="579" spans="3:10" ht="21" customHeight="1" x14ac:dyDescent="0.25">
      <c r="C579" s="39">
        <v>1485</v>
      </c>
      <c r="D579" s="28">
        <f>IFERROR(VLOOKUP($C579,Tabla_Documentos[],2,FALSE),"")</f>
        <v>45917</v>
      </c>
      <c r="E579" s="34" t="str">
        <f>IFERROR(VLOOKUP($C579,Tabla_Documentos[],3,FALSE),"")</f>
        <v>76650779-4</v>
      </c>
      <c r="F579" s="35" t="str">
        <f>IFERROR(VLOOKUP($C579,Tabla_Documentos[],4,FALSE),"")</f>
        <v>SOLUCIONES GLOBALES CARLOS HERBERTO MOSCOSO</v>
      </c>
      <c r="G579" s="38">
        <f>IFERROR(VLOOKUP($C579,Tabla_Documentos[],5,FALSE),"")</f>
        <v>130900</v>
      </c>
      <c r="H579" s="29" t="str">
        <f>IFERROR(VLOOKUP($C579,Tabla_Documentos[],6,FALSE),"")</f>
        <v>PUBLICIDAD</v>
      </c>
      <c r="I579" s="38">
        <f>IFERROR(VLOOKUP($C579,Tabla_Documentos[],5,FALSE),"")</f>
        <v>130900</v>
      </c>
      <c r="J579" s="25">
        <v>45927</v>
      </c>
    </row>
    <row r="580" spans="3:10" ht="21" customHeight="1" x14ac:dyDescent="0.25">
      <c r="C580" s="39">
        <v>1486</v>
      </c>
      <c r="D580" s="28">
        <f>IFERROR(VLOOKUP($C580,Tabla_Documentos[],2,FALSE),"")</f>
        <v>45922</v>
      </c>
      <c r="E580" s="34" t="str">
        <f>IFERROR(VLOOKUP($C580,Tabla_Documentos[],3,FALSE),"")</f>
        <v>78220086-0</v>
      </c>
      <c r="F580" s="35" t="str">
        <f>IFERROR(VLOOKUP($C580,Tabla_Documentos[],4,FALSE),"")</f>
        <v>VITAPRO LIMPIEZA SPA</v>
      </c>
      <c r="G580" s="38">
        <f>IFERROR(VLOOKUP($C580,Tabla_Documentos[],5,FALSE),"")</f>
        <v>21420</v>
      </c>
      <c r="H580" s="29" t="str">
        <f>IFERROR(VLOOKUP($C580,Tabla_Documentos[],6,FALSE),"")</f>
        <v>PUBLICIDAD</v>
      </c>
      <c r="I580" s="38">
        <f>IFERROR(VLOOKUP($C580,Tabla_Documentos[],5,FALSE),"")</f>
        <v>21420</v>
      </c>
      <c r="J580" s="25">
        <v>45922</v>
      </c>
    </row>
    <row r="581" spans="3:10" ht="21" customHeight="1" x14ac:dyDescent="0.25">
      <c r="C581" s="39">
        <v>1487</v>
      </c>
      <c r="D581" s="28">
        <f>IFERROR(VLOOKUP($C581,Tabla_Documentos[],2,FALSE),"")</f>
        <v>45922</v>
      </c>
      <c r="E581" s="34" t="str">
        <f>IFERROR(VLOOKUP($C581,Tabla_Documentos[],3,FALSE),"")</f>
        <v>76186894-2</v>
      </c>
      <c r="F581" s="35" t="str">
        <f>IFERROR(VLOOKUP($C581,Tabla_Documentos[],4,FALSE),"")</f>
        <v>SAN RAFAEL INGENIERIA Y  SERVICIOS LIMITADA</v>
      </c>
      <c r="G581" s="38">
        <f>IFERROR(VLOOKUP($C581,Tabla_Documentos[],5,FALSE),"")</f>
        <v>238000</v>
      </c>
      <c r="H581" s="29" t="str">
        <f>IFERROR(VLOOKUP($C581,Tabla_Documentos[],6,FALSE),"")</f>
        <v>PUBLICIDAD</v>
      </c>
      <c r="I581" s="38">
        <f>IFERROR(VLOOKUP($C581,Tabla_Documentos[],5,FALSE),"")</f>
        <v>238000</v>
      </c>
      <c r="J581" s="25">
        <v>45917</v>
      </c>
    </row>
    <row r="582" spans="3:10" ht="21" customHeight="1" x14ac:dyDescent="0.25">
      <c r="C582" s="39">
        <v>1488</v>
      </c>
      <c r="D582" s="28">
        <f>IFERROR(VLOOKUP($C582,Tabla_Documentos[],2,FALSE),"")</f>
        <v>45922</v>
      </c>
      <c r="E582" s="34" t="str">
        <f>IFERROR(VLOOKUP($C582,Tabla_Documentos[],3,FALSE),"")</f>
        <v>76250422-7</v>
      </c>
      <c r="F582" s="35" t="str">
        <f>IFERROR(VLOOKUP($C582,Tabla_Documentos[],4,FALSE),"")</f>
        <v>CENTRO DE RECICLAJE DEL NORTE LIMITADA</v>
      </c>
      <c r="G582" s="38">
        <f>IFERROR(VLOOKUP($C582,Tabla_Documentos[],5,FALSE),"")</f>
        <v>59500</v>
      </c>
      <c r="H582" s="29" t="str">
        <f>IFERROR(VLOOKUP($C582,Tabla_Documentos[],6,FALSE),"")</f>
        <v>PUBLICIDAD</v>
      </c>
      <c r="I582" s="38">
        <f>IFERROR(VLOOKUP($C582,Tabla_Documentos[],5,FALSE),"")</f>
        <v>59500</v>
      </c>
      <c r="J582" s="25">
        <v>46014</v>
      </c>
    </row>
    <row r="583" spans="3:10" ht="21" customHeight="1" x14ac:dyDescent="0.25">
      <c r="C583" s="39">
        <v>1490</v>
      </c>
      <c r="D583" s="28">
        <f>IFERROR(VLOOKUP($C583,Tabla_Documentos[],2,FALSE),"")</f>
        <v>45923</v>
      </c>
      <c r="E583" s="34" t="str">
        <f>IFERROR(VLOOKUP($C583,Tabla_Documentos[],3,FALSE),"")</f>
        <v>77313060-4</v>
      </c>
      <c r="F583" s="35" t="str">
        <f>IFERROR(VLOOKUP($C583,Tabla_Documentos[],4,FALSE),"")</f>
        <v>COMERCIAL SERPAN SPA</v>
      </c>
      <c r="G583" s="38">
        <f>IFERROR(VLOOKUP($C583,Tabla_Documentos[],5,FALSE),"")</f>
        <v>11900</v>
      </c>
      <c r="H583" s="29" t="str">
        <f>IFERROR(VLOOKUP($C583,Tabla_Documentos[],6,FALSE),"")</f>
        <v>PUBLICIDAD</v>
      </c>
      <c r="I583" s="38">
        <f>IFERROR(VLOOKUP($C583,Tabla_Documentos[],5,FALSE),"")</f>
        <v>11900</v>
      </c>
      <c r="J583" s="25">
        <v>45960</v>
      </c>
    </row>
    <row r="584" spans="3:10" ht="21" customHeight="1" x14ac:dyDescent="0.25">
      <c r="C584" s="39">
        <v>1491</v>
      </c>
      <c r="D584" s="28">
        <f>IFERROR(VLOOKUP($C584,Tabla_Documentos[],2,FALSE),"")</f>
        <v>45923</v>
      </c>
      <c r="E584" s="34" t="str">
        <f>IFERROR(VLOOKUP($C584,Tabla_Documentos[],3,FALSE),"")</f>
        <v>76686138-5</v>
      </c>
      <c r="F584" s="35" t="str">
        <f>IFERROR(VLOOKUP($C584,Tabla_Documentos[],4,FALSE),"")</f>
        <v>SKC RED SPA</v>
      </c>
      <c r="G584" s="38">
        <f>IFERROR(VLOOKUP($C584,Tabla_Documentos[],5,FALSE),"")</f>
        <v>17850</v>
      </c>
      <c r="H584" s="29" t="str">
        <f>IFERROR(VLOOKUP($C584,Tabla_Documentos[],6,FALSE),"")</f>
        <v>PUBLICIDAD</v>
      </c>
      <c r="I584" s="38">
        <f>IFERROR(VLOOKUP($C584,Tabla_Documentos[],5,FALSE),"")</f>
        <v>17850</v>
      </c>
      <c r="J584" s="25">
        <v>45954</v>
      </c>
    </row>
    <row r="585" spans="3:10" ht="21" customHeight="1" x14ac:dyDescent="0.25">
      <c r="C585" s="39">
        <v>1492</v>
      </c>
      <c r="D585" s="28">
        <f>IFERROR(VLOOKUP($C585,Tabla_Documentos[],2,FALSE),"")</f>
        <v>45923</v>
      </c>
      <c r="E585" s="34" t="str">
        <f>IFERROR(VLOOKUP($C585,Tabla_Documentos[],3,FALSE),"")</f>
        <v>76686138-5</v>
      </c>
      <c r="F585" s="35" t="str">
        <f>IFERROR(VLOOKUP($C585,Tabla_Documentos[],4,FALSE),"")</f>
        <v>SKC RED SPA</v>
      </c>
      <c r="G585" s="38">
        <f>IFERROR(VLOOKUP($C585,Tabla_Documentos[],5,FALSE),"")</f>
        <v>77350</v>
      </c>
      <c r="H585" s="29" t="str">
        <f>IFERROR(VLOOKUP($C585,Tabla_Documentos[],6,FALSE),"")</f>
        <v>PUBLICIDAD</v>
      </c>
      <c r="I585" s="38">
        <f>IFERROR(VLOOKUP($C585,Tabla_Documentos[],5,FALSE),"")</f>
        <v>77350</v>
      </c>
      <c r="J585" s="25">
        <v>45954</v>
      </c>
    </row>
    <row r="586" spans="3:10" ht="21" customHeight="1" x14ac:dyDescent="0.25">
      <c r="C586" s="39">
        <v>1493</v>
      </c>
      <c r="D586" s="28">
        <f>IFERROR(VLOOKUP($C586,Tabla_Documentos[],2,FALSE),"")</f>
        <v>45923</v>
      </c>
      <c r="E586" s="34" t="str">
        <f>IFERROR(VLOOKUP($C586,Tabla_Documentos[],3,FALSE),"")</f>
        <v>76686138-5</v>
      </c>
      <c r="F586" s="35" t="str">
        <f>IFERROR(VLOOKUP($C586,Tabla_Documentos[],4,FALSE),"")</f>
        <v>SKC RED SPA</v>
      </c>
      <c r="G586" s="38">
        <f>IFERROR(VLOOKUP($C586,Tabla_Documentos[],5,FALSE),"")</f>
        <v>220150</v>
      </c>
      <c r="H586" s="29" t="str">
        <f>IFERROR(VLOOKUP($C586,Tabla_Documentos[],6,FALSE),"")</f>
        <v>PUBLICIDAD</v>
      </c>
      <c r="I586" s="38">
        <f>IFERROR(VLOOKUP($C586,Tabla_Documentos[],5,FALSE),"")</f>
        <v>220150</v>
      </c>
      <c r="J586" s="25">
        <v>45954</v>
      </c>
    </row>
    <row r="587" spans="3:10" ht="21" customHeight="1" x14ac:dyDescent="0.25">
      <c r="C587" s="39">
        <v>1494</v>
      </c>
      <c r="D587" s="28">
        <f>IFERROR(VLOOKUP($C587,Tabla_Documentos[],2,FALSE),"")</f>
        <v>45924</v>
      </c>
      <c r="E587" s="34" t="str">
        <f>IFERROR(VLOOKUP($C587,Tabla_Documentos[],3,FALSE),"")</f>
        <v>77840923-2</v>
      </c>
      <c r="F587" s="35" t="str">
        <f>IFERROR(VLOOKUP($C587,Tabla_Documentos[],4,FALSE),"")</f>
        <v>INGENIERIA GACITUA SPA</v>
      </c>
      <c r="G587" s="38">
        <f>IFERROR(VLOOKUP($C587,Tabla_Documentos[],5,FALSE),"")</f>
        <v>11900</v>
      </c>
      <c r="H587" s="29" t="str">
        <f>IFERROR(VLOOKUP($C587,Tabla_Documentos[],6,FALSE),"")</f>
        <v>PUBLICIDAD</v>
      </c>
      <c r="I587" s="38">
        <f>IFERROR(VLOOKUP($C587,Tabla_Documentos[],5,FALSE),"")</f>
        <v>11900</v>
      </c>
      <c r="J587" s="25">
        <v>45924</v>
      </c>
    </row>
    <row r="588" spans="3:10" ht="21" customHeight="1" x14ac:dyDescent="0.25">
      <c r="C588" s="39">
        <v>1495</v>
      </c>
      <c r="D588" s="28">
        <f>IFERROR(VLOOKUP($C588,Tabla_Documentos[],2,FALSE),"")</f>
        <v>45924</v>
      </c>
      <c r="E588" s="34" t="str">
        <f>IFERROR(VLOOKUP($C588,Tabla_Documentos[],3,FALSE),"")</f>
        <v>77288904-6</v>
      </c>
      <c r="F588" s="35" t="str">
        <f>IFERROR(VLOOKUP($C588,Tabla_Documentos[],4,FALSE),"")</f>
        <v>S.C.I. DIGNA SPA</v>
      </c>
      <c r="G588" s="38">
        <f>IFERROR(VLOOKUP($C588,Tabla_Documentos[],5,FALSE),"")</f>
        <v>17850</v>
      </c>
      <c r="H588" s="29" t="str">
        <f>IFERROR(VLOOKUP($C588,Tabla_Documentos[],6,FALSE),"")</f>
        <v>PUBLICIDAD</v>
      </c>
      <c r="I588" s="38">
        <f>IFERROR(VLOOKUP($C588,Tabla_Documentos[],5,FALSE),"")</f>
        <v>17850</v>
      </c>
      <c r="J588" s="25">
        <v>45924</v>
      </c>
    </row>
    <row r="589" spans="3:10" ht="21" customHeight="1" x14ac:dyDescent="0.25">
      <c r="C589" s="39">
        <v>1496</v>
      </c>
      <c r="D589" s="28">
        <f>IFERROR(VLOOKUP($C589,Tabla_Documentos[],2,FALSE),"")</f>
        <v>45925</v>
      </c>
      <c r="E589" s="34" t="str">
        <f>IFERROR(VLOOKUP($C589,Tabla_Documentos[],3,FALSE),"")</f>
        <v>77382153-4</v>
      </c>
      <c r="F589" s="35" t="str">
        <f>IFERROR(VLOOKUP($C589,Tabla_Documentos[],4,FALSE),"")</f>
        <v>AUCAN LOGISTIC SPA</v>
      </c>
      <c r="G589" s="38">
        <f>IFERROR(VLOOKUP($C589,Tabla_Documentos[],5,FALSE),"")</f>
        <v>335580</v>
      </c>
      <c r="H589" s="29" t="str">
        <f>IFERROR(VLOOKUP($C589,Tabla_Documentos[],6,FALSE),"")</f>
        <v>PUBLICIDAD</v>
      </c>
      <c r="I589" s="38">
        <f>IFERROR(VLOOKUP($C589,Tabla_Documentos[],5,FALSE),"")</f>
        <v>335580</v>
      </c>
      <c r="J589" s="25">
        <v>45925</v>
      </c>
    </row>
    <row r="590" spans="3:10" ht="21" customHeight="1" x14ac:dyDescent="0.25">
      <c r="C590" s="39">
        <v>1497</v>
      </c>
      <c r="D590" s="28">
        <f>IFERROR(VLOOKUP($C590,Tabla_Documentos[],2,FALSE),"")</f>
        <v>45926</v>
      </c>
      <c r="E590" s="34" t="str">
        <f>IFERROR(VLOOKUP($C590,Tabla_Documentos[],3,FALSE),"")</f>
        <v>76219811-8</v>
      </c>
      <c r="F590" s="35" t="str">
        <f>IFERROR(VLOOKUP($C590,Tabla_Documentos[],4,FALSE),"")</f>
        <v>COMERCIAL BOREAL SPA</v>
      </c>
      <c r="G590" s="38">
        <f>IFERROR(VLOOKUP($C590,Tabla_Documentos[],5,FALSE),"")</f>
        <v>23800</v>
      </c>
      <c r="H590" s="29" t="str">
        <f>IFERROR(VLOOKUP($C590,Tabla_Documentos[],6,FALSE),"")</f>
        <v>PUBLICIDAD</v>
      </c>
      <c r="I590" s="38">
        <f>IFERROR(VLOOKUP($C590,Tabla_Documentos[],5,FALSE),"")</f>
        <v>23800</v>
      </c>
      <c r="J590" s="25">
        <v>45926</v>
      </c>
    </row>
    <row r="591" spans="3:10" ht="21" customHeight="1" x14ac:dyDescent="0.25">
      <c r="C591" s="39">
        <v>1498</v>
      </c>
      <c r="D591" s="28">
        <f>IFERROR(VLOOKUP($C591,Tabla_Documentos[],2,FALSE),"")</f>
        <v>45926</v>
      </c>
      <c r="E591" s="34" t="str">
        <f>IFERROR(VLOOKUP($C591,Tabla_Documentos[],3,FALSE),"")</f>
        <v>77432213-2</v>
      </c>
      <c r="F591" s="35" t="str">
        <f>IFERROR(VLOOKUP($C591,Tabla_Documentos[],4,FALSE),"")</f>
        <v>NAVARRO Y AVALOS SPA</v>
      </c>
      <c r="G591" s="38">
        <f>IFERROR(VLOOKUP($C591,Tabla_Documentos[],5,FALSE),"")</f>
        <v>464100</v>
      </c>
      <c r="H591" s="29" t="str">
        <f>IFERROR(VLOOKUP($C591,Tabla_Documentos[],6,FALSE),"")</f>
        <v>PUBLICIDAD</v>
      </c>
      <c r="I591" s="38">
        <f>IFERROR(VLOOKUP($C591,Tabla_Documentos[],5,FALSE),"")</f>
        <v>464100</v>
      </c>
      <c r="J591" s="25">
        <v>45926</v>
      </c>
    </row>
    <row r="592" spans="3:10" ht="21" customHeight="1" x14ac:dyDescent="0.25">
      <c r="C592" s="39">
        <v>1499</v>
      </c>
      <c r="D592" s="28">
        <f>IFERROR(VLOOKUP($C592,Tabla_Documentos[],2,FALSE),"")</f>
        <v>45927</v>
      </c>
      <c r="E592" s="34" t="str">
        <f>IFERROR(VLOOKUP($C592,Tabla_Documentos[],3,FALSE),"")</f>
        <v>14333206-3</v>
      </c>
      <c r="F592" s="35" t="str">
        <f>IFERROR(VLOOKUP($C592,Tabla_Documentos[],4,FALSE),"")</f>
        <v>FREDY ELISEO ONATE REYES</v>
      </c>
      <c r="G592" s="38">
        <f>IFERROR(VLOOKUP($C592,Tabla_Documentos[],5,FALSE),"")</f>
        <v>42840</v>
      </c>
      <c r="H592" s="29" t="str">
        <f>IFERROR(VLOOKUP($C592,Tabla_Documentos[],6,FALSE),"")</f>
        <v>PUBLICIDAD</v>
      </c>
      <c r="I592" s="38">
        <f>IFERROR(VLOOKUP($C592,Tabla_Documentos[],5,FALSE),"")</f>
        <v>42840</v>
      </c>
      <c r="J592" s="25">
        <v>45927</v>
      </c>
    </row>
    <row r="593" spans="3:10" ht="21" customHeight="1" x14ac:dyDescent="0.25">
      <c r="C593" s="39">
        <v>1500</v>
      </c>
      <c r="D593" s="28">
        <f>IFERROR(VLOOKUP($C593,Tabla_Documentos[],2,FALSE),"")</f>
        <v>45929</v>
      </c>
      <c r="E593" s="34" t="str">
        <f>IFERROR(VLOOKUP($C593,Tabla_Documentos[],3,FALSE),"")</f>
        <v>77080879-0</v>
      </c>
      <c r="F593" s="35" t="str">
        <f>IFERROR(VLOOKUP($C593,Tabla_Documentos[],4,FALSE),"")</f>
        <v>INVERSIONES VIALUM SPA</v>
      </c>
      <c r="G593" s="38">
        <f>IFERROR(VLOOKUP($C593,Tabla_Documentos[],5,FALSE),"")</f>
        <v>20000</v>
      </c>
      <c r="H593" s="29" t="str">
        <f>IFERROR(VLOOKUP($C593,Tabla_Documentos[],6,FALSE),"")</f>
        <v>PUBLICIDAD</v>
      </c>
      <c r="I593" s="38">
        <f>IFERROR(VLOOKUP($C593,Tabla_Documentos[],5,FALSE),"")</f>
        <v>20000</v>
      </c>
      <c r="J593" s="25">
        <v>45929</v>
      </c>
    </row>
    <row r="594" spans="3:10" ht="21" customHeight="1" x14ac:dyDescent="0.25">
      <c r="C594" s="39">
        <v>1501</v>
      </c>
      <c r="D594" s="28">
        <f>IFERROR(VLOOKUP($C594,Tabla_Documentos[],2,FALSE),"")</f>
        <v>45929</v>
      </c>
      <c r="E594" s="34" t="str">
        <f>IFERROR(VLOOKUP($C594,Tabla_Documentos[],3,FALSE),"")</f>
        <v>65203258-3</v>
      </c>
      <c r="F594" s="35" t="str">
        <f>IFERROR(VLOOKUP($C594,Tabla_Documentos[],4,FALSE),"")</f>
        <v>AGRUPACION CULTURAL SOCIAL QUINZEL</v>
      </c>
      <c r="G594" s="38">
        <f>IFERROR(VLOOKUP($C594,Tabla_Documentos[],5,FALSE),"")</f>
        <v>190000</v>
      </c>
      <c r="H594" s="29" t="str">
        <f>IFERROR(VLOOKUP($C594,Tabla_Documentos[],6,FALSE),"")</f>
        <v>PUBLICIDAD</v>
      </c>
      <c r="I594" s="38">
        <f>IFERROR(VLOOKUP($C594,Tabla_Documentos[],5,FALSE),"")</f>
        <v>190000</v>
      </c>
      <c r="J594" s="25">
        <v>45929</v>
      </c>
    </row>
    <row r="595" spans="3:10" ht="21" customHeight="1" x14ac:dyDescent="0.25">
      <c r="C595" s="39">
        <v>1502</v>
      </c>
      <c r="D595" s="28">
        <f>IFERROR(VLOOKUP($C595,Tabla_Documentos[],2,FALSE),"")</f>
        <v>45929</v>
      </c>
      <c r="E595" s="34" t="str">
        <f>IFERROR(VLOOKUP($C595,Tabla_Documentos[],3,FALSE),"")</f>
        <v>78320430-4</v>
      </c>
      <c r="F595" s="35" t="str">
        <f>IFERROR(VLOOKUP($C595,Tabla_Documentos[],4,FALSE),"")</f>
        <v>AUTOMOTRIZ NICOLAS LTDA.</v>
      </c>
      <c r="G595" s="38">
        <f>IFERROR(VLOOKUP($C595,Tabla_Documentos[],5,FALSE),"")</f>
        <v>30000</v>
      </c>
      <c r="H595" s="29" t="str">
        <f>IFERROR(VLOOKUP($C595,Tabla_Documentos[],6,FALSE),"")</f>
        <v>PUBLICIDAD</v>
      </c>
      <c r="I595" s="38">
        <f>IFERROR(VLOOKUP($C595,Tabla_Documentos[],5,FALSE),"")</f>
        <v>30000</v>
      </c>
      <c r="J595" s="25">
        <v>45929</v>
      </c>
    </row>
    <row r="596" spans="3:10" ht="21" customHeight="1" x14ac:dyDescent="0.25">
      <c r="C596" s="39">
        <v>1503</v>
      </c>
      <c r="D596" s="28">
        <f>IFERROR(VLOOKUP($C596,Tabla_Documentos[],2,FALSE),"")</f>
        <v>45930</v>
      </c>
      <c r="E596" s="34" t="str">
        <f>IFERROR(VLOOKUP($C596,Tabla_Documentos[],3,FALSE),"")</f>
        <v>77840923-2</v>
      </c>
      <c r="F596" s="35" t="str">
        <f>IFERROR(VLOOKUP($C596,Tabla_Documentos[],4,FALSE),"")</f>
        <v>INGENIERIA GACITUA SPA</v>
      </c>
      <c r="G596" s="38">
        <f>IFERROR(VLOOKUP($C596,Tabla_Documentos[],5,FALSE),"")</f>
        <v>35700</v>
      </c>
      <c r="H596" s="29" t="str">
        <f>IFERROR(VLOOKUP($C596,Tabla_Documentos[],6,FALSE),"")</f>
        <v>PUBLICIDAD</v>
      </c>
      <c r="I596" s="38">
        <f>IFERROR(VLOOKUP($C596,Tabla_Documentos[],5,FALSE),"")</f>
        <v>35700</v>
      </c>
      <c r="J596" s="25">
        <v>45930</v>
      </c>
    </row>
    <row r="597" spans="3:10" ht="21" customHeight="1" x14ac:dyDescent="0.25">
      <c r="C597" s="39">
        <v>1504</v>
      </c>
      <c r="D597" s="28">
        <f>IFERROR(VLOOKUP($C597,Tabla_Documentos[],2,FALSE),"")</f>
        <v>45930</v>
      </c>
      <c r="E597" s="34" t="str">
        <f>IFERROR(VLOOKUP($C597,Tabla_Documentos[],3,FALSE),"")</f>
        <v>7175917-2</v>
      </c>
      <c r="F597" s="35" t="str">
        <f>IFERROR(VLOOKUP($C597,Tabla_Documentos[],4,FALSE),"")</f>
        <v>MATILDE DEL CARMEN ZAMBRA LOPEZ</v>
      </c>
      <c r="G597" s="38">
        <f>IFERROR(VLOOKUP($C597,Tabla_Documentos[],5,FALSE),"")</f>
        <v>124950</v>
      </c>
      <c r="H597" s="29" t="str">
        <f>IFERROR(VLOOKUP($C597,Tabla_Documentos[],6,FALSE),"")</f>
        <v>PUBLICIDAD</v>
      </c>
      <c r="I597" s="38">
        <f>IFERROR(VLOOKUP($C597,Tabla_Documentos[],5,FALSE),"")</f>
        <v>124950</v>
      </c>
      <c r="J597" s="25">
        <v>45930</v>
      </c>
    </row>
    <row r="598" spans="3:10" ht="21" customHeight="1" x14ac:dyDescent="0.25">
      <c r="C598" s="39">
        <v>1505</v>
      </c>
      <c r="D598" s="28">
        <f>IFERROR(VLOOKUP($C598,Tabla_Documentos[],2,FALSE),"")</f>
        <v>45931</v>
      </c>
      <c r="E598" s="34" t="str">
        <f>IFERROR(VLOOKUP($C598,Tabla_Documentos[],3,FALSE),"")</f>
        <v>78193252-3</v>
      </c>
      <c r="F598" s="35" t="str">
        <f>IFERROR(VLOOKUP($C598,Tabla_Documentos[],4,FALSE),"")</f>
        <v>LAVADO DE VEHÃCULOS RICHARDS MICHAEL VILLALOBOS ROJAS E.I.R.L.</v>
      </c>
      <c r="G598" s="38">
        <f>IFERROR(VLOOKUP($C598,Tabla_Documentos[],5,FALSE),"")</f>
        <v>660450</v>
      </c>
      <c r="H598" s="29" t="str">
        <f>IFERROR(VLOOKUP($C598,Tabla_Documentos[],6,FALSE),"")</f>
        <v>PUBLICIDAD</v>
      </c>
      <c r="I598" s="38">
        <f>IFERROR(VLOOKUP($C598,Tabla_Documentos[],5,FALSE),"")</f>
        <v>660450</v>
      </c>
      <c r="J598" s="25">
        <v>45931</v>
      </c>
    </row>
    <row r="599" spans="3:10" ht="21" customHeight="1" x14ac:dyDescent="0.25">
      <c r="C599" s="39">
        <v>1506</v>
      </c>
      <c r="D599" s="28">
        <f>IFERROR(VLOOKUP($C599,Tabla_Documentos[],2,FALSE),"")</f>
        <v>45931</v>
      </c>
      <c r="E599" s="34" t="str">
        <f>IFERROR(VLOOKUP($C599,Tabla_Documentos[],3,FALSE),"")</f>
        <v>96792430-K</v>
      </c>
      <c r="F599" s="35" t="str">
        <f>IFERROR(VLOOKUP($C599,Tabla_Documentos[],4,FALSE),"")</f>
        <v>SODIMAC S.A.</v>
      </c>
      <c r="G599" s="38">
        <f>IFERROR(VLOOKUP($C599,Tabla_Documentos[],5,FALSE),"")</f>
        <v>869414</v>
      </c>
      <c r="H599" s="29" t="str">
        <f>IFERROR(VLOOKUP($C599,Tabla_Documentos[],6,FALSE),"")</f>
        <v>BELEN</v>
      </c>
      <c r="I599" s="38">
        <f>IFERROR(VLOOKUP($C599,Tabla_Documentos[],5,FALSE),"")</f>
        <v>869414</v>
      </c>
      <c r="J599" s="25">
        <v>45959</v>
      </c>
    </row>
    <row r="600" spans="3:10" ht="21" customHeight="1" x14ac:dyDescent="0.25">
      <c r="C600" s="39">
        <v>1507</v>
      </c>
      <c r="D600" s="28">
        <f>IFERROR(VLOOKUP($C600,Tabla_Documentos[],2,FALSE),"")</f>
        <v>45931</v>
      </c>
      <c r="E600" s="34" t="str">
        <f>IFERROR(VLOOKUP($C600,Tabla_Documentos[],3,FALSE),"")</f>
        <v>76198448-9</v>
      </c>
      <c r="F600" s="35" t="str">
        <f>IFERROR(VLOOKUP($C600,Tabla_Documentos[],4,FALSE),"")</f>
        <v>RES ENERGY SERVICES SPA</v>
      </c>
      <c r="G600" s="38">
        <f>IFERROR(VLOOKUP($C600,Tabla_Documentos[],5,FALSE),"")</f>
        <v>1359456</v>
      </c>
      <c r="H600" s="29" t="str">
        <f>IFERROR(VLOOKUP($C600,Tabla_Documentos[],6,FALSE),"")</f>
        <v>PUBLICIDAD</v>
      </c>
      <c r="I600" s="38">
        <f>IFERROR(VLOOKUP($C600,Tabla_Documentos[],5,FALSE),"")</f>
        <v>1359456</v>
      </c>
      <c r="J600" s="25">
        <v>45937</v>
      </c>
    </row>
    <row r="601" spans="3:10" ht="21" customHeight="1" x14ac:dyDescent="0.25">
      <c r="C601" s="39">
        <v>1508</v>
      </c>
      <c r="D601" s="28">
        <f>IFERROR(VLOOKUP($C601,Tabla_Documentos[],2,FALSE),"")</f>
        <v>45931</v>
      </c>
      <c r="E601" s="34" t="str">
        <f>IFERROR(VLOOKUP($C601,Tabla_Documentos[],3,FALSE),"")</f>
        <v>77437999-1</v>
      </c>
      <c r="F601" s="35" t="str">
        <f>IFERROR(VLOOKUP($C601,Tabla_Documentos[],4,FALSE),"")</f>
        <v>INVERSIONES SAFUMAR LIMITADA</v>
      </c>
      <c r="G601" s="38">
        <f>IFERROR(VLOOKUP($C601,Tabla_Documentos[],5,FALSE),"")</f>
        <v>130900</v>
      </c>
      <c r="H601" s="29" t="str">
        <f>IFERROR(VLOOKUP($C601,Tabla_Documentos[],6,FALSE),"")</f>
        <v>PUBLICIDAD</v>
      </c>
      <c r="I601" s="38">
        <f>IFERROR(VLOOKUP($C601,Tabla_Documentos[],5,FALSE),"")</f>
        <v>130900</v>
      </c>
      <c r="J601" s="25">
        <v>45937</v>
      </c>
    </row>
    <row r="602" spans="3:10" ht="21" customHeight="1" x14ac:dyDescent="0.25">
      <c r="C602" s="39">
        <v>1509</v>
      </c>
      <c r="D602" s="28">
        <f>IFERROR(VLOOKUP($C602,Tabla_Documentos[],2,FALSE),"")</f>
        <v>45931</v>
      </c>
      <c r="E602" s="34" t="str">
        <f>IFERROR(VLOOKUP($C602,Tabla_Documentos[],3,FALSE),"")</f>
        <v>77062894-6</v>
      </c>
      <c r="F602" s="35" t="str">
        <f>IFERROR(VLOOKUP($C602,Tabla_Documentos[],4,FALSE),"")</f>
        <v>MENDOZA CAZ  SPA</v>
      </c>
      <c r="G602" s="38">
        <f>IFERROR(VLOOKUP($C602,Tabla_Documentos[],5,FALSE),"")</f>
        <v>170527</v>
      </c>
      <c r="H602" s="29" t="str">
        <f>IFERROR(VLOOKUP($C602,Tabla_Documentos[],6,FALSE),"")</f>
        <v>PUBLICIDAD</v>
      </c>
      <c r="I602" s="38">
        <f>IFERROR(VLOOKUP($C602,Tabla_Documentos[],5,FALSE),"")</f>
        <v>170527</v>
      </c>
      <c r="J602" s="25">
        <v>45931</v>
      </c>
    </row>
    <row r="603" spans="3:10" ht="21" customHeight="1" x14ac:dyDescent="0.25">
      <c r="C603" s="39">
        <v>1510</v>
      </c>
      <c r="D603" s="28">
        <f>IFERROR(VLOOKUP($C603,Tabla_Documentos[],2,FALSE),"")</f>
        <v>45931</v>
      </c>
      <c r="E603" s="34" t="str">
        <f>IFERROR(VLOOKUP($C603,Tabla_Documentos[],3,FALSE),"")</f>
        <v>78808300-9</v>
      </c>
      <c r="F603" s="35" t="str">
        <f>IFERROR(VLOOKUP($C603,Tabla_Documentos[],4,FALSE),"")</f>
        <v>EDWIN HOLVOET Y COMPANIA LIMITADA</v>
      </c>
      <c r="G603" s="38">
        <f>IFERROR(VLOOKUP($C603,Tabla_Documentos[],5,FALSE),"")</f>
        <v>2891700</v>
      </c>
      <c r="H603" s="29" t="str">
        <f>IFERROR(VLOOKUP($C603,Tabla_Documentos[],6,FALSE),"")</f>
        <v>PUBLICIDAD</v>
      </c>
      <c r="I603" s="38">
        <f>IFERROR(VLOOKUP($C603,Tabla_Documentos[],5,FALSE),"")</f>
        <v>2891700</v>
      </c>
      <c r="J603" s="25">
        <v>45973</v>
      </c>
    </row>
    <row r="604" spans="3:10" ht="21" customHeight="1" x14ac:dyDescent="0.25">
      <c r="C604" s="39">
        <v>1511</v>
      </c>
      <c r="D604" s="28">
        <f>IFERROR(VLOOKUP($C604,Tabla_Documentos[],2,FALSE),"")</f>
        <v>45931</v>
      </c>
      <c r="E604" s="34" t="str">
        <f>IFERROR(VLOOKUP($C604,Tabla_Documentos[],3,FALSE),"")</f>
        <v>78808300-9</v>
      </c>
      <c r="F604" s="35" t="str">
        <f>IFERROR(VLOOKUP($C604,Tabla_Documentos[],4,FALSE),"")</f>
        <v>EDWIN HOLVOET Y COMPANIA LIMITADA</v>
      </c>
      <c r="G604" s="38">
        <f>IFERROR(VLOOKUP($C604,Tabla_Documentos[],5,FALSE),"")</f>
        <v>107100</v>
      </c>
      <c r="H604" s="29" t="str">
        <f>IFERROR(VLOOKUP($C604,Tabla_Documentos[],6,FALSE),"")</f>
        <v>PUBLICIDAD</v>
      </c>
      <c r="I604" s="38">
        <f>IFERROR(VLOOKUP($C604,Tabla_Documentos[],5,FALSE),"")</f>
        <v>107100</v>
      </c>
      <c r="J604" s="25">
        <v>45931</v>
      </c>
    </row>
    <row r="605" spans="3:10" ht="21" customHeight="1" x14ac:dyDescent="0.25">
      <c r="C605" s="39">
        <v>1512</v>
      </c>
      <c r="D605" s="28">
        <f>IFERROR(VLOOKUP($C605,Tabla_Documentos[],2,FALSE),"")</f>
        <v>45932</v>
      </c>
      <c r="E605" s="34" t="str">
        <f>IFERROR(VLOOKUP($C605,Tabla_Documentos[],3,FALSE),"")</f>
        <v>76041220-1</v>
      </c>
      <c r="F605" s="35" t="str">
        <f>IFERROR(VLOOKUP($C605,Tabla_Documentos[],4,FALSE),"")</f>
        <v>OXYTEK SPA</v>
      </c>
      <c r="G605" s="38">
        <f>IFERROR(VLOOKUP($C605,Tabla_Documentos[],5,FALSE),"")</f>
        <v>20000</v>
      </c>
      <c r="H605" s="29" t="str">
        <f>IFERROR(VLOOKUP($C605,Tabla_Documentos[],6,FALSE),"")</f>
        <v>PUBLICIDAD</v>
      </c>
      <c r="I605" s="38">
        <f>IFERROR(VLOOKUP($C605,Tabla_Documentos[],5,FALSE),"")</f>
        <v>20000</v>
      </c>
      <c r="J605" s="25">
        <v>45932</v>
      </c>
    </row>
    <row r="606" spans="3:10" ht="21" customHeight="1" x14ac:dyDescent="0.25">
      <c r="C606" s="39">
        <v>1513</v>
      </c>
      <c r="D606" s="28">
        <f>IFERROR(VLOOKUP($C606,Tabla_Documentos[],2,FALSE),"")</f>
        <v>45932</v>
      </c>
      <c r="E606" s="34" t="str">
        <f>IFERROR(VLOOKUP($C606,Tabla_Documentos[],3,FALSE),"")</f>
        <v>76686138-5</v>
      </c>
      <c r="F606" s="35" t="str">
        <f>IFERROR(VLOOKUP($C606,Tabla_Documentos[],4,FALSE),"")</f>
        <v>SKC RED SPA</v>
      </c>
      <c r="G606" s="38">
        <f>IFERROR(VLOOKUP($C606,Tabla_Documentos[],5,FALSE),"")</f>
        <v>476000</v>
      </c>
      <c r="H606" s="29" t="str">
        <f>IFERROR(VLOOKUP($C606,Tabla_Documentos[],6,FALSE),"")</f>
        <v>PUBLICIDAD</v>
      </c>
      <c r="I606" s="38">
        <f>IFERROR(VLOOKUP($C606,Tabla_Documentos[],5,FALSE),"")</f>
        <v>476000</v>
      </c>
      <c r="J606" s="25">
        <v>45947</v>
      </c>
    </row>
    <row r="607" spans="3:10" ht="21" customHeight="1" x14ac:dyDescent="0.25">
      <c r="C607" s="39">
        <v>1514</v>
      </c>
      <c r="D607" s="28">
        <f>IFERROR(VLOOKUP($C607,Tabla_Documentos[],2,FALSE),"")</f>
        <v>45932</v>
      </c>
      <c r="E607" s="34" t="str">
        <f>IFERROR(VLOOKUP($C607,Tabla_Documentos[],3,FALSE),"")</f>
        <v>76686138-5</v>
      </c>
      <c r="F607" s="35" t="str">
        <f>IFERROR(VLOOKUP($C607,Tabla_Documentos[],4,FALSE),"")</f>
        <v>SKC RED SPA</v>
      </c>
      <c r="G607" s="38">
        <f>IFERROR(VLOOKUP($C607,Tabla_Documentos[],5,FALSE),"")</f>
        <v>83300</v>
      </c>
      <c r="H607" s="29" t="str">
        <f>IFERROR(VLOOKUP($C607,Tabla_Documentos[],6,FALSE),"")</f>
        <v>PUBLICIDAD</v>
      </c>
      <c r="I607" s="38">
        <f>IFERROR(VLOOKUP($C607,Tabla_Documentos[],5,FALSE),"")</f>
        <v>83300</v>
      </c>
      <c r="J607" s="25">
        <v>45964</v>
      </c>
    </row>
    <row r="608" spans="3:10" ht="21" customHeight="1" x14ac:dyDescent="0.25">
      <c r="C608" s="39">
        <v>1515</v>
      </c>
      <c r="D608" s="28">
        <f>IFERROR(VLOOKUP($C608,Tabla_Documentos[],2,FALSE),"")</f>
        <v>45932</v>
      </c>
      <c r="E608" s="34" t="str">
        <f>IFERROR(VLOOKUP($C608,Tabla_Documentos[],3,FALSE),"")</f>
        <v>77563372-7</v>
      </c>
      <c r="F608" s="35" t="str">
        <f>IFERROR(VLOOKUP($C608,Tabla_Documentos[],4,FALSE),"")</f>
        <v>TRANSMART SPA</v>
      </c>
      <c r="G608" s="38">
        <f>IFERROR(VLOOKUP($C608,Tabla_Documentos[],5,FALSE),"")</f>
        <v>240000</v>
      </c>
      <c r="H608" s="29" t="str">
        <f>IFERROR(VLOOKUP($C608,Tabla_Documentos[],6,FALSE),"")</f>
        <v>PUBLICIDAD</v>
      </c>
      <c r="I608" s="38">
        <f>IFERROR(VLOOKUP($C608,Tabla_Documentos[],5,FALSE),"")</f>
        <v>240000</v>
      </c>
      <c r="J608" s="25">
        <v>45932</v>
      </c>
    </row>
    <row r="609" spans="3:10" ht="21" customHeight="1" x14ac:dyDescent="0.25">
      <c r="C609" s="39">
        <v>1516</v>
      </c>
      <c r="D609" s="28">
        <f>IFERROR(VLOOKUP($C609,Tabla_Documentos[],2,FALSE),"")</f>
        <v>45933</v>
      </c>
      <c r="E609" s="34" t="str">
        <f>IFERROR(VLOOKUP($C609,Tabla_Documentos[],3,FALSE),"")</f>
        <v>77490067-5</v>
      </c>
      <c r="F609" s="35" t="str">
        <f>IFERROR(VLOOKUP($C609,Tabla_Documentos[],4,FALSE),"")</f>
        <v>INTEGRAL SPA</v>
      </c>
      <c r="G609" s="38">
        <f>IFERROR(VLOOKUP($C609,Tabla_Documentos[],5,FALSE),"")</f>
        <v>20000</v>
      </c>
      <c r="H609" s="29" t="str">
        <f>IFERROR(VLOOKUP($C609,Tabla_Documentos[],6,FALSE),"")</f>
        <v>PUBLICIDAD</v>
      </c>
      <c r="I609" s="38">
        <f>IFERROR(VLOOKUP($C609,Tabla_Documentos[],5,FALSE),"")</f>
        <v>20000</v>
      </c>
      <c r="J609" s="25">
        <v>45933</v>
      </c>
    </row>
    <row r="610" spans="3:10" ht="21" customHeight="1" x14ac:dyDescent="0.25">
      <c r="C610" s="39">
        <v>1517</v>
      </c>
      <c r="D610" s="28">
        <f>IFERROR(VLOOKUP($C610,Tabla_Documentos[],2,FALSE),"")</f>
        <v>45936</v>
      </c>
      <c r="E610" s="34" t="str">
        <f>IFERROR(VLOOKUP($C610,Tabla_Documentos[],3,FALSE),"")</f>
        <v>76377750-2</v>
      </c>
      <c r="F610" s="35" t="str">
        <f>IFERROR(VLOOKUP($C610,Tabla_Documentos[],4,FALSE),"")</f>
        <v>ANDES ANALYTICAL ASSAY SPA</v>
      </c>
      <c r="G610" s="38">
        <f>IFERROR(VLOOKUP($C610,Tabla_Documentos[],5,FALSE),"")</f>
        <v>47600</v>
      </c>
      <c r="H610" s="29" t="str">
        <f>IFERROR(VLOOKUP($C610,Tabla_Documentos[],6,FALSE),"")</f>
        <v>PUBLICIDAD</v>
      </c>
      <c r="I610" s="38">
        <f>IFERROR(VLOOKUP($C610,Tabla_Documentos[],5,FALSE),"")</f>
        <v>47600</v>
      </c>
      <c r="J610" s="25">
        <v>45936</v>
      </c>
    </row>
    <row r="611" spans="3:10" ht="21" customHeight="1" x14ac:dyDescent="0.25">
      <c r="C611" s="39">
        <v>1518</v>
      </c>
      <c r="D611" s="28">
        <f>IFERROR(VLOOKUP($C611,Tabla_Documentos[],2,FALSE),"")</f>
        <v>45936</v>
      </c>
      <c r="E611" s="34" t="str">
        <f>IFERROR(VLOOKUP($C611,Tabla_Documentos[],3,FALSE),"")</f>
        <v>76346498-9</v>
      </c>
      <c r="F611" s="35" t="str">
        <f>IFERROR(VLOOKUP($C611,Tabla_Documentos[],4,FALSE),"")</f>
        <v>CONSTRUCTORA CARLOS ALBERTO ANDRES ALBISTUR REYES E.I.R.L.</v>
      </c>
      <c r="G611" s="38">
        <f>IFERROR(VLOOKUP($C611,Tabla_Documentos[],5,FALSE),"")</f>
        <v>39270</v>
      </c>
      <c r="H611" s="29" t="str">
        <f>IFERROR(VLOOKUP($C611,Tabla_Documentos[],6,FALSE),"")</f>
        <v>PUBLICIDAD</v>
      </c>
      <c r="I611" s="38">
        <f>IFERROR(VLOOKUP($C611,Tabla_Documentos[],5,FALSE),"")</f>
        <v>39270</v>
      </c>
      <c r="J611" s="25">
        <v>45978</v>
      </c>
    </row>
    <row r="612" spans="3:10" ht="21" customHeight="1" x14ac:dyDescent="0.25">
      <c r="C612" s="39">
        <v>1519</v>
      </c>
      <c r="D612" s="28">
        <f>IFERROR(VLOOKUP($C612,Tabla_Documentos[],2,FALSE),"")</f>
        <v>45937</v>
      </c>
      <c r="E612" s="34" t="str">
        <f>IFERROR(VLOOKUP($C612,Tabla_Documentos[],3,FALSE),"")</f>
        <v>84060600-7</v>
      </c>
      <c r="F612" s="35" t="str">
        <f>IFERROR(VLOOKUP($C612,Tabla_Documentos[],4,FALSE),"")</f>
        <v>CONSTRUCTORA DE PAVIMENTOS ASFALTICOS BITUMIX S.A</v>
      </c>
      <c r="G612" s="38">
        <f>IFERROR(VLOOKUP($C612,Tabla_Documentos[],5,FALSE),"")</f>
        <v>224910</v>
      </c>
      <c r="H612" s="29" t="str">
        <f>IFERROR(VLOOKUP($C612,Tabla_Documentos[],6,FALSE),"")</f>
        <v>PUBLICIDAD</v>
      </c>
      <c r="I612" s="38">
        <f>IFERROR(VLOOKUP($C612,Tabla_Documentos[],5,FALSE),"")</f>
        <v>224910</v>
      </c>
      <c r="J612" s="25">
        <v>45975</v>
      </c>
    </row>
    <row r="613" spans="3:10" ht="21" customHeight="1" x14ac:dyDescent="0.25">
      <c r="C613" s="39">
        <v>1520</v>
      </c>
      <c r="D613" s="28">
        <f>IFERROR(VLOOKUP($C613,Tabla_Documentos[],2,FALSE),"")</f>
        <v>45937</v>
      </c>
      <c r="E613" s="34" t="str">
        <f>IFERROR(VLOOKUP($C613,Tabla_Documentos[],3,FALSE),"")</f>
        <v>84060600-7</v>
      </c>
      <c r="F613" s="35" t="str">
        <f>IFERROR(VLOOKUP($C613,Tabla_Documentos[],4,FALSE),"")</f>
        <v>CONSTRUCTORA DE PAVIMENTOS ASFALTICOS BITUMIX S.A</v>
      </c>
      <c r="G613" s="38">
        <f>IFERROR(VLOOKUP($C613,Tabla_Documentos[],5,FALSE),"")</f>
        <v>150535</v>
      </c>
      <c r="H613" s="29" t="str">
        <f>IFERROR(VLOOKUP($C613,Tabla_Documentos[],6,FALSE),"")</f>
        <v>PUBLICIDAD</v>
      </c>
      <c r="I613" s="38">
        <f>IFERROR(VLOOKUP($C613,Tabla_Documentos[],5,FALSE),"")</f>
        <v>150535</v>
      </c>
      <c r="J613" s="25">
        <v>45975</v>
      </c>
    </row>
    <row r="614" spans="3:10" ht="21" customHeight="1" x14ac:dyDescent="0.25">
      <c r="C614" s="39">
        <v>1521</v>
      </c>
      <c r="D614" s="28">
        <f>IFERROR(VLOOKUP($C614,Tabla_Documentos[],2,FALSE),"")</f>
        <v>45937</v>
      </c>
      <c r="E614" s="34" t="str">
        <f>IFERROR(VLOOKUP($C614,Tabla_Documentos[],3,FALSE),"")</f>
        <v>76646820-9</v>
      </c>
      <c r="F614" s="35" t="str">
        <f>IFERROR(VLOOKUP($C614,Tabla_Documentos[],4,FALSE),"")</f>
        <v>SERVICIOS,TRANSPORTE Y ARRIENDO DE MAQUINARIAS LIMITADA</v>
      </c>
      <c r="G614" s="38">
        <f>IFERROR(VLOOKUP($C614,Tabla_Documentos[],5,FALSE),"")</f>
        <v>190400</v>
      </c>
      <c r="H614" s="29" t="str">
        <f>IFERROR(VLOOKUP($C614,Tabla_Documentos[],6,FALSE),"")</f>
        <v>PUBLICIDAD</v>
      </c>
      <c r="I614" s="38">
        <f>IFERROR(VLOOKUP($C614,Tabla_Documentos[],5,FALSE),"")</f>
        <v>190400</v>
      </c>
      <c r="J614" s="25">
        <v>45937</v>
      </c>
    </row>
    <row r="615" spans="3:10" ht="21" customHeight="1" x14ac:dyDescent="0.25">
      <c r="C615" s="39">
        <v>1522</v>
      </c>
      <c r="D615" s="28">
        <f>IFERROR(VLOOKUP($C615,Tabla_Documentos[],2,FALSE),"")</f>
        <v>45938</v>
      </c>
      <c r="E615" s="34" t="str">
        <f>IFERROR(VLOOKUP($C615,Tabla_Documentos[],3,FALSE),"")</f>
        <v>77208815-9</v>
      </c>
      <c r="F615" s="35" t="str">
        <f>IFERROR(VLOOKUP($C615,Tabla_Documentos[],4,FALSE),"")</f>
        <v>FARMATERRA SPA</v>
      </c>
      <c r="G615" s="38">
        <f>IFERROR(VLOOKUP($C615,Tabla_Documentos[],5,FALSE),"")</f>
        <v>249900</v>
      </c>
      <c r="H615" s="29" t="str">
        <f>IFERROR(VLOOKUP($C615,Tabla_Documentos[],6,FALSE),"")</f>
        <v>PUBLICIDAD</v>
      </c>
      <c r="I615" s="38">
        <f>IFERROR(VLOOKUP($C615,Tabla_Documentos[],5,FALSE),"")</f>
        <v>249900</v>
      </c>
      <c r="J615" s="25">
        <v>45938</v>
      </c>
    </row>
    <row r="616" spans="3:10" ht="21" customHeight="1" x14ac:dyDescent="0.25">
      <c r="C616" s="39">
        <v>1523</v>
      </c>
      <c r="D616" s="28">
        <f>IFERROR(VLOOKUP($C616,Tabla_Documentos[],2,FALSE),"")</f>
        <v>45939</v>
      </c>
      <c r="E616" s="34" t="str">
        <f>IFERROR(VLOOKUP($C616,Tabla_Documentos[],3,FALSE),"")</f>
        <v>78018625-9</v>
      </c>
      <c r="F616" s="35" t="str">
        <f>IFERROR(VLOOKUP($C616,Tabla_Documentos[],4,FALSE),"")</f>
        <v>LIDERA AGENCIA DE MARKETING SPA</v>
      </c>
      <c r="G616" s="38">
        <f>IFERROR(VLOOKUP($C616,Tabla_Documentos[],5,FALSE),"")</f>
        <v>69999</v>
      </c>
      <c r="H616" s="29" t="str">
        <f>IFERROR(VLOOKUP($C616,Tabla_Documentos[],6,FALSE),"")</f>
        <v>PUBLICIDAD</v>
      </c>
      <c r="I616" s="38">
        <f>IFERROR(VLOOKUP($C616,Tabla_Documentos[],5,FALSE),"")</f>
        <v>69999</v>
      </c>
      <c r="J616" s="25">
        <v>45939</v>
      </c>
    </row>
    <row r="617" spans="3:10" ht="21" customHeight="1" x14ac:dyDescent="0.25">
      <c r="C617" s="39">
        <v>1524</v>
      </c>
      <c r="D617" s="28">
        <f>IFERROR(VLOOKUP($C617,Tabla_Documentos[],2,FALSE),"")</f>
        <v>45939</v>
      </c>
      <c r="E617" s="34" t="str">
        <f>IFERROR(VLOOKUP($C617,Tabla_Documentos[],3,FALSE),"")</f>
        <v>9051431-8</v>
      </c>
      <c r="F617" s="35" t="str">
        <f>IFERROR(VLOOKUP($C617,Tabla_Documentos[],4,FALSE),"")</f>
        <v>RAMON ANGEL RIQUELME OLIVARES</v>
      </c>
      <c r="G617" s="38">
        <f>IFERROR(VLOOKUP($C617,Tabla_Documentos[],5,FALSE),"")</f>
        <v>142800</v>
      </c>
      <c r="H617" s="29" t="str">
        <f>IFERROR(VLOOKUP($C617,Tabla_Documentos[],6,FALSE),"")</f>
        <v>PUBLICIDAD</v>
      </c>
      <c r="I617" s="38">
        <f>IFERROR(VLOOKUP($C617,Tabla_Documentos[],5,FALSE),"")</f>
        <v>142800</v>
      </c>
      <c r="J617" s="25">
        <v>45939</v>
      </c>
    </row>
    <row r="618" spans="3:10" ht="21" customHeight="1" x14ac:dyDescent="0.25">
      <c r="C618" s="39">
        <v>1525</v>
      </c>
      <c r="D618" s="28">
        <f>IFERROR(VLOOKUP($C618,Tabla_Documentos[],2,FALSE),"")</f>
        <v>45940</v>
      </c>
      <c r="E618" s="34" t="str">
        <f>IFERROR(VLOOKUP($C618,Tabla_Documentos[],3,FALSE),"")</f>
        <v>78172191-3</v>
      </c>
      <c r="F618" s="35" t="str">
        <f>IFERROR(VLOOKUP($C618,Tabla_Documentos[],4,FALSE),"")</f>
        <v>RIVERA COMPANY SPA</v>
      </c>
      <c r="G618" s="38">
        <f>IFERROR(VLOOKUP($C618,Tabla_Documentos[],5,FALSE),"")</f>
        <v>84999</v>
      </c>
      <c r="H618" s="29" t="str">
        <f>IFERROR(VLOOKUP($C618,Tabla_Documentos[],6,FALSE),"")</f>
        <v>PUBLICIDAD</v>
      </c>
      <c r="I618" s="38">
        <f>IFERROR(VLOOKUP($C618,Tabla_Documentos[],5,FALSE),"")</f>
        <v>84999</v>
      </c>
      <c r="J618" s="25">
        <v>45940</v>
      </c>
    </row>
    <row r="619" spans="3:10" ht="21" customHeight="1" x14ac:dyDescent="0.25">
      <c r="C619" s="39">
        <v>1526</v>
      </c>
      <c r="D619" s="28">
        <f>IFERROR(VLOOKUP($C619,Tabla_Documentos[],2,FALSE),"")</f>
        <v>45940</v>
      </c>
      <c r="E619" s="34" t="str">
        <f>IFERROR(VLOOKUP($C619,Tabla_Documentos[],3,FALSE),"")</f>
        <v>76646820-9</v>
      </c>
      <c r="F619" s="35" t="str">
        <f>IFERROR(VLOOKUP($C619,Tabla_Documentos[],4,FALSE),"")</f>
        <v>SERVICIOS,TRANSPORTE Y ARRIENDO DE MAQUINARIAS LIMITADA</v>
      </c>
      <c r="G619" s="38">
        <f>IFERROR(VLOOKUP($C619,Tabla_Documentos[],5,FALSE),"")</f>
        <v>190400</v>
      </c>
      <c r="H619" s="29" t="str">
        <f>IFERROR(VLOOKUP($C619,Tabla_Documentos[],6,FALSE),"")</f>
        <v>PUBLICIDAD</v>
      </c>
      <c r="I619" s="38">
        <f>IFERROR(VLOOKUP($C619,Tabla_Documentos[],5,FALSE),"")</f>
        <v>190400</v>
      </c>
      <c r="J619" s="25">
        <v>45940</v>
      </c>
    </row>
    <row r="620" spans="3:10" ht="21" customHeight="1" x14ac:dyDescent="0.25">
      <c r="C620" s="39">
        <v>1527</v>
      </c>
      <c r="D620" s="28">
        <f>IFERROR(VLOOKUP($C620,Tabla_Documentos[],2,FALSE),"")</f>
        <v>45941</v>
      </c>
      <c r="E620" s="34" t="str">
        <f>IFERROR(VLOOKUP($C620,Tabla_Documentos[],3,FALSE),"")</f>
        <v>76478810-9</v>
      </c>
      <c r="F620" s="35" t="str">
        <f>IFERROR(VLOOKUP($C620,Tabla_Documentos[],4,FALSE),"")</f>
        <v>MER INFRAESTRUCTURA CHILE S.A.</v>
      </c>
      <c r="G620" s="38">
        <f>IFERROR(VLOOKUP($C620,Tabla_Documentos[],5,FALSE),"")</f>
        <v>71400</v>
      </c>
      <c r="H620" s="29" t="str">
        <f>IFERROR(VLOOKUP($C620,Tabla_Documentos[],6,FALSE),"")</f>
        <v>PUBLICIDAD</v>
      </c>
      <c r="I620" s="38">
        <f>IFERROR(VLOOKUP($C620,Tabla_Documentos[],5,FALSE),"")</f>
        <v>71400</v>
      </c>
      <c r="J620" s="25">
        <v>45941</v>
      </c>
    </row>
    <row r="621" spans="3:10" ht="21" customHeight="1" x14ac:dyDescent="0.25">
      <c r="C621" s="39">
        <v>1528</v>
      </c>
      <c r="D621" s="28">
        <f>IFERROR(VLOOKUP($C621,Tabla_Documentos[],2,FALSE),"")</f>
        <v>45943</v>
      </c>
      <c r="E621" s="34" t="str">
        <f>IFERROR(VLOOKUP($C621,Tabla_Documentos[],3,FALSE),"")</f>
        <v>77855920-K</v>
      </c>
      <c r="F621" s="35" t="str">
        <f>IFERROR(VLOOKUP($C621,Tabla_Documentos[],4,FALSE),"")</f>
        <v>SOC NICOLAS GEYWITZ Y COMPANIA LIMITADA</v>
      </c>
      <c r="G621" s="38">
        <f>IFERROR(VLOOKUP($C621,Tabla_Documentos[],5,FALSE),"")</f>
        <v>226100</v>
      </c>
      <c r="H621" s="29" t="str">
        <f>IFERROR(VLOOKUP($C621,Tabla_Documentos[],6,FALSE),"")</f>
        <v>PUBLICIDAD</v>
      </c>
      <c r="I621" s="38">
        <f>IFERROR(VLOOKUP($C621,Tabla_Documentos[],5,FALSE),"")</f>
        <v>226100</v>
      </c>
      <c r="J621" s="25">
        <v>45943</v>
      </c>
    </row>
    <row r="622" spans="3:10" ht="21" customHeight="1" x14ac:dyDescent="0.25">
      <c r="C622" s="39">
        <v>1529</v>
      </c>
      <c r="D622" s="28">
        <f>IFERROR(VLOOKUP($C622,Tabla_Documentos[],2,FALSE),"")</f>
        <v>45943</v>
      </c>
      <c r="E622" s="34" t="str">
        <f>IFERROR(VLOOKUP($C622,Tabla_Documentos[],3,FALSE),"")</f>
        <v>77841885-1</v>
      </c>
      <c r="F622" s="35" t="str">
        <f>IFERROR(VLOOKUP($C622,Tabla_Documentos[],4,FALSE),"")</f>
        <v>TRANSPORTES TOLECAR SPA</v>
      </c>
      <c r="G622" s="38">
        <f>IFERROR(VLOOKUP($C622,Tabla_Documentos[],5,FALSE),"")</f>
        <v>53550</v>
      </c>
      <c r="H622" s="29" t="str">
        <f>IFERROR(VLOOKUP($C622,Tabla_Documentos[],6,FALSE),"")</f>
        <v>PUBLICIDAD</v>
      </c>
      <c r="I622" s="38">
        <f>IFERROR(VLOOKUP($C622,Tabla_Documentos[],5,FALSE),"")</f>
        <v>53550</v>
      </c>
      <c r="J622" s="25">
        <v>45943</v>
      </c>
    </row>
    <row r="623" spans="3:10" ht="21" customHeight="1" x14ac:dyDescent="0.25">
      <c r="C623" s="39">
        <v>1530</v>
      </c>
      <c r="D623" s="28">
        <f>IFERROR(VLOOKUP($C623,Tabla_Documentos[],2,FALSE),"")</f>
        <v>45943</v>
      </c>
      <c r="E623" s="34" t="str">
        <f>IFERROR(VLOOKUP($C623,Tabla_Documentos[],3,FALSE),"")</f>
        <v>77062894-6</v>
      </c>
      <c r="F623" s="35" t="str">
        <f>IFERROR(VLOOKUP($C623,Tabla_Documentos[],4,FALSE),"")</f>
        <v>MENDOZA CAZ  SPA</v>
      </c>
      <c r="G623" s="38">
        <f>IFERROR(VLOOKUP($C623,Tabla_Documentos[],5,FALSE),"")</f>
        <v>178500</v>
      </c>
      <c r="H623" s="29" t="str">
        <f>IFERROR(VLOOKUP($C623,Tabla_Documentos[],6,FALSE),"")</f>
        <v>PUBLICIDAD</v>
      </c>
      <c r="I623" s="38">
        <f>IFERROR(VLOOKUP($C623,Tabla_Documentos[],5,FALSE),"")</f>
        <v>178500</v>
      </c>
      <c r="J623" s="25">
        <v>45943</v>
      </c>
    </row>
    <row r="624" spans="3:10" ht="21" customHeight="1" x14ac:dyDescent="0.25">
      <c r="C624" s="39">
        <v>1531</v>
      </c>
      <c r="D624" s="28">
        <f>IFERROR(VLOOKUP($C624,Tabla_Documentos[],2,FALSE),"")</f>
        <v>45943</v>
      </c>
      <c r="E624" s="34" t="str">
        <f>IFERROR(VLOOKUP($C624,Tabla_Documentos[],3,FALSE),"")</f>
        <v>76548223-2</v>
      </c>
      <c r="F624" s="35" t="str">
        <f>IFERROR(VLOOKUP($C624,Tabla_Documentos[],4,FALSE),"")</f>
        <v>INGEGROUP INGENIERIA  SPA</v>
      </c>
      <c r="G624" s="38">
        <f>IFERROR(VLOOKUP($C624,Tabla_Documentos[],5,FALSE),"")</f>
        <v>47600</v>
      </c>
      <c r="H624" s="29" t="str">
        <f>IFERROR(VLOOKUP($C624,Tabla_Documentos[],6,FALSE),"")</f>
        <v>PUBLICIDAD</v>
      </c>
      <c r="I624" s="38">
        <f>IFERROR(VLOOKUP($C624,Tabla_Documentos[],5,FALSE),"")</f>
        <v>47600</v>
      </c>
      <c r="J624" s="25">
        <v>45943</v>
      </c>
    </row>
    <row r="625" spans="3:10" ht="21" customHeight="1" x14ac:dyDescent="0.25">
      <c r="C625" s="39">
        <v>1532</v>
      </c>
      <c r="D625" s="28">
        <f>IFERROR(VLOOKUP($C625,Tabla_Documentos[],2,FALSE),"")</f>
        <v>45943</v>
      </c>
      <c r="E625" s="34" t="str">
        <f>IFERROR(VLOOKUP($C625,Tabla_Documentos[],3,FALSE),"")</f>
        <v>76478810-9</v>
      </c>
      <c r="F625" s="35" t="str">
        <f>IFERROR(VLOOKUP($C625,Tabla_Documentos[],4,FALSE),"")</f>
        <v>MER INFRAESTRUCTURA CHILE S.A.</v>
      </c>
      <c r="G625" s="38">
        <f>IFERROR(VLOOKUP($C625,Tabla_Documentos[],5,FALSE),"")</f>
        <v>71400</v>
      </c>
      <c r="H625" s="29" t="str">
        <f>IFERROR(VLOOKUP($C625,Tabla_Documentos[],6,FALSE),"")</f>
        <v>PUBLICIDAD</v>
      </c>
      <c r="I625" s="38">
        <f>IFERROR(VLOOKUP($C625,Tabla_Documentos[],5,FALSE),"")</f>
        <v>71400</v>
      </c>
      <c r="J625" s="25">
        <v>45943</v>
      </c>
    </row>
    <row r="626" spans="3:10" ht="21" customHeight="1" x14ac:dyDescent="0.25">
      <c r="C626" s="39">
        <v>1533</v>
      </c>
      <c r="D626" s="28">
        <f>IFERROR(VLOOKUP($C626,Tabla_Documentos[],2,FALSE),"")</f>
        <v>45944</v>
      </c>
      <c r="E626" s="34" t="str">
        <f>IFERROR(VLOOKUP($C626,Tabla_Documentos[],3,FALSE),"")</f>
        <v>69030200-4</v>
      </c>
      <c r="F626" s="35" t="str">
        <f>IFERROR(VLOOKUP($C626,Tabla_Documentos[],4,FALSE),"")</f>
        <v>I MUNICIPALIDAD DE COPIAPO</v>
      </c>
      <c r="G626" s="38">
        <f>IFERROR(VLOOKUP($C626,Tabla_Documentos[],5,FALSE),"")</f>
        <v>1666000</v>
      </c>
      <c r="H626" s="29" t="str">
        <f>IFERROR(VLOOKUP($C626,Tabla_Documentos[],6,FALSE),"")</f>
        <v>PUBLICIDAD</v>
      </c>
      <c r="I626" s="38">
        <f>IFERROR(VLOOKUP($C626,Tabla_Documentos[],5,FALSE),"")</f>
        <v>1666000</v>
      </c>
      <c r="J626" s="25">
        <v>45944</v>
      </c>
    </row>
    <row r="627" spans="3:10" ht="21" customHeight="1" x14ac:dyDescent="0.25">
      <c r="C627" s="39">
        <v>1534</v>
      </c>
      <c r="D627" s="28">
        <f>IFERROR(VLOOKUP($C627,Tabla_Documentos[],2,FALSE),"")</f>
        <v>45944</v>
      </c>
      <c r="E627" s="34" t="str">
        <f>IFERROR(VLOOKUP($C627,Tabla_Documentos[],3,FALSE),"")</f>
        <v>78193252-3</v>
      </c>
      <c r="F627" s="35" t="str">
        <f>IFERROR(VLOOKUP($C627,Tabla_Documentos[],4,FALSE),"")</f>
        <v>LAVADO DE VEHÃCULOS RICHARDS MICHAEL VILLALOBOS ROJAS E.I.R.L.</v>
      </c>
      <c r="G627" s="38">
        <f>IFERROR(VLOOKUP($C627,Tabla_Documentos[],5,FALSE),"")</f>
        <v>148750</v>
      </c>
      <c r="H627" s="29" t="str">
        <f>IFERROR(VLOOKUP($C627,Tabla_Documentos[],6,FALSE),"")</f>
        <v>PUBLICIDAD</v>
      </c>
      <c r="I627" s="38">
        <f>IFERROR(VLOOKUP($C627,Tabla_Documentos[],5,FALSE),"")</f>
        <v>148750</v>
      </c>
      <c r="J627" s="25">
        <v>45944</v>
      </c>
    </row>
    <row r="628" spans="3:10" ht="21" customHeight="1" x14ac:dyDescent="0.25">
      <c r="C628" s="39">
        <v>1535</v>
      </c>
      <c r="D628" s="28">
        <f>IFERROR(VLOOKUP($C628,Tabla_Documentos[],2,FALSE),"")</f>
        <v>45945</v>
      </c>
      <c r="E628" s="34" t="str">
        <f>IFERROR(VLOOKUP($C628,Tabla_Documentos[],3,FALSE),"")</f>
        <v>76336122-5</v>
      </c>
      <c r="F628" s="35" t="str">
        <f>IFERROR(VLOOKUP($C628,Tabla_Documentos[],4,FALSE),"")</f>
        <v>INGENIERIA Y SERVICIOS TERRACOP SPA</v>
      </c>
      <c r="G628" s="38">
        <f>IFERROR(VLOOKUP($C628,Tabla_Documentos[],5,FALSE),"")</f>
        <v>71400</v>
      </c>
      <c r="H628" s="29" t="str">
        <f>IFERROR(VLOOKUP($C628,Tabla_Documentos[],6,FALSE),"")</f>
        <v>PUBLICIDAD</v>
      </c>
      <c r="I628" s="38">
        <f>IFERROR(VLOOKUP($C628,Tabla_Documentos[],5,FALSE),"")</f>
        <v>71400</v>
      </c>
      <c r="J628" s="25">
        <v>45945</v>
      </c>
    </row>
    <row r="629" spans="3:10" ht="21" customHeight="1" x14ac:dyDescent="0.25">
      <c r="C629" s="39">
        <v>1536</v>
      </c>
      <c r="D629" s="28">
        <f>IFERROR(VLOOKUP($C629,Tabla_Documentos[],2,FALSE),"")</f>
        <v>45945</v>
      </c>
      <c r="E629" s="34" t="str">
        <f>IFERROR(VLOOKUP($C629,Tabla_Documentos[],3,FALSE),"")</f>
        <v>76272239-9</v>
      </c>
      <c r="F629" s="35" t="str">
        <f>IFERROR(VLOOKUP($C629,Tabla_Documentos[],4,FALSE),"")</f>
        <v>INSTITUTO INTEGRAL DE SALUD OCUPACIONAL SPA</v>
      </c>
      <c r="G629" s="38">
        <f>IFERROR(VLOOKUP($C629,Tabla_Documentos[],5,FALSE),"")</f>
        <v>853230</v>
      </c>
      <c r="H629" s="29" t="str">
        <f>IFERROR(VLOOKUP($C629,Tabla_Documentos[],6,FALSE),"")</f>
        <v>PUBLICIDAD</v>
      </c>
      <c r="I629" s="38">
        <f>IFERROR(VLOOKUP($C629,Tabla_Documentos[],5,FALSE),"")</f>
        <v>853230</v>
      </c>
      <c r="J629" s="25">
        <v>45960</v>
      </c>
    </row>
    <row r="630" spans="3:10" ht="21" customHeight="1" x14ac:dyDescent="0.25">
      <c r="C630" s="39">
        <v>1537</v>
      </c>
      <c r="D630" s="28">
        <f>IFERROR(VLOOKUP($C630,Tabla_Documentos[],2,FALSE),"")</f>
        <v>45945</v>
      </c>
      <c r="E630" s="34" t="str">
        <f>IFERROR(VLOOKUP($C630,Tabla_Documentos[],3,FALSE),"")</f>
        <v>77208603-2</v>
      </c>
      <c r="F630" s="35" t="str">
        <f>IFERROR(VLOOKUP($C630,Tabla_Documentos[],4,FALSE),"")</f>
        <v>SERVICIOS SAN LUIS SPA</v>
      </c>
      <c r="G630" s="38">
        <f>IFERROR(VLOOKUP($C630,Tabla_Documentos[],5,FALSE),"")</f>
        <v>214200</v>
      </c>
      <c r="H630" s="29" t="str">
        <f>IFERROR(VLOOKUP($C630,Tabla_Documentos[],6,FALSE),"")</f>
        <v>PUBLICIDAD</v>
      </c>
      <c r="I630" s="38">
        <f>IFERROR(VLOOKUP($C630,Tabla_Documentos[],5,FALSE),"")</f>
        <v>214200</v>
      </c>
      <c r="J630" s="25">
        <v>45945</v>
      </c>
    </row>
    <row r="631" spans="3:10" ht="21" customHeight="1" x14ac:dyDescent="0.25">
      <c r="C631" s="39">
        <v>1538</v>
      </c>
      <c r="D631" s="28">
        <f>IFERROR(VLOOKUP($C631,Tabla_Documentos[],2,FALSE),"")</f>
        <v>45945</v>
      </c>
      <c r="E631" s="34" t="str">
        <f>IFERROR(VLOOKUP($C631,Tabla_Documentos[],3,FALSE),"")</f>
        <v>77432213-2</v>
      </c>
      <c r="F631" s="35" t="str">
        <f>IFERROR(VLOOKUP($C631,Tabla_Documentos[],4,FALSE),"")</f>
        <v>NAVARRO Y AVALOS SPA</v>
      </c>
      <c r="G631" s="38">
        <f>IFERROR(VLOOKUP($C631,Tabla_Documentos[],5,FALSE),"")</f>
        <v>464100</v>
      </c>
      <c r="H631" s="29" t="str">
        <f>IFERROR(VLOOKUP($C631,Tabla_Documentos[],6,FALSE),"")</f>
        <v>PUBLICIDAD</v>
      </c>
      <c r="I631" s="38">
        <f>IFERROR(VLOOKUP($C631,Tabla_Documentos[],5,FALSE),"")</f>
        <v>464100</v>
      </c>
      <c r="J631" s="25">
        <v>45945</v>
      </c>
    </row>
    <row r="632" spans="3:10" ht="21" customHeight="1" x14ac:dyDescent="0.25">
      <c r="C632" s="39">
        <v>1539</v>
      </c>
      <c r="D632" s="28">
        <f>IFERROR(VLOOKUP($C632,Tabla_Documentos[],2,FALSE),"")</f>
        <v>45945</v>
      </c>
      <c r="E632" s="34" t="str">
        <f>IFERROR(VLOOKUP($C632,Tabla_Documentos[],3,FALSE),"")</f>
        <v>77520219-K</v>
      </c>
      <c r="F632" s="35" t="str">
        <f>IFERROR(VLOOKUP($C632,Tabla_Documentos[],4,FALSE),"")</f>
        <v>AILUV SPA</v>
      </c>
      <c r="G632" s="38">
        <f>IFERROR(VLOOKUP($C632,Tabla_Documentos[],5,FALSE),"")</f>
        <v>182500</v>
      </c>
      <c r="H632" s="29" t="str">
        <f>IFERROR(VLOOKUP($C632,Tabla_Documentos[],6,FALSE),"")</f>
        <v>PUBLICIDAD</v>
      </c>
      <c r="I632" s="38">
        <f>IFERROR(VLOOKUP($C632,Tabla_Documentos[],5,FALSE),"")</f>
        <v>182500</v>
      </c>
      <c r="J632" s="25">
        <v>45945</v>
      </c>
    </row>
    <row r="633" spans="3:10" ht="21" customHeight="1" x14ac:dyDescent="0.25">
      <c r="C633" s="39">
        <v>1540</v>
      </c>
      <c r="D633" s="28">
        <f>IFERROR(VLOOKUP($C633,Tabla_Documentos[],2,FALSE),"")</f>
        <v>45946</v>
      </c>
      <c r="E633" s="34" t="str">
        <f>IFERROR(VLOOKUP($C633,Tabla_Documentos[],3,FALSE),"")</f>
        <v>77622962-8</v>
      </c>
      <c r="F633" s="35" t="str">
        <f>IFERROR(VLOOKUP($C633,Tabla_Documentos[],4,FALSE),"")</f>
        <v>INSTROTEC SERVICIOS  SPA</v>
      </c>
      <c r="G633" s="38">
        <f>IFERROR(VLOOKUP($C633,Tabla_Documentos[],5,FALSE),"")</f>
        <v>333200</v>
      </c>
      <c r="H633" s="29" t="str">
        <f>IFERROR(VLOOKUP($C633,Tabla_Documentos[],6,FALSE),"")</f>
        <v>PUBLICIDAD</v>
      </c>
      <c r="I633" s="38">
        <f>IFERROR(VLOOKUP($C633,Tabla_Documentos[],5,FALSE),"")</f>
        <v>333200</v>
      </c>
      <c r="J633" s="25">
        <v>45946</v>
      </c>
    </row>
    <row r="634" spans="3:10" ht="21" customHeight="1" x14ac:dyDescent="0.25">
      <c r="C634" s="39">
        <v>1541</v>
      </c>
      <c r="D634" s="28">
        <f>IFERROR(VLOOKUP($C634,Tabla_Documentos[],2,FALSE),"")</f>
        <v>45946</v>
      </c>
      <c r="E634" s="34" t="str">
        <f>IFERROR(VLOOKUP($C634,Tabla_Documentos[],3,FALSE),"")</f>
        <v>77029848-2</v>
      </c>
      <c r="F634" s="35" t="str">
        <f>IFERROR(VLOOKUP($C634,Tabla_Documentos[],4,FALSE),"")</f>
        <v>PEDRO ALBERTO GALLO CEBALLOS TELECOMUNICACIONES E.I.R.L.</v>
      </c>
      <c r="G634" s="38">
        <f>IFERROR(VLOOKUP($C634,Tabla_Documentos[],5,FALSE),"")</f>
        <v>59500</v>
      </c>
      <c r="H634" s="29" t="str">
        <f>IFERROR(VLOOKUP($C634,Tabla_Documentos[],6,FALSE),"")</f>
        <v>PUBLICIDAD</v>
      </c>
      <c r="I634" s="38">
        <f>IFERROR(VLOOKUP($C634,Tabla_Documentos[],5,FALSE),"")</f>
        <v>59500</v>
      </c>
      <c r="J634" s="25">
        <v>45946</v>
      </c>
    </row>
    <row r="635" spans="3:10" ht="21" customHeight="1" x14ac:dyDescent="0.25">
      <c r="C635" s="39">
        <v>1542</v>
      </c>
      <c r="D635" s="28">
        <f>IFERROR(VLOOKUP($C635,Tabla_Documentos[],2,FALSE),"")</f>
        <v>45946</v>
      </c>
      <c r="E635" s="34" t="str">
        <f>IFERROR(VLOOKUP($C635,Tabla_Documentos[],3,FALSE),"")</f>
        <v>78088831-8</v>
      </c>
      <c r="F635" s="35" t="str">
        <f>IFERROR(VLOOKUP($C635,Tabla_Documentos[],4,FALSE),"")</f>
        <v>TRANSPORTES ZULEMA MANCILLA CARDOZO E.I.R.L.</v>
      </c>
      <c r="G635" s="38">
        <f>IFERROR(VLOOKUP($C635,Tabla_Documentos[],5,FALSE),"")</f>
        <v>333200</v>
      </c>
      <c r="H635" s="29" t="str">
        <f>IFERROR(VLOOKUP($C635,Tabla_Documentos[],6,FALSE),"")</f>
        <v>PUBLICIDAD</v>
      </c>
      <c r="I635" s="38">
        <f>IFERROR(VLOOKUP($C635,Tabla_Documentos[],5,FALSE),"")</f>
        <v>333200</v>
      </c>
      <c r="J635" s="25">
        <v>45946</v>
      </c>
    </row>
    <row r="636" spans="3:10" ht="21" customHeight="1" x14ac:dyDescent="0.25">
      <c r="C636" s="39">
        <v>1543</v>
      </c>
      <c r="D636" s="28">
        <f>IFERROR(VLOOKUP($C636,Tabla_Documentos[],2,FALSE),"")</f>
        <v>45946</v>
      </c>
      <c r="E636" s="34" t="str">
        <f>IFERROR(VLOOKUP($C636,Tabla_Documentos[],3,FALSE),"")</f>
        <v>78823250-0</v>
      </c>
      <c r="F636" s="35" t="str">
        <f>IFERROR(VLOOKUP($C636,Tabla_Documentos[],4,FALSE),"")</f>
        <v>CROSAN CAPACITACION SPA</v>
      </c>
      <c r="G636" s="38">
        <f>IFERROR(VLOOKUP($C636,Tabla_Documentos[],5,FALSE),"")</f>
        <v>1380400</v>
      </c>
      <c r="H636" s="29" t="str">
        <f>IFERROR(VLOOKUP($C636,Tabla_Documentos[],6,FALSE),"")</f>
        <v>PUBLICIDAD</v>
      </c>
      <c r="I636" s="38">
        <f>IFERROR(VLOOKUP($C636,Tabla_Documentos[],5,FALSE),"")</f>
        <v>1380400</v>
      </c>
      <c r="J636" s="25">
        <v>45951</v>
      </c>
    </row>
    <row r="637" spans="3:10" ht="21" customHeight="1" x14ac:dyDescent="0.25">
      <c r="C637" s="39">
        <v>1544</v>
      </c>
      <c r="D637" s="28">
        <f>IFERROR(VLOOKUP($C637,Tabla_Documentos[],2,FALSE),"")</f>
        <v>45947</v>
      </c>
      <c r="E637" s="34" t="str">
        <f>IFERROR(VLOOKUP($C637,Tabla_Documentos[],3,FALSE),"")</f>
        <v>76280382-8</v>
      </c>
      <c r="F637" s="35" t="str">
        <f>IFERROR(VLOOKUP($C637,Tabla_Documentos[],4,FALSE),"")</f>
        <v>SEGURIDAD PRIVADA CENTURIONS LIMITADA</v>
      </c>
      <c r="G637" s="38">
        <f>IFERROR(VLOOKUP($C637,Tabla_Documentos[],5,FALSE),"")</f>
        <v>464100</v>
      </c>
      <c r="H637" s="29" t="str">
        <f>IFERROR(VLOOKUP($C637,Tabla_Documentos[],6,FALSE),"")</f>
        <v>PUBLICIDAD</v>
      </c>
      <c r="I637" s="38">
        <f>IFERROR(VLOOKUP($C637,Tabla_Documentos[],5,FALSE),"")</f>
        <v>464100</v>
      </c>
      <c r="J637" s="25">
        <v>45947</v>
      </c>
    </row>
    <row r="638" spans="3:10" ht="21" customHeight="1" x14ac:dyDescent="0.25">
      <c r="C638" s="39">
        <v>1545</v>
      </c>
      <c r="D638" s="28">
        <f>IFERROR(VLOOKUP($C638,Tabla_Documentos[],2,FALSE),"")</f>
        <v>45950</v>
      </c>
      <c r="E638" s="34" t="str">
        <f>IFERROR(VLOOKUP($C638,Tabla_Documentos[],3,FALSE),"")</f>
        <v>77520219-K</v>
      </c>
      <c r="F638" s="35" t="str">
        <f>IFERROR(VLOOKUP($C638,Tabla_Documentos[],4,FALSE),"")</f>
        <v>AILUV SPA</v>
      </c>
      <c r="G638" s="38">
        <f>IFERROR(VLOOKUP($C638,Tabla_Documentos[],5,FALSE),"")</f>
        <v>77350</v>
      </c>
      <c r="H638" s="29" t="str">
        <f>IFERROR(VLOOKUP($C638,Tabla_Documentos[],6,FALSE),"")</f>
        <v>PUBLICIDAD</v>
      </c>
      <c r="I638" s="38">
        <f>IFERROR(VLOOKUP($C638,Tabla_Documentos[],5,FALSE),"")</f>
        <v>77350</v>
      </c>
      <c r="J638" s="25">
        <v>45950</v>
      </c>
    </row>
    <row r="639" spans="3:10" ht="21" customHeight="1" x14ac:dyDescent="0.25">
      <c r="C639" s="39">
        <v>1546</v>
      </c>
      <c r="D639" s="28">
        <f>IFERROR(VLOOKUP($C639,Tabla_Documentos[],2,FALSE),"")</f>
        <v>45950</v>
      </c>
      <c r="E639" s="34" t="str">
        <f>IFERROR(VLOOKUP($C639,Tabla_Documentos[],3,FALSE),"")</f>
        <v>76093123-3</v>
      </c>
      <c r="F639" s="35" t="str">
        <f>IFERROR(VLOOKUP($C639,Tabla_Documentos[],4,FALSE),"")</f>
        <v>SERVICIOS INTEGRALES CACCIUTTOLO LIMITADA</v>
      </c>
      <c r="G639" s="38">
        <f>IFERROR(VLOOKUP($C639,Tabla_Documentos[],5,FALSE),"")</f>
        <v>23800</v>
      </c>
      <c r="H639" s="29" t="str">
        <f>IFERROR(VLOOKUP($C639,Tabla_Documentos[],6,FALSE),"")</f>
        <v>PUBLICIDAD</v>
      </c>
      <c r="I639" s="38">
        <f>IFERROR(VLOOKUP($C639,Tabla_Documentos[],5,FALSE),"")</f>
        <v>23800</v>
      </c>
      <c r="J639" s="25">
        <v>45950</v>
      </c>
    </row>
    <row r="640" spans="3:10" ht="21" customHeight="1" x14ac:dyDescent="0.25">
      <c r="C640" s="39">
        <v>1547</v>
      </c>
      <c r="D640" s="28">
        <f>IFERROR(VLOOKUP($C640,Tabla_Documentos[],2,FALSE),"")</f>
        <v>45950</v>
      </c>
      <c r="E640" s="34" t="str">
        <f>IFERROR(VLOOKUP($C640,Tabla_Documentos[],3,FALSE),"")</f>
        <v>78220086-0</v>
      </c>
      <c r="F640" s="35" t="str">
        <f>IFERROR(VLOOKUP($C640,Tabla_Documentos[],4,FALSE),"")</f>
        <v>VITAPRO LIMPIEZA SPA</v>
      </c>
      <c r="G640" s="38">
        <f>IFERROR(VLOOKUP($C640,Tabla_Documentos[],5,FALSE),"")</f>
        <v>21420</v>
      </c>
      <c r="H640" s="29" t="str">
        <f>IFERROR(VLOOKUP($C640,Tabla_Documentos[],6,FALSE),"")</f>
        <v>PUBLICIDAD</v>
      </c>
      <c r="I640" s="38">
        <f>IFERROR(VLOOKUP($C640,Tabla_Documentos[],5,FALSE),"")</f>
        <v>21420</v>
      </c>
      <c r="J640" s="25">
        <v>45950</v>
      </c>
    </row>
    <row r="641" spans="3:10" ht="21" customHeight="1" x14ac:dyDescent="0.25">
      <c r="C641" s="39">
        <v>1548</v>
      </c>
      <c r="D641" s="28">
        <f>IFERROR(VLOOKUP($C641,Tabla_Documentos[],2,FALSE),"")</f>
        <v>45951</v>
      </c>
      <c r="E641" s="34" t="str">
        <f>IFERROR(VLOOKUP($C641,Tabla_Documentos[],3,FALSE),"")</f>
        <v>76574783-K</v>
      </c>
      <c r="F641" s="35" t="str">
        <f>IFERROR(VLOOKUP($C641,Tabla_Documentos[],4,FALSE),"")</f>
        <v>LC GROUP INTERNATIONAL SPA</v>
      </c>
      <c r="G641" s="38">
        <f>IFERROR(VLOOKUP($C641,Tabla_Documentos[],5,FALSE),"")</f>
        <v>321300</v>
      </c>
      <c r="H641" s="29" t="str">
        <f>IFERROR(VLOOKUP($C641,Tabla_Documentos[],6,FALSE),"")</f>
        <v>PUBLICIDAD</v>
      </c>
      <c r="I641" s="38">
        <f>IFERROR(VLOOKUP($C641,Tabla_Documentos[],5,FALSE),"")</f>
        <v>321300</v>
      </c>
      <c r="J641" s="25">
        <v>45953</v>
      </c>
    </row>
    <row r="642" spans="3:10" ht="21" customHeight="1" x14ac:dyDescent="0.25">
      <c r="C642" s="39">
        <v>1549</v>
      </c>
      <c r="D642" s="28">
        <f>IFERROR(VLOOKUP($C642,Tabla_Documentos[],2,FALSE),"")</f>
        <v>45952</v>
      </c>
      <c r="E642" s="34" t="str">
        <f>IFERROR(VLOOKUP($C642,Tabla_Documentos[],3,FALSE),"")</f>
        <v>76606960-6</v>
      </c>
      <c r="F642" s="35" t="str">
        <f>IFERROR(VLOOKUP($C642,Tabla_Documentos[],4,FALSE),"")</f>
        <v>ETYCA PROFESIONALES CAPACITACION LIMITADA</v>
      </c>
      <c r="G642" s="38">
        <f>IFERROR(VLOOKUP($C642,Tabla_Documentos[],5,FALSE),"")</f>
        <v>380800</v>
      </c>
      <c r="H642" s="29" t="str">
        <f>IFERROR(VLOOKUP($C642,Tabla_Documentos[],6,FALSE),"")</f>
        <v>PUBLICIDAD</v>
      </c>
      <c r="I642" s="38">
        <f>IFERROR(VLOOKUP($C642,Tabla_Documentos[],5,FALSE),"")</f>
        <v>380800</v>
      </c>
      <c r="J642" s="25">
        <v>45954</v>
      </c>
    </row>
    <row r="643" spans="3:10" ht="21" customHeight="1" x14ac:dyDescent="0.25">
      <c r="C643" s="39">
        <v>1550</v>
      </c>
      <c r="D643" s="28">
        <f>IFERROR(VLOOKUP($C643,Tabla_Documentos[],2,FALSE),"")</f>
        <v>45954</v>
      </c>
      <c r="E643" s="34" t="str">
        <f>IFERROR(VLOOKUP($C643,Tabla_Documentos[],3,FALSE),"")</f>
        <v>76346498-9</v>
      </c>
      <c r="F643" s="35" t="str">
        <f>IFERROR(VLOOKUP($C643,Tabla_Documentos[],4,FALSE),"")</f>
        <v>CONSTRUCTORA CARLOS ALBERTO ANDRES ALBISTUR REYES E.I.R.L.</v>
      </c>
      <c r="G643" s="38">
        <f>IFERROR(VLOOKUP($C643,Tabla_Documentos[],5,FALSE),"")</f>
        <v>314874</v>
      </c>
      <c r="H643" s="29" t="str">
        <f>IFERROR(VLOOKUP($C643,Tabla_Documentos[],6,FALSE),"")</f>
        <v>PUBLICIDAD</v>
      </c>
      <c r="I643" s="38">
        <f>IFERROR(VLOOKUP($C643,Tabla_Documentos[],5,FALSE),"")</f>
        <v>314874</v>
      </c>
      <c r="J643" s="25">
        <v>45982</v>
      </c>
    </row>
    <row r="644" spans="3:10" ht="21" customHeight="1" x14ac:dyDescent="0.25">
      <c r="C644" s="39">
        <v>1551</v>
      </c>
      <c r="D644" s="28">
        <f>IFERROR(VLOOKUP($C644,Tabla_Documentos[],2,FALSE),"")</f>
        <v>45957</v>
      </c>
      <c r="E644" s="34" t="str">
        <f>IFERROR(VLOOKUP($C644,Tabla_Documentos[],3,FALSE),"")</f>
        <v>76419914-6</v>
      </c>
      <c r="F644" s="35" t="str">
        <f>IFERROR(VLOOKUP($C644,Tabla_Documentos[],4,FALSE),"")</f>
        <v>SOCIEDAD DE SERVICIOS FUNERARIOS S.A.</v>
      </c>
      <c r="G644" s="38">
        <f>IFERROR(VLOOKUP($C644,Tabla_Documentos[],5,FALSE),"")</f>
        <v>226100</v>
      </c>
      <c r="H644" s="29" t="str">
        <f>IFERROR(VLOOKUP($C644,Tabla_Documentos[],6,FALSE),"")</f>
        <v>PUBLICIDAD</v>
      </c>
      <c r="I644" s="38">
        <f>IFERROR(VLOOKUP($C644,Tabla_Documentos[],5,FALSE),"")</f>
        <v>226100</v>
      </c>
      <c r="J644" s="25">
        <v>45979</v>
      </c>
    </row>
    <row r="645" spans="3:10" ht="21" customHeight="1" x14ac:dyDescent="0.25">
      <c r="C645" s="39">
        <v>1552</v>
      </c>
      <c r="D645" s="28">
        <f>IFERROR(VLOOKUP($C645,Tabla_Documentos[],2,FALSE),"")</f>
        <v>45957</v>
      </c>
      <c r="E645" s="34" t="str">
        <f>IFERROR(VLOOKUP($C645,Tabla_Documentos[],3,FALSE),"")</f>
        <v>77621582-1</v>
      </c>
      <c r="F645" s="35" t="str">
        <f>IFERROR(VLOOKUP($C645,Tabla_Documentos[],4,FALSE),"")</f>
        <v>ALTOS GLACIARES SPA</v>
      </c>
      <c r="G645" s="38">
        <f>IFERROR(VLOOKUP($C645,Tabla_Documentos[],5,FALSE),"")</f>
        <v>586670</v>
      </c>
      <c r="H645" s="29" t="str">
        <f>IFERROR(VLOOKUP($C645,Tabla_Documentos[],6,FALSE),"")</f>
        <v>PUBLICIDAD</v>
      </c>
      <c r="I645" s="38">
        <f>IFERROR(VLOOKUP($C645,Tabla_Documentos[],5,FALSE),"")</f>
        <v>586670</v>
      </c>
      <c r="J645" s="25">
        <v>45960</v>
      </c>
    </row>
    <row r="646" spans="3:10" ht="21" customHeight="1" x14ac:dyDescent="0.25">
      <c r="C646" s="39">
        <v>1553</v>
      </c>
      <c r="D646" s="28">
        <f>IFERROR(VLOOKUP($C646,Tabla_Documentos[],2,FALSE),"")</f>
        <v>45957</v>
      </c>
      <c r="E646" s="34" t="str">
        <f>IFERROR(VLOOKUP($C646,Tabla_Documentos[],3,FALSE),"")</f>
        <v>76783709-7</v>
      </c>
      <c r="F646" s="35" t="str">
        <f>IFERROR(VLOOKUP($C646,Tabla_Documentos[],4,FALSE),"")</f>
        <v>ATLAS COPCO CHILE SPA</v>
      </c>
      <c r="G646" s="38">
        <f>IFERROR(VLOOKUP($C646,Tabla_Documentos[],5,FALSE),"")</f>
        <v>94724</v>
      </c>
      <c r="H646" s="29" t="str">
        <f>IFERROR(VLOOKUP($C646,Tabla_Documentos[],6,FALSE),"")</f>
        <v>PUBLICIDAD</v>
      </c>
      <c r="I646" s="38">
        <f>IFERROR(VLOOKUP($C646,Tabla_Documentos[],5,FALSE),"")</f>
        <v>94724</v>
      </c>
      <c r="J646" s="25">
        <v>45957</v>
      </c>
    </row>
    <row r="647" spans="3:10" ht="21" customHeight="1" x14ac:dyDescent="0.25">
      <c r="C647" s="39">
        <v>1554</v>
      </c>
      <c r="D647" s="28">
        <f>IFERROR(VLOOKUP($C647,Tabla_Documentos[],2,FALSE),"")</f>
        <v>45957</v>
      </c>
      <c r="E647" s="34" t="str">
        <f>IFERROR(VLOOKUP($C647,Tabla_Documentos[],3,FALSE),"")</f>
        <v>76300628-K</v>
      </c>
      <c r="F647" s="35" t="str">
        <f>IFERROR(VLOOKUP($C647,Tabla_Documentos[],4,FALSE),"")</f>
        <v>ATACAMA TECH SPA</v>
      </c>
      <c r="G647" s="38">
        <f>IFERROR(VLOOKUP($C647,Tabla_Documentos[],5,FALSE),"")</f>
        <v>59500</v>
      </c>
      <c r="H647" s="29" t="str">
        <f>IFERROR(VLOOKUP($C647,Tabla_Documentos[],6,FALSE),"")</f>
        <v>PUBLICIDAD</v>
      </c>
      <c r="I647" s="38">
        <f>IFERROR(VLOOKUP($C647,Tabla_Documentos[],5,FALSE),"")</f>
        <v>59500</v>
      </c>
      <c r="J647" s="25">
        <v>45957</v>
      </c>
    </row>
    <row r="648" spans="3:10" ht="21" customHeight="1" x14ac:dyDescent="0.25">
      <c r="C648" s="39">
        <v>1555</v>
      </c>
      <c r="D648" s="28">
        <f>IFERROR(VLOOKUP($C648,Tabla_Documentos[],2,FALSE),"")</f>
        <v>45957</v>
      </c>
      <c r="E648" s="34" t="str">
        <f>IFERROR(VLOOKUP($C648,Tabla_Documentos[],3,FALSE),"")</f>
        <v>76300628-K</v>
      </c>
      <c r="F648" s="35" t="str">
        <f>IFERROR(VLOOKUP($C648,Tabla_Documentos[],4,FALSE),"")</f>
        <v>ATACAMA TECH SPA</v>
      </c>
      <c r="G648" s="38">
        <f>IFERROR(VLOOKUP($C648,Tabla_Documentos[],5,FALSE),"")</f>
        <v>340502</v>
      </c>
      <c r="H648" s="29" t="str">
        <f>IFERROR(VLOOKUP($C648,Tabla_Documentos[],6,FALSE),"")</f>
        <v>PUBLICIDAD</v>
      </c>
      <c r="I648" s="38">
        <f>IFERROR(VLOOKUP($C648,Tabla_Documentos[],5,FALSE),"")</f>
        <v>340502</v>
      </c>
      <c r="J648" s="25">
        <v>45957</v>
      </c>
    </row>
    <row r="649" spans="3:10" ht="21" customHeight="1" x14ac:dyDescent="0.25">
      <c r="C649" s="39">
        <v>1556</v>
      </c>
      <c r="D649" s="28">
        <f>IFERROR(VLOOKUP($C649,Tabla_Documentos[],2,FALSE),"")</f>
        <v>45958</v>
      </c>
      <c r="E649" s="34" t="str">
        <f>IFERROR(VLOOKUP($C649,Tabla_Documentos[],3,FALSE),"")</f>
        <v>77437999-1</v>
      </c>
      <c r="F649" s="35" t="str">
        <f>IFERROR(VLOOKUP($C649,Tabla_Documentos[],4,FALSE),"")</f>
        <v>INVERSIONES SAFUMAR LIMITADA</v>
      </c>
      <c r="G649" s="38">
        <f>IFERROR(VLOOKUP($C649,Tabla_Documentos[],5,FALSE),"")</f>
        <v>370804</v>
      </c>
      <c r="H649" s="29" t="str">
        <f>IFERROR(VLOOKUP($C649,Tabla_Documentos[],6,FALSE),"")</f>
        <v>PUBLICIDAD</v>
      </c>
      <c r="I649" s="38">
        <f>IFERROR(VLOOKUP($C649,Tabla_Documentos[],5,FALSE),"")</f>
        <v>370804</v>
      </c>
      <c r="J649" s="25">
        <v>46043</v>
      </c>
    </row>
    <row r="650" spans="3:10" ht="21" customHeight="1" x14ac:dyDescent="0.25">
      <c r="C650" s="39">
        <v>1557</v>
      </c>
      <c r="D650" s="28">
        <f>IFERROR(VLOOKUP($C650,Tabla_Documentos[],2,FALSE),"")</f>
        <v>45958</v>
      </c>
      <c r="E650" s="34" t="str">
        <f>IFERROR(VLOOKUP($C650,Tabla_Documentos[],3,FALSE),"")</f>
        <v>8491016-3</v>
      </c>
      <c r="F650" s="35" t="str">
        <f>IFERROR(VLOOKUP($C650,Tabla_Documentos[],4,FALSE),"")</f>
        <v>JACINTO PRUDENCIO QUISPE GERONIMO</v>
      </c>
      <c r="G650" s="38">
        <f>IFERROR(VLOOKUP($C650,Tabla_Documentos[],5,FALSE),"")</f>
        <v>101150</v>
      </c>
      <c r="H650" s="29" t="str">
        <f>IFERROR(VLOOKUP($C650,Tabla_Documentos[],6,FALSE),"")</f>
        <v>PUBLICIDAD</v>
      </c>
      <c r="I650" s="38">
        <f>IFERROR(VLOOKUP($C650,Tabla_Documentos[],5,FALSE),"")</f>
        <v>101150</v>
      </c>
      <c r="J650" s="25">
        <v>45958</v>
      </c>
    </row>
    <row r="651" spans="3:10" ht="21" customHeight="1" x14ac:dyDescent="0.25">
      <c r="C651" s="39">
        <v>1558</v>
      </c>
      <c r="D651" s="28">
        <f>IFERROR(VLOOKUP($C651,Tabla_Documentos[],2,FALSE),"")</f>
        <v>45960</v>
      </c>
      <c r="E651" s="34" t="str">
        <f>IFERROR(VLOOKUP($C651,Tabla_Documentos[],3,FALSE),"")</f>
        <v>9232004-9</v>
      </c>
      <c r="F651" s="35" t="str">
        <f>IFERROR(VLOOKUP($C651,Tabla_Documentos[],4,FALSE),"")</f>
        <v>EDWIN HERMAN HOLVOET TAPIA</v>
      </c>
      <c r="G651" s="38">
        <f>IFERROR(VLOOKUP($C651,Tabla_Documentos[],5,FALSE),"")</f>
        <v>505750</v>
      </c>
      <c r="H651" s="29" t="str">
        <f>IFERROR(VLOOKUP($C651,Tabla_Documentos[],6,FALSE),"")</f>
        <v>PUBLICIDAD</v>
      </c>
      <c r="I651" s="38">
        <f>IFERROR(VLOOKUP($C651,Tabla_Documentos[],5,FALSE),"")</f>
        <v>505750</v>
      </c>
      <c r="J651" s="25">
        <v>45994</v>
      </c>
    </row>
    <row r="652" spans="3:10" ht="21" customHeight="1" x14ac:dyDescent="0.25">
      <c r="C652" s="39">
        <v>1559</v>
      </c>
      <c r="D652" s="28">
        <f>IFERROR(VLOOKUP($C652,Tabla_Documentos[],2,FALSE),"")</f>
        <v>45960</v>
      </c>
      <c r="E652" s="34" t="str">
        <f>IFERROR(VLOOKUP($C652,Tabla_Documentos[],3,FALSE),"")</f>
        <v>77511008-2</v>
      </c>
      <c r="F652" s="35" t="str">
        <f>IFERROR(VLOOKUP($C652,Tabla_Documentos[],4,FALSE),"")</f>
        <v>MULTISERVICIOS SANABRIA SPA</v>
      </c>
      <c r="G652" s="38">
        <f>IFERROR(VLOOKUP($C652,Tabla_Documentos[],5,FALSE),"")</f>
        <v>94962</v>
      </c>
      <c r="H652" s="29" t="str">
        <f>IFERROR(VLOOKUP($C652,Tabla_Documentos[],6,FALSE),"")</f>
        <v>PUBLICIDAD</v>
      </c>
      <c r="I652" s="38">
        <f>IFERROR(VLOOKUP($C652,Tabla_Documentos[],5,FALSE),"")</f>
        <v>94962</v>
      </c>
      <c r="J652" s="25">
        <v>45960</v>
      </c>
    </row>
    <row r="653" spans="3:10" ht="21" customHeight="1" x14ac:dyDescent="0.25">
      <c r="C653" s="39">
        <v>1560</v>
      </c>
      <c r="D653" s="28">
        <f>IFERROR(VLOOKUP($C653,Tabla_Documentos[],2,FALSE),"")</f>
        <v>45960</v>
      </c>
      <c r="E653" s="34" t="str">
        <f>IFERROR(VLOOKUP($C653,Tabla_Documentos[],3,FALSE),"")</f>
        <v>76574783-K</v>
      </c>
      <c r="F653" s="35" t="str">
        <f>IFERROR(VLOOKUP($C653,Tabla_Documentos[],4,FALSE),"")</f>
        <v>LC GROUP INTERNATIONAL SPA</v>
      </c>
      <c r="G653" s="38">
        <f>IFERROR(VLOOKUP($C653,Tabla_Documentos[],5,FALSE),"")</f>
        <v>226100</v>
      </c>
      <c r="H653" s="29" t="str">
        <f>IFERROR(VLOOKUP($C653,Tabla_Documentos[],6,FALSE),"")</f>
        <v>PUBLICIDAD</v>
      </c>
      <c r="I653" s="38">
        <f>IFERROR(VLOOKUP($C653,Tabla_Documentos[],5,FALSE),"")</f>
        <v>226100</v>
      </c>
      <c r="J653" s="25">
        <v>45997</v>
      </c>
    </row>
    <row r="654" spans="3:10" ht="21" customHeight="1" x14ac:dyDescent="0.25">
      <c r="C654" s="39">
        <v>1561</v>
      </c>
      <c r="D654" s="28">
        <f>IFERROR(VLOOKUP($C654,Tabla_Documentos[],2,FALSE),"")</f>
        <v>45960</v>
      </c>
      <c r="E654" s="34" t="str">
        <f>IFERROR(VLOOKUP($C654,Tabla_Documentos[],3,FALSE),"")</f>
        <v>11189165-6</v>
      </c>
      <c r="F654" s="35" t="str">
        <f>IFERROR(VLOOKUP($C654,Tabla_Documentos[],4,FALSE),"")</f>
        <v>PATRICIO ORLANDO OSORIO RIVERA</v>
      </c>
      <c r="G654" s="38">
        <f>IFERROR(VLOOKUP($C654,Tabla_Documentos[],5,FALSE),"")</f>
        <v>380000</v>
      </c>
      <c r="H654" s="29" t="str">
        <f>IFERROR(VLOOKUP($C654,Tabla_Documentos[],6,FALSE),"")</f>
        <v>PUBLICIDAD</v>
      </c>
      <c r="I654" s="38">
        <f>IFERROR(VLOOKUP($C654,Tabla_Documentos[],5,FALSE),"")</f>
        <v>380000</v>
      </c>
      <c r="J654" s="25">
        <v>45960</v>
      </c>
    </row>
    <row r="655" spans="3:10" ht="21" customHeight="1" x14ac:dyDescent="0.25">
      <c r="C655" s="39">
        <v>1562</v>
      </c>
      <c r="D655" s="28">
        <f>IFERROR(VLOOKUP($C655,Tabla_Documentos[],2,FALSE),"")</f>
        <v>45961</v>
      </c>
      <c r="E655" s="34" t="str">
        <f>IFERROR(VLOOKUP($C655,Tabla_Documentos[],3,FALSE),"")</f>
        <v>77437999-1</v>
      </c>
      <c r="F655" s="35" t="str">
        <f>IFERROR(VLOOKUP($C655,Tabla_Documentos[],4,FALSE),"")</f>
        <v>INVERSIONES SAFUMAR LIMITADA</v>
      </c>
      <c r="G655" s="38">
        <f>IFERROR(VLOOKUP($C655,Tabla_Documentos[],5,FALSE),"")</f>
        <v>396746</v>
      </c>
      <c r="H655" s="29" t="str">
        <f>IFERROR(VLOOKUP($C655,Tabla_Documentos[],6,FALSE),"")</f>
        <v>PUBLICIDAD</v>
      </c>
      <c r="I655" s="38">
        <f>IFERROR(VLOOKUP($C655,Tabla_Documentos[],5,FALSE),"")</f>
        <v>396746</v>
      </c>
      <c r="J655" s="25">
        <v>46043</v>
      </c>
    </row>
    <row r="656" spans="3:10" ht="21" customHeight="1" x14ac:dyDescent="0.25">
      <c r="C656" s="39">
        <v>1563</v>
      </c>
      <c r="D656" s="28">
        <f>IFERROR(VLOOKUP($C656,Tabla_Documentos[],2,FALSE),"")</f>
        <v>45964</v>
      </c>
      <c r="E656" s="34" t="str">
        <f>IFERROR(VLOOKUP($C656,Tabla_Documentos[],3,FALSE),"")</f>
        <v>76493582-9</v>
      </c>
      <c r="F656" s="35" t="str">
        <f>IFERROR(VLOOKUP($C656,Tabla_Documentos[],4,FALSE),"")</f>
        <v>SOCIEDAD DE SERVICIOS INVERSIONES Y COMERCIALIZADORA LEBAKSAF CHILE SPA</v>
      </c>
      <c r="G656" s="38">
        <f>IFERROR(VLOOKUP($C656,Tabla_Documentos[],5,FALSE),"")</f>
        <v>100000</v>
      </c>
      <c r="H656" s="29" t="str">
        <f>IFERROR(VLOOKUP($C656,Tabla_Documentos[],6,FALSE),"")</f>
        <v>PUBLICIDAD</v>
      </c>
      <c r="I656" s="38">
        <f>IFERROR(VLOOKUP($C656,Tabla_Documentos[],5,FALSE),"")</f>
        <v>100000</v>
      </c>
      <c r="J656" s="25">
        <v>45964</v>
      </c>
    </row>
    <row r="657" spans="3:10" ht="21" customHeight="1" x14ac:dyDescent="0.25">
      <c r="C657" s="39">
        <v>1564</v>
      </c>
      <c r="D657" s="28">
        <f>IFERROR(VLOOKUP($C657,Tabla_Documentos[],2,FALSE),"")</f>
        <v>45964</v>
      </c>
      <c r="E657" s="34" t="str">
        <f>IFERROR(VLOOKUP($C657,Tabla_Documentos[],3,FALSE),"")</f>
        <v>76059313-3</v>
      </c>
      <c r="F657" s="35" t="str">
        <f>IFERROR(VLOOKUP($C657,Tabla_Documentos[],4,FALSE),"")</f>
        <v>TRI CICLOS SOCIEDAD ANONIMA</v>
      </c>
      <c r="G657" s="38">
        <f>IFERROR(VLOOKUP($C657,Tabla_Documentos[],5,FALSE),"")</f>
        <v>176120</v>
      </c>
      <c r="H657" s="29" t="str">
        <f>IFERROR(VLOOKUP($C657,Tabla_Documentos[],6,FALSE),"")</f>
        <v>PUBLICIDAD</v>
      </c>
      <c r="I657" s="38">
        <f>IFERROR(VLOOKUP($C657,Tabla_Documentos[],5,FALSE),"")</f>
        <v>176120</v>
      </c>
      <c r="J657" s="25">
        <v>45964</v>
      </c>
    </row>
    <row r="658" spans="3:10" ht="21" customHeight="1" x14ac:dyDescent="0.25">
      <c r="C658" s="39">
        <v>1565</v>
      </c>
      <c r="D658" s="28">
        <f>IFERROR(VLOOKUP($C658,Tabla_Documentos[],2,FALSE),"")</f>
        <v>45964</v>
      </c>
      <c r="E658" s="34" t="str">
        <f>IFERROR(VLOOKUP($C658,Tabla_Documentos[],3,FALSE),"")</f>
        <v>76399731-6</v>
      </c>
      <c r="F658" s="35" t="str">
        <f>IFERROR(VLOOKUP($C658,Tabla_Documentos[],4,FALSE),"")</f>
        <v>RESMED TRANSPORTES LIMITADA</v>
      </c>
      <c r="G658" s="38">
        <f>IFERROR(VLOOKUP($C658,Tabla_Documentos[],5,FALSE),"")</f>
        <v>368900</v>
      </c>
      <c r="H658" s="29" t="str">
        <f>IFERROR(VLOOKUP($C658,Tabla_Documentos[],6,FALSE),"")</f>
        <v>PUBLICIDAD</v>
      </c>
      <c r="I658" s="38">
        <f>IFERROR(VLOOKUP($C658,Tabla_Documentos[],5,FALSE),"")</f>
        <v>368900</v>
      </c>
      <c r="J658" s="25">
        <v>45964</v>
      </c>
    </row>
    <row r="659" spans="3:10" ht="21" customHeight="1" x14ac:dyDescent="0.25">
      <c r="C659" s="39">
        <v>1566</v>
      </c>
      <c r="D659" s="28">
        <f>IFERROR(VLOOKUP($C659,Tabla_Documentos[],2,FALSE),"")</f>
        <v>45964</v>
      </c>
      <c r="E659" s="34" t="str">
        <f>IFERROR(VLOOKUP($C659,Tabla_Documentos[],3,FALSE),"")</f>
        <v>78320430-4</v>
      </c>
      <c r="F659" s="35" t="str">
        <f>IFERROR(VLOOKUP($C659,Tabla_Documentos[],4,FALSE),"")</f>
        <v>AUTOMOTRIZ NICOLAS LTDA.</v>
      </c>
      <c r="G659" s="38">
        <f>IFERROR(VLOOKUP($C659,Tabla_Documentos[],5,FALSE),"")</f>
        <v>119000</v>
      </c>
      <c r="H659" s="29" t="str">
        <f>IFERROR(VLOOKUP($C659,Tabla_Documentos[],6,FALSE),"")</f>
        <v>PUBLICIDAD</v>
      </c>
      <c r="I659" s="38">
        <f>IFERROR(VLOOKUP($C659,Tabla_Documentos[],5,FALSE),"")</f>
        <v>119000</v>
      </c>
      <c r="J659" s="25">
        <v>45993</v>
      </c>
    </row>
    <row r="660" spans="3:10" ht="21" customHeight="1" x14ac:dyDescent="0.25">
      <c r="C660" s="39">
        <v>1567</v>
      </c>
      <c r="D660" s="28">
        <f>IFERROR(VLOOKUP($C660,Tabla_Documentos[],2,FALSE),"")</f>
        <v>45965</v>
      </c>
      <c r="E660" s="34" t="str">
        <f>IFERROR(VLOOKUP($C660,Tabla_Documentos[],3,FALSE),"")</f>
        <v>77744755-6</v>
      </c>
      <c r="F660" s="35" t="str">
        <f>IFERROR(VLOOKUP($C660,Tabla_Documentos[],4,FALSE),"")</f>
        <v>RID INGENIERÃA SPA</v>
      </c>
      <c r="G660" s="38">
        <f>IFERROR(VLOOKUP($C660,Tabla_Documentos[],5,FALSE),"")</f>
        <v>47600</v>
      </c>
      <c r="H660" s="29" t="str">
        <f>IFERROR(VLOOKUP($C660,Tabla_Documentos[],6,FALSE),"")</f>
        <v>PUBLICIDAD</v>
      </c>
      <c r="I660" s="38">
        <f>IFERROR(VLOOKUP($C660,Tabla_Documentos[],5,FALSE),"")</f>
        <v>47600</v>
      </c>
      <c r="J660" s="25">
        <v>45965</v>
      </c>
    </row>
    <row r="661" spans="3:10" ht="21" customHeight="1" x14ac:dyDescent="0.25">
      <c r="C661" s="39">
        <v>1568</v>
      </c>
      <c r="D661" s="28">
        <f>IFERROR(VLOOKUP($C661,Tabla_Documentos[],2,FALSE),"")</f>
        <v>45965</v>
      </c>
      <c r="E661" s="34" t="str">
        <f>IFERROR(VLOOKUP($C661,Tabla_Documentos[],3,FALSE),"")</f>
        <v>77723189-8</v>
      </c>
      <c r="F661" s="35" t="str">
        <f>IFERROR(VLOOKUP($C661,Tabla_Documentos[],4,FALSE),"")</f>
        <v>SEMINET SPA</v>
      </c>
      <c r="G661" s="38">
        <f>IFERROR(VLOOKUP($C661,Tabla_Documentos[],5,FALSE),"")</f>
        <v>59500</v>
      </c>
      <c r="H661" s="29" t="str">
        <f>IFERROR(VLOOKUP($C661,Tabla_Documentos[],6,FALSE),"")</f>
        <v>PUBLICIDAD</v>
      </c>
      <c r="I661" s="38">
        <f>IFERROR(VLOOKUP($C661,Tabla_Documentos[],5,FALSE),"")</f>
        <v>59500</v>
      </c>
      <c r="J661" s="25">
        <v>45975</v>
      </c>
    </row>
    <row r="662" spans="3:10" ht="21" customHeight="1" x14ac:dyDescent="0.25">
      <c r="C662" s="39">
        <v>1569</v>
      </c>
      <c r="D662" s="28">
        <f>IFERROR(VLOOKUP($C662,Tabla_Documentos[],2,FALSE),"")</f>
        <v>45958</v>
      </c>
      <c r="E662" s="34" t="str">
        <f>IFERROR(VLOOKUP($C662,Tabla_Documentos[],3,FALSE),"")</f>
        <v>77840923-2</v>
      </c>
      <c r="F662" s="35" t="str">
        <f>IFERROR(VLOOKUP($C662,Tabla_Documentos[],4,FALSE),"")</f>
        <v>INGENIERIA GACITUA SPA</v>
      </c>
      <c r="G662" s="38">
        <f>IFERROR(VLOOKUP($C662,Tabla_Documentos[],5,FALSE),"")</f>
        <v>89250</v>
      </c>
      <c r="H662" s="29" t="str">
        <f>IFERROR(VLOOKUP($C662,Tabla_Documentos[],6,FALSE),"")</f>
        <v>PUBLICIDAD</v>
      </c>
      <c r="I662" s="38">
        <f>IFERROR(VLOOKUP($C662,Tabla_Documentos[],5,FALSE),"")</f>
        <v>89250</v>
      </c>
      <c r="J662" s="25">
        <v>45958</v>
      </c>
    </row>
    <row r="663" spans="3:10" ht="21" customHeight="1" x14ac:dyDescent="0.25">
      <c r="C663" s="39">
        <v>1570</v>
      </c>
      <c r="D663" s="28">
        <f>IFERROR(VLOOKUP($C663,Tabla_Documentos[],2,FALSE),"")</f>
        <v>45966</v>
      </c>
      <c r="E663" s="34" t="str">
        <f>IFERROR(VLOOKUP($C663,Tabla_Documentos[],3,FALSE),"")</f>
        <v>77744755-6</v>
      </c>
      <c r="F663" s="35" t="str">
        <f>IFERROR(VLOOKUP($C663,Tabla_Documentos[],4,FALSE),"")</f>
        <v>RID INGENIERÃA SPA</v>
      </c>
      <c r="G663" s="38">
        <f>IFERROR(VLOOKUP($C663,Tabla_Documentos[],5,FALSE),"")</f>
        <v>35700</v>
      </c>
      <c r="H663" s="29" t="str">
        <f>IFERROR(VLOOKUP($C663,Tabla_Documentos[],6,FALSE),"")</f>
        <v>PUBLICIDAD</v>
      </c>
      <c r="I663" s="38">
        <f>IFERROR(VLOOKUP($C663,Tabla_Documentos[],5,FALSE),"")</f>
        <v>35700</v>
      </c>
      <c r="J663" s="25">
        <v>45966</v>
      </c>
    </row>
    <row r="664" spans="3:10" ht="21" customHeight="1" x14ac:dyDescent="0.25">
      <c r="C664" s="39">
        <v>1571</v>
      </c>
      <c r="D664" s="28">
        <f>IFERROR(VLOOKUP($C664,Tabla_Documentos[],2,FALSE),"")</f>
        <v>45966</v>
      </c>
      <c r="E664" s="34" t="str">
        <f>IFERROR(VLOOKUP($C664,Tabla_Documentos[],3,FALSE),"")</f>
        <v>77578446-6</v>
      </c>
      <c r="F664" s="35" t="str">
        <f>IFERROR(VLOOKUP($C664,Tabla_Documentos[],4,FALSE),"")</f>
        <v>JOYERIA Y RELOJERIA KARIME DAU SPA</v>
      </c>
      <c r="G664" s="38">
        <f>IFERROR(VLOOKUP($C664,Tabla_Documentos[],5,FALSE),"")</f>
        <v>840426</v>
      </c>
      <c r="H664" s="29" t="str">
        <f>IFERROR(VLOOKUP($C664,Tabla_Documentos[],6,FALSE),"")</f>
        <v>PUBLICIDAD</v>
      </c>
      <c r="I664" s="38">
        <f>IFERROR(VLOOKUP($C664,Tabla_Documentos[],5,FALSE),"")</f>
        <v>840426</v>
      </c>
      <c r="J664" s="25">
        <v>45966</v>
      </c>
    </row>
    <row r="665" spans="3:10" ht="21" customHeight="1" x14ac:dyDescent="0.25">
      <c r="C665" s="39">
        <v>1572</v>
      </c>
      <c r="D665" s="28">
        <f>IFERROR(VLOOKUP($C665,Tabla_Documentos[],2,FALSE),"")</f>
        <v>45967</v>
      </c>
      <c r="E665" s="34" t="str">
        <f>IFERROR(VLOOKUP($C665,Tabla_Documentos[],3,FALSE),"")</f>
        <v>76686138-5</v>
      </c>
      <c r="F665" s="35" t="str">
        <f>IFERROR(VLOOKUP($C665,Tabla_Documentos[],4,FALSE),"")</f>
        <v>SKC RED SPA</v>
      </c>
      <c r="G665" s="38">
        <f>IFERROR(VLOOKUP($C665,Tabla_Documentos[],5,FALSE),"")</f>
        <v>83300</v>
      </c>
      <c r="H665" s="29" t="str">
        <f>IFERROR(VLOOKUP($C665,Tabla_Documentos[],6,FALSE),"")</f>
        <v>PUBLICIDAD</v>
      </c>
      <c r="I665" s="38">
        <f>IFERROR(VLOOKUP($C665,Tabla_Documentos[],5,FALSE),"")</f>
        <v>83300</v>
      </c>
      <c r="J665" s="25">
        <v>45982</v>
      </c>
    </row>
    <row r="666" spans="3:10" ht="21" customHeight="1" x14ac:dyDescent="0.25">
      <c r="C666" s="39">
        <v>1573</v>
      </c>
      <c r="D666" s="28">
        <f>IFERROR(VLOOKUP($C666,Tabla_Documentos[],2,FALSE),"")</f>
        <v>45967</v>
      </c>
      <c r="E666" s="34" t="str">
        <f>IFERROR(VLOOKUP($C666,Tabla_Documentos[],3,FALSE),"")</f>
        <v>76921814-9</v>
      </c>
      <c r="F666" s="35" t="str">
        <f>IFERROR(VLOOKUP($C666,Tabla_Documentos[],4,FALSE),"")</f>
        <v>JUAN ALBERTO CALDERON GUTIERREZ TRANSPORTE DE PERSONAL EMPRESA INDIVIDUAL</v>
      </c>
      <c r="G666" s="38">
        <f>IFERROR(VLOOKUP($C666,Tabla_Documentos[],5,FALSE),"")</f>
        <v>65450</v>
      </c>
      <c r="H666" s="29" t="str">
        <f>IFERROR(VLOOKUP($C666,Tabla_Documentos[],6,FALSE),"")</f>
        <v>PUBLICIDAD</v>
      </c>
      <c r="I666" s="38">
        <f>IFERROR(VLOOKUP($C666,Tabla_Documentos[],5,FALSE),"")</f>
        <v>65450</v>
      </c>
      <c r="J666" s="25">
        <v>45967</v>
      </c>
    </row>
    <row r="667" spans="3:10" ht="21" customHeight="1" x14ac:dyDescent="0.25">
      <c r="C667" s="39">
        <v>1574</v>
      </c>
      <c r="D667" s="28">
        <f>IFERROR(VLOOKUP($C667,Tabla_Documentos[],2,FALSE),"")</f>
        <v>45967</v>
      </c>
      <c r="E667" s="34" t="str">
        <f>IFERROR(VLOOKUP($C667,Tabla_Documentos[],3,FALSE),"")</f>
        <v>77841885-1</v>
      </c>
      <c r="F667" s="35" t="str">
        <f>IFERROR(VLOOKUP($C667,Tabla_Documentos[],4,FALSE),"")</f>
        <v>TRANSPORTES TOLECAR SPA</v>
      </c>
      <c r="G667" s="38">
        <f>IFERROR(VLOOKUP($C667,Tabla_Documentos[],5,FALSE),"")</f>
        <v>65450</v>
      </c>
      <c r="H667" s="29" t="str">
        <f>IFERROR(VLOOKUP($C667,Tabla_Documentos[],6,FALSE),"")</f>
        <v>PUBLICIDAD</v>
      </c>
      <c r="I667" s="38">
        <f>IFERROR(VLOOKUP($C667,Tabla_Documentos[],5,FALSE),"")</f>
        <v>65450</v>
      </c>
      <c r="J667" s="25">
        <v>45967</v>
      </c>
    </row>
    <row r="668" spans="3:10" ht="21" customHeight="1" x14ac:dyDescent="0.25">
      <c r="C668" s="39">
        <v>1575</v>
      </c>
      <c r="D668" s="28">
        <f>IFERROR(VLOOKUP($C668,Tabla_Documentos[],2,FALSE),"")</f>
        <v>45967</v>
      </c>
      <c r="E668" s="34" t="str">
        <f>IFERROR(VLOOKUP($C668,Tabla_Documentos[],3,FALSE),"")</f>
        <v>77361091-6</v>
      </c>
      <c r="F668" s="35" t="str">
        <f>IFERROR(VLOOKUP($C668,Tabla_Documentos[],4,FALSE),"")</f>
        <v>OSSAVAL SPA</v>
      </c>
      <c r="G668" s="38">
        <f>IFERROR(VLOOKUP($C668,Tabla_Documentos[],5,FALSE),"")</f>
        <v>35700</v>
      </c>
      <c r="H668" s="29" t="str">
        <f>IFERROR(VLOOKUP($C668,Tabla_Documentos[],6,FALSE),"")</f>
        <v>PUBLICIDAD</v>
      </c>
      <c r="I668" s="38">
        <f>IFERROR(VLOOKUP($C668,Tabla_Documentos[],5,FALSE),"")</f>
        <v>35700</v>
      </c>
      <c r="J668" s="25">
        <v>45967</v>
      </c>
    </row>
    <row r="669" spans="3:10" ht="21" customHeight="1" x14ac:dyDescent="0.25">
      <c r="C669" s="39">
        <v>1576</v>
      </c>
      <c r="D669" s="28">
        <f>IFERROR(VLOOKUP($C669,Tabla_Documentos[],2,FALSE),"")</f>
        <v>45967</v>
      </c>
      <c r="E669" s="34" t="str">
        <f>IFERROR(VLOOKUP($C669,Tabla_Documentos[],3,FALSE),"")</f>
        <v>76862381-3</v>
      </c>
      <c r="F669" s="35" t="str">
        <f>IFERROR(VLOOKUP($C669,Tabla_Documentos[],4,FALSE),"")</f>
        <v>SOCIEDAD COMERCIAL E INDUSTRIAL HYDRO CLEANING VAPOR LIMITADA</v>
      </c>
      <c r="G669" s="38">
        <f>IFERROR(VLOOKUP($C669,Tabla_Documentos[],5,FALSE),"")</f>
        <v>11900</v>
      </c>
      <c r="H669" s="29" t="str">
        <f>IFERROR(VLOOKUP($C669,Tabla_Documentos[],6,FALSE),"")</f>
        <v>PUBLICIDAD</v>
      </c>
      <c r="I669" s="38">
        <f>IFERROR(VLOOKUP($C669,Tabla_Documentos[],5,FALSE),"")</f>
        <v>11900</v>
      </c>
      <c r="J669" s="25">
        <v>45967</v>
      </c>
    </row>
    <row r="670" spans="3:10" ht="21" customHeight="1" x14ac:dyDescent="0.25">
      <c r="C670" s="39">
        <v>1577</v>
      </c>
      <c r="D670" s="28">
        <f>IFERROR(VLOOKUP($C670,Tabla_Documentos[],2,FALSE),"")</f>
        <v>45968</v>
      </c>
      <c r="E670" s="34" t="str">
        <f>IFERROR(VLOOKUP($C670,Tabla_Documentos[],3,FALSE),"")</f>
        <v>77490067-5</v>
      </c>
      <c r="F670" s="35" t="str">
        <f>IFERROR(VLOOKUP($C670,Tabla_Documentos[],4,FALSE),"")</f>
        <v>INTEGRAL SPA</v>
      </c>
      <c r="G670" s="38">
        <f>IFERROR(VLOOKUP($C670,Tabla_Documentos[],5,FALSE),"")</f>
        <v>57120</v>
      </c>
      <c r="H670" s="29" t="str">
        <f>IFERROR(VLOOKUP($C670,Tabla_Documentos[],6,FALSE),"")</f>
        <v>PUBLICIDAD</v>
      </c>
      <c r="I670" s="38">
        <f>IFERROR(VLOOKUP($C670,Tabla_Documentos[],5,FALSE),"")</f>
        <v>57120</v>
      </c>
      <c r="J670" s="25">
        <v>45968</v>
      </c>
    </row>
    <row r="671" spans="3:10" ht="21" customHeight="1" x14ac:dyDescent="0.25">
      <c r="C671" s="39">
        <v>1578</v>
      </c>
      <c r="D671" s="28">
        <f>IFERROR(VLOOKUP($C671,Tabla_Documentos[],2,FALSE),"")</f>
        <v>45968</v>
      </c>
      <c r="E671" s="34" t="str">
        <f>IFERROR(VLOOKUP($C671,Tabla_Documentos[],3,FALSE),"")</f>
        <v>77840923-2</v>
      </c>
      <c r="F671" s="35" t="str">
        <f>IFERROR(VLOOKUP($C671,Tabla_Documentos[],4,FALSE),"")</f>
        <v>INGENIERIA GACITUA SPA</v>
      </c>
      <c r="G671" s="38">
        <f>IFERROR(VLOOKUP($C671,Tabla_Documentos[],5,FALSE),"")</f>
        <v>35700</v>
      </c>
      <c r="H671" s="29" t="str">
        <f>IFERROR(VLOOKUP($C671,Tabla_Documentos[],6,FALSE),"")</f>
        <v>PUBLICIDAD</v>
      </c>
      <c r="I671" s="38">
        <f>IFERROR(VLOOKUP($C671,Tabla_Documentos[],5,FALSE),"")</f>
        <v>35700</v>
      </c>
      <c r="J671" s="25">
        <v>45968</v>
      </c>
    </row>
    <row r="672" spans="3:10" ht="21" customHeight="1" x14ac:dyDescent="0.25">
      <c r="C672" s="39">
        <v>1579</v>
      </c>
      <c r="D672" s="28">
        <f>IFERROR(VLOOKUP($C672,Tabla_Documentos[],2,FALSE),"")</f>
        <v>45971</v>
      </c>
      <c r="E672" s="34" t="str">
        <f>IFERROR(VLOOKUP($C672,Tabla_Documentos[],3,FALSE),"")</f>
        <v>76300628-K</v>
      </c>
      <c r="F672" s="35" t="str">
        <f>IFERROR(VLOOKUP($C672,Tabla_Documentos[],4,FALSE),"")</f>
        <v>ATACAMA TECH SPA</v>
      </c>
      <c r="G672" s="38">
        <f>IFERROR(VLOOKUP($C672,Tabla_Documentos[],5,FALSE),"")</f>
        <v>11900</v>
      </c>
      <c r="H672" s="29" t="str">
        <f>IFERROR(VLOOKUP($C672,Tabla_Documentos[],6,FALSE),"")</f>
        <v>PUBLICIDAD</v>
      </c>
      <c r="I672" s="38">
        <f>IFERROR(VLOOKUP($C672,Tabla_Documentos[],5,FALSE),"")</f>
        <v>11900</v>
      </c>
      <c r="J672" s="25">
        <v>45971</v>
      </c>
    </row>
    <row r="673" spans="3:10" ht="21" customHeight="1" x14ac:dyDescent="0.25">
      <c r="C673" s="39">
        <v>1580</v>
      </c>
      <c r="D673" s="28">
        <f>IFERROR(VLOOKUP($C673,Tabla_Documentos[],2,FALSE),"")</f>
        <v>45971</v>
      </c>
      <c r="E673" s="34" t="str">
        <f>IFERROR(VLOOKUP($C673,Tabla_Documentos[],3,FALSE),"")</f>
        <v>9051431-8</v>
      </c>
      <c r="F673" s="35" t="str">
        <f>IFERROR(VLOOKUP($C673,Tabla_Documentos[],4,FALSE),"")</f>
        <v>RAMON ANGEL RIQUELME OLIVARES</v>
      </c>
      <c r="G673" s="38">
        <f>IFERROR(VLOOKUP($C673,Tabla_Documentos[],5,FALSE),"")</f>
        <v>450000</v>
      </c>
      <c r="H673" s="29" t="str">
        <f>IFERROR(VLOOKUP($C673,Tabla_Documentos[],6,FALSE),"")</f>
        <v>PUBLICIDAD</v>
      </c>
      <c r="I673" s="38">
        <f>IFERROR(VLOOKUP($C673,Tabla_Documentos[],5,FALSE),"")</f>
        <v>450000</v>
      </c>
      <c r="J673" s="25">
        <v>45971</v>
      </c>
    </row>
    <row r="674" spans="3:10" ht="21" customHeight="1" x14ac:dyDescent="0.25">
      <c r="C674" s="39">
        <v>1582</v>
      </c>
      <c r="D674" s="28">
        <f>IFERROR(VLOOKUP($C674,Tabla_Documentos[],2,FALSE),"")</f>
        <v>45971</v>
      </c>
      <c r="E674" s="34" t="str">
        <f>IFERROR(VLOOKUP($C674,Tabla_Documentos[],3,FALSE),"")</f>
        <v>77520219-K</v>
      </c>
      <c r="F674" s="35" t="str">
        <f>IFERROR(VLOOKUP($C674,Tabla_Documentos[],4,FALSE),"")</f>
        <v>AILUV SPA</v>
      </c>
      <c r="G674" s="38">
        <f>IFERROR(VLOOKUP($C674,Tabla_Documentos[],5,FALSE),"")</f>
        <v>107100</v>
      </c>
      <c r="H674" s="29" t="str">
        <f>IFERROR(VLOOKUP($C674,Tabla_Documentos[],6,FALSE),"")</f>
        <v>PUBLICIDAD</v>
      </c>
      <c r="I674" s="38">
        <f>IFERROR(VLOOKUP($C674,Tabla_Documentos[],5,FALSE),"")</f>
        <v>107100</v>
      </c>
      <c r="J674" s="25">
        <v>45971</v>
      </c>
    </row>
    <row r="675" spans="3:10" ht="21" customHeight="1" x14ac:dyDescent="0.25">
      <c r="C675" s="39">
        <v>1583</v>
      </c>
      <c r="D675" s="28">
        <f>IFERROR(VLOOKUP($C675,Tabla_Documentos[],2,FALSE),"")</f>
        <v>45971</v>
      </c>
      <c r="E675" s="34" t="str">
        <f>IFERROR(VLOOKUP($C675,Tabla_Documentos[],3,FALSE),"")</f>
        <v>76548223-2</v>
      </c>
      <c r="F675" s="35" t="str">
        <f>IFERROR(VLOOKUP($C675,Tabla_Documentos[],4,FALSE),"")</f>
        <v>INGEGROUP INGENIERIA  SPA</v>
      </c>
      <c r="G675" s="38">
        <f>IFERROR(VLOOKUP($C675,Tabla_Documentos[],5,FALSE),"")</f>
        <v>154700</v>
      </c>
      <c r="H675" s="29" t="str">
        <f>IFERROR(VLOOKUP($C675,Tabla_Documentos[],6,FALSE),"")</f>
        <v>PUBLICIDAD</v>
      </c>
      <c r="I675" s="38">
        <f>IFERROR(VLOOKUP($C675,Tabla_Documentos[],5,FALSE),"")</f>
        <v>154700</v>
      </c>
      <c r="J675" s="25">
        <v>45971</v>
      </c>
    </row>
    <row r="676" spans="3:10" ht="21" customHeight="1" x14ac:dyDescent="0.25">
      <c r="C676" s="39">
        <v>1584</v>
      </c>
      <c r="D676" s="28">
        <f>IFERROR(VLOOKUP($C676,Tabla_Documentos[],2,FALSE),"")</f>
        <v>45971</v>
      </c>
      <c r="E676" s="34" t="str">
        <f>IFERROR(VLOOKUP($C676,Tabla_Documentos[],3,FALSE),"")</f>
        <v>92475000-6</v>
      </c>
      <c r="F676" s="35" t="str">
        <f>IFERROR(VLOOKUP($C676,Tabla_Documentos[],4,FALSE),"")</f>
        <v>KAUFMANN SA VEHICULOS MOTORIZADOS</v>
      </c>
      <c r="G676" s="38">
        <f>IFERROR(VLOOKUP($C676,Tabla_Documentos[],5,FALSE),"")</f>
        <v>107100</v>
      </c>
      <c r="H676" s="29" t="str">
        <f>IFERROR(VLOOKUP($C676,Tabla_Documentos[],6,FALSE),"")</f>
        <v>PUBLICIDAD</v>
      </c>
      <c r="I676" s="38">
        <f>IFERROR(VLOOKUP($C676,Tabla_Documentos[],5,FALSE),"")</f>
        <v>107100</v>
      </c>
      <c r="J676" s="25">
        <v>45989</v>
      </c>
    </row>
    <row r="677" spans="3:10" ht="21" customHeight="1" x14ac:dyDescent="0.25">
      <c r="C677" s="39">
        <v>1585</v>
      </c>
      <c r="D677" s="28">
        <f>IFERROR(VLOOKUP($C677,Tabla_Documentos[],2,FALSE),"")</f>
        <v>45971</v>
      </c>
      <c r="E677" s="34" t="str">
        <f>IFERROR(VLOOKUP($C677,Tabla_Documentos[],3,FALSE),"")</f>
        <v>77919041-2</v>
      </c>
      <c r="F677" s="35" t="str">
        <f>IFERROR(VLOOKUP($C677,Tabla_Documentos[],4,FALSE),"")</f>
        <v>MUNDO CORPORATIVO SPA</v>
      </c>
      <c r="G677" s="38">
        <f>IFERROR(VLOOKUP($C677,Tabla_Documentos[],5,FALSE),"")</f>
        <v>2000000</v>
      </c>
      <c r="H677" s="29" t="str">
        <f>IFERROR(VLOOKUP($C677,Tabla_Documentos[],6,FALSE),"")</f>
        <v>PUBLICIDAD</v>
      </c>
      <c r="I677" s="38">
        <f>IFERROR(VLOOKUP($C677,Tabla_Documentos[],5,FALSE),"")</f>
        <v>2000000</v>
      </c>
      <c r="J677" s="25">
        <v>45971</v>
      </c>
    </row>
    <row r="678" spans="3:10" ht="21" customHeight="1" x14ac:dyDescent="0.25">
      <c r="C678" s="39">
        <v>1586</v>
      </c>
      <c r="D678" s="28">
        <f>IFERROR(VLOOKUP($C678,Tabla_Documentos[],2,FALSE),"")</f>
        <v>45973</v>
      </c>
      <c r="E678" s="34" t="str">
        <f>IFERROR(VLOOKUP($C678,Tabla_Documentos[],3,FALSE),"")</f>
        <v>76380941-2</v>
      </c>
      <c r="F678" s="35" t="str">
        <f>IFERROR(VLOOKUP($C678,Tabla_Documentos[],4,FALSE),"")</f>
        <v>TILSECO SERVICIOS ELECTRICOS CHILE SPA</v>
      </c>
      <c r="G678" s="38">
        <f>IFERROR(VLOOKUP($C678,Tabla_Documentos[],5,FALSE),"")</f>
        <v>238000</v>
      </c>
      <c r="H678" s="29" t="str">
        <f>IFERROR(VLOOKUP($C678,Tabla_Documentos[],6,FALSE),"")</f>
        <v>PUBLICIDAD</v>
      </c>
      <c r="I678" s="38">
        <f>IFERROR(VLOOKUP($C678,Tabla_Documentos[],5,FALSE),"")</f>
        <v>238000</v>
      </c>
      <c r="J678" s="25">
        <v>45973</v>
      </c>
    </row>
    <row r="679" spans="3:10" ht="21" customHeight="1" x14ac:dyDescent="0.25">
      <c r="C679" s="39">
        <v>1587</v>
      </c>
      <c r="D679" s="28">
        <f>IFERROR(VLOOKUP($C679,Tabla_Documentos[],2,FALSE),"")</f>
        <v>45973</v>
      </c>
      <c r="E679" s="34" t="str">
        <f>IFERROR(VLOOKUP($C679,Tabla_Documentos[],3,FALSE),"")</f>
        <v>76686138-5</v>
      </c>
      <c r="F679" s="35" t="str">
        <f>IFERROR(VLOOKUP($C679,Tabla_Documentos[],4,FALSE),"")</f>
        <v>SKC RED SPA</v>
      </c>
      <c r="G679" s="38">
        <f>IFERROR(VLOOKUP($C679,Tabla_Documentos[],5,FALSE),"")</f>
        <v>11900</v>
      </c>
      <c r="H679" s="29" t="str">
        <f>IFERROR(VLOOKUP($C679,Tabla_Documentos[],6,FALSE),"")</f>
        <v>PUBLICIDAD</v>
      </c>
      <c r="I679" s="38">
        <f>IFERROR(VLOOKUP($C679,Tabla_Documentos[],5,FALSE),"")</f>
        <v>11900</v>
      </c>
      <c r="J679" s="25">
        <v>46003</v>
      </c>
    </row>
    <row r="680" spans="3:10" ht="21" customHeight="1" x14ac:dyDescent="0.25">
      <c r="C680" s="39">
        <v>1588</v>
      </c>
      <c r="D680" s="28">
        <f>IFERROR(VLOOKUP($C680,Tabla_Documentos[],2,FALSE),"")</f>
        <v>45973</v>
      </c>
      <c r="E680" s="34" t="str">
        <f>IFERROR(VLOOKUP($C680,Tabla_Documentos[],3,FALSE),"")</f>
        <v>76920615-9</v>
      </c>
      <c r="F680" s="35" t="str">
        <f>IFERROR(VLOOKUP($C680,Tabla_Documentos[],4,FALSE),"")</f>
        <v>SOCIEDAD COMERCIAL RODRIGO URBANO SPA</v>
      </c>
      <c r="G680" s="38">
        <f>IFERROR(VLOOKUP($C680,Tabla_Documentos[],5,FALSE),"")</f>
        <v>70329</v>
      </c>
      <c r="H680" s="29" t="str">
        <f>IFERROR(VLOOKUP($C680,Tabla_Documentos[],6,FALSE),"")</f>
        <v>PUBLICIDAD</v>
      </c>
      <c r="I680" s="38">
        <f>IFERROR(VLOOKUP($C680,Tabla_Documentos[],5,FALSE),"")</f>
        <v>70329</v>
      </c>
      <c r="J680" s="25">
        <v>45973</v>
      </c>
    </row>
    <row r="681" spans="3:10" ht="21" customHeight="1" x14ac:dyDescent="0.25">
      <c r="C681" s="39">
        <v>1589</v>
      </c>
      <c r="D681" s="28">
        <f>IFERROR(VLOOKUP($C681,Tabla_Documentos[],2,FALSE),"")</f>
        <v>45973</v>
      </c>
      <c r="E681" s="34" t="str">
        <f>IFERROR(VLOOKUP($C681,Tabla_Documentos[],3,FALSE),"")</f>
        <v>83628100-4</v>
      </c>
      <c r="F681" s="35" t="str">
        <f>IFERROR(VLOOKUP($C681,Tabla_Documentos[],4,FALSE),"")</f>
        <v>SONDA S A</v>
      </c>
      <c r="G681" s="38">
        <f>IFERROR(VLOOKUP($C681,Tabla_Documentos[],5,FALSE),"")</f>
        <v>132804</v>
      </c>
      <c r="H681" s="29" t="str">
        <f>IFERROR(VLOOKUP($C681,Tabla_Documentos[],6,FALSE),"")</f>
        <v>PUBLICIDAD</v>
      </c>
      <c r="I681" s="38">
        <f>IFERROR(VLOOKUP($C681,Tabla_Documentos[],5,FALSE),"")</f>
        <v>132804</v>
      </c>
      <c r="J681" s="25">
        <v>45973</v>
      </c>
    </row>
    <row r="682" spans="3:10" ht="21" customHeight="1" x14ac:dyDescent="0.25">
      <c r="C682" s="39">
        <v>1590</v>
      </c>
      <c r="D682" s="28">
        <f>IFERROR(VLOOKUP($C682,Tabla_Documentos[],2,FALSE),"")</f>
        <v>45973</v>
      </c>
      <c r="E682" s="34" t="str">
        <f>IFERROR(VLOOKUP($C682,Tabla_Documentos[],3,FALSE),"")</f>
        <v>77382153-4</v>
      </c>
      <c r="F682" s="35" t="str">
        <f>IFERROR(VLOOKUP($C682,Tabla_Documentos[],4,FALSE),"")</f>
        <v>AUCAN LOGISTIC SPA</v>
      </c>
      <c r="G682" s="38">
        <f>IFERROR(VLOOKUP($C682,Tabla_Documentos[],5,FALSE),"")</f>
        <v>696150</v>
      </c>
      <c r="H682" s="29" t="str">
        <f>IFERROR(VLOOKUP($C682,Tabla_Documentos[],6,FALSE),"")</f>
        <v>PUBLICIDAD</v>
      </c>
      <c r="I682" s="38">
        <f>IFERROR(VLOOKUP($C682,Tabla_Documentos[],5,FALSE),"")</f>
        <v>696150</v>
      </c>
      <c r="J682" s="25">
        <v>45973</v>
      </c>
    </row>
    <row r="683" spans="3:10" ht="21" customHeight="1" x14ac:dyDescent="0.25">
      <c r="C683" s="39">
        <v>1591</v>
      </c>
      <c r="D683" s="28">
        <f>IFERROR(VLOOKUP($C683,Tabla_Documentos[],2,FALSE),"")</f>
        <v>45974</v>
      </c>
      <c r="E683" s="34" t="str">
        <f>IFERROR(VLOOKUP($C683,Tabla_Documentos[],3,FALSE),"")</f>
        <v>76410595-8</v>
      </c>
      <c r="F683" s="35" t="str">
        <f>IFERROR(VLOOKUP($C683,Tabla_Documentos[],4,FALSE),"")</f>
        <v>CROSAN SPA</v>
      </c>
      <c r="G683" s="38">
        <f>IFERROR(VLOOKUP($C683,Tabla_Documentos[],5,FALSE),"")</f>
        <v>1320900</v>
      </c>
      <c r="H683" s="29" t="str">
        <f>IFERROR(VLOOKUP($C683,Tabla_Documentos[],6,FALSE),"")</f>
        <v>PUBLICIDAD</v>
      </c>
      <c r="I683" s="38">
        <f>IFERROR(VLOOKUP($C683,Tabla_Documentos[],5,FALSE),"")</f>
        <v>1320900</v>
      </c>
      <c r="J683" s="25">
        <v>46007</v>
      </c>
    </row>
    <row r="684" spans="3:10" ht="21" customHeight="1" x14ac:dyDescent="0.25">
      <c r="C684" s="39">
        <v>1592</v>
      </c>
      <c r="D684" s="28">
        <f>IFERROR(VLOOKUP($C684,Tabla_Documentos[],2,FALSE),"")</f>
        <v>45974</v>
      </c>
      <c r="E684" s="34" t="str">
        <f>IFERROR(VLOOKUP($C684,Tabla_Documentos[],3,FALSE),"")</f>
        <v>10193231-1</v>
      </c>
      <c r="F684" s="35" t="str">
        <f>IFERROR(VLOOKUP($C684,Tabla_Documentos[],4,FALSE),"")</f>
        <v>DAVID VIEYRA FELDMAN</v>
      </c>
      <c r="G684" s="38">
        <f>IFERROR(VLOOKUP($C684,Tabla_Documentos[],5,FALSE),"")</f>
        <v>380800</v>
      </c>
      <c r="H684" s="29" t="str">
        <f>IFERROR(VLOOKUP($C684,Tabla_Documentos[],6,FALSE),"")</f>
        <v>PUBLICIDAD</v>
      </c>
      <c r="I684" s="38">
        <f>IFERROR(VLOOKUP($C684,Tabla_Documentos[],5,FALSE),"")</f>
        <v>380800</v>
      </c>
      <c r="J684" s="25">
        <v>45974</v>
      </c>
    </row>
    <row r="685" spans="3:10" ht="21" customHeight="1" x14ac:dyDescent="0.25">
      <c r="C685" s="39">
        <v>1593</v>
      </c>
      <c r="D685" s="28">
        <f>IFERROR(VLOOKUP($C685,Tabla_Documentos[],2,FALSE),"")</f>
        <v>45974</v>
      </c>
      <c r="E685" s="34" t="str">
        <f>IFERROR(VLOOKUP($C685,Tabla_Documentos[],3,FALSE),"")</f>
        <v>77323546-5</v>
      </c>
      <c r="F685" s="35" t="str">
        <f>IFERROR(VLOOKUP($C685,Tabla_Documentos[],4,FALSE),"")</f>
        <v>MLV SPA</v>
      </c>
      <c r="G685" s="38">
        <f>IFERROR(VLOOKUP($C685,Tabla_Documentos[],5,FALSE),"")</f>
        <v>32130</v>
      </c>
      <c r="H685" s="29" t="str">
        <f>IFERROR(VLOOKUP($C685,Tabla_Documentos[],6,FALSE),"")</f>
        <v>PUBLICIDAD</v>
      </c>
      <c r="I685" s="38">
        <f>IFERROR(VLOOKUP($C685,Tabla_Documentos[],5,FALSE),"")</f>
        <v>32130</v>
      </c>
      <c r="J685" s="25">
        <v>45974</v>
      </c>
    </row>
    <row r="686" spans="3:10" ht="21" customHeight="1" x14ac:dyDescent="0.25">
      <c r="C686" s="39">
        <v>1594</v>
      </c>
      <c r="D686" s="28">
        <f>IFERROR(VLOOKUP($C686,Tabla_Documentos[],2,FALSE),"")</f>
        <v>45975</v>
      </c>
      <c r="E686" s="34" t="str">
        <f>IFERROR(VLOOKUP($C686,Tabla_Documentos[],3,FALSE),"")</f>
        <v>77511008-2</v>
      </c>
      <c r="F686" s="35" t="str">
        <f>IFERROR(VLOOKUP($C686,Tabla_Documentos[],4,FALSE),"")</f>
        <v>MULTISERVICIOS SANABRIA SPA</v>
      </c>
      <c r="G686" s="38">
        <f>IFERROR(VLOOKUP($C686,Tabla_Documentos[],5,FALSE),"")</f>
        <v>133213</v>
      </c>
      <c r="H686" s="29" t="str">
        <f>IFERROR(VLOOKUP($C686,Tabla_Documentos[],6,FALSE),"")</f>
        <v>PUBLICIDAD</v>
      </c>
      <c r="I686" s="38">
        <f>IFERROR(VLOOKUP($C686,Tabla_Documentos[],5,FALSE),"")</f>
        <v>133213</v>
      </c>
      <c r="J686" s="25">
        <v>45975</v>
      </c>
    </row>
    <row r="687" spans="3:10" ht="21" customHeight="1" x14ac:dyDescent="0.25">
      <c r="C687" s="39">
        <v>1595</v>
      </c>
      <c r="D687" s="28">
        <f>IFERROR(VLOOKUP($C687,Tabla_Documentos[],2,FALSE),"")</f>
        <v>45975</v>
      </c>
      <c r="E687" s="34" t="str">
        <f>IFERROR(VLOOKUP($C687,Tabla_Documentos[],3,FALSE),"")</f>
        <v>83628100-4</v>
      </c>
      <c r="F687" s="35" t="str">
        <f>IFERROR(VLOOKUP($C687,Tabla_Documentos[],4,FALSE),"")</f>
        <v>SONDA S A</v>
      </c>
      <c r="G687" s="38">
        <f>IFERROR(VLOOKUP($C687,Tabla_Documentos[],5,FALSE),"")</f>
        <v>125188</v>
      </c>
      <c r="H687" s="29" t="str">
        <f>IFERROR(VLOOKUP($C687,Tabla_Documentos[],6,FALSE),"")</f>
        <v>PUBLICIDAD</v>
      </c>
      <c r="I687" s="38">
        <f>IFERROR(VLOOKUP($C687,Tabla_Documentos[],5,FALSE),"")</f>
        <v>125188</v>
      </c>
      <c r="J687" s="25">
        <v>45975</v>
      </c>
    </row>
    <row r="688" spans="3:10" ht="21" customHeight="1" x14ac:dyDescent="0.25">
      <c r="C688" s="39">
        <v>1596</v>
      </c>
      <c r="D688" s="28">
        <f>IFERROR(VLOOKUP($C688,Tabla_Documentos[],2,FALSE),"")</f>
        <v>45978</v>
      </c>
      <c r="E688" s="34" t="str">
        <f>IFERROR(VLOOKUP($C688,Tabla_Documentos[],3,FALSE),"")</f>
        <v>76272239-9</v>
      </c>
      <c r="F688" s="35" t="str">
        <f>IFERROR(VLOOKUP($C688,Tabla_Documentos[],4,FALSE),"")</f>
        <v>INSTITUTO INTEGRAL DE SALUD OCUPACIONAL SPA</v>
      </c>
      <c r="G688" s="38">
        <f>IFERROR(VLOOKUP($C688,Tabla_Documentos[],5,FALSE),"")</f>
        <v>142800</v>
      </c>
      <c r="H688" s="29" t="str">
        <f>IFERROR(VLOOKUP($C688,Tabla_Documentos[],6,FALSE),"")</f>
        <v>PUBLICIDAD</v>
      </c>
      <c r="I688" s="38">
        <f>IFERROR(VLOOKUP($C688,Tabla_Documentos[],5,FALSE),"")</f>
        <v>142800</v>
      </c>
      <c r="J688" s="25">
        <v>46027</v>
      </c>
    </row>
    <row r="689" spans="3:10" ht="21" customHeight="1" x14ac:dyDescent="0.25">
      <c r="C689" s="39">
        <v>1598</v>
      </c>
      <c r="D689" s="28">
        <f>IFERROR(VLOOKUP($C689,Tabla_Documentos[],2,FALSE),"")</f>
        <v>45978</v>
      </c>
      <c r="E689" s="34" t="str">
        <f>IFERROR(VLOOKUP($C689,Tabla_Documentos[],3,FALSE),"")</f>
        <v>77062894-6</v>
      </c>
      <c r="F689" s="35" t="str">
        <f>IFERROR(VLOOKUP($C689,Tabla_Documentos[],4,FALSE),"")</f>
        <v>MENDOZA CAZ  SPA</v>
      </c>
      <c r="G689" s="38">
        <f>IFERROR(VLOOKUP($C689,Tabla_Documentos[],5,FALSE),"")</f>
        <v>253470</v>
      </c>
      <c r="H689" s="29" t="str">
        <f>IFERROR(VLOOKUP($C689,Tabla_Documentos[],6,FALSE),"")</f>
        <v>PUBLICIDAD</v>
      </c>
      <c r="I689" s="38">
        <f>IFERROR(VLOOKUP($C689,Tabla_Documentos[],5,FALSE),"")</f>
        <v>253470</v>
      </c>
      <c r="J689" s="25">
        <v>45978</v>
      </c>
    </row>
    <row r="690" spans="3:10" ht="21" customHeight="1" x14ac:dyDescent="0.25">
      <c r="C690" s="39">
        <v>1599</v>
      </c>
      <c r="D690" s="28">
        <f>IFERROR(VLOOKUP($C690,Tabla_Documentos[],2,FALSE),"")</f>
        <v>45978</v>
      </c>
      <c r="E690" s="34" t="str">
        <f>IFERROR(VLOOKUP($C690,Tabla_Documentos[],3,FALSE),"")</f>
        <v>96792430-K</v>
      </c>
      <c r="F690" s="35" t="str">
        <f>IFERROR(VLOOKUP($C690,Tabla_Documentos[],4,FALSE),"")</f>
        <v>SODIMAC S.A.</v>
      </c>
      <c r="G690" s="38">
        <f>IFERROR(VLOOKUP($C690,Tabla_Documentos[],5,FALSE),"")</f>
        <v>2299675</v>
      </c>
      <c r="H690" s="29" t="str">
        <f>IFERROR(VLOOKUP($C690,Tabla_Documentos[],6,FALSE),"")</f>
        <v>PUBLICIDAD</v>
      </c>
      <c r="I690" s="38">
        <f>IFERROR(VLOOKUP($C690,Tabla_Documentos[],5,FALSE),"")</f>
        <v>2299675</v>
      </c>
      <c r="J690" s="25">
        <v>46008</v>
      </c>
    </row>
    <row r="691" spans="3:10" ht="21" customHeight="1" x14ac:dyDescent="0.25">
      <c r="C691" s="39">
        <v>1600</v>
      </c>
      <c r="D691" s="28">
        <f>IFERROR(VLOOKUP($C691,Tabla_Documentos[],2,FALSE),"")</f>
        <v>45979</v>
      </c>
      <c r="E691" s="34" t="str">
        <f>IFERROR(VLOOKUP($C691,Tabla_Documentos[],3,FALSE),"")</f>
        <v>77511008-2</v>
      </c>
      <c r="F691" s="35" t="str">
        <f>IFERROR(VLOOKUP($C691,Tabla_Documentos[],4,FALSE),"")</f>
        <v>MULTISERVICIOS SANABRIA SPA</v>
      </c>
      <c r="G691" s="38">
        <f>IFERROR(VLOOKUP($C691,Tabla_Documentos[],5,FALSE),"")</f>
        <v>121380</v>
      </c>
      <c r="H691" s="29" t="str">
        <f>IFERROR(VLOOKUP($C691,Tabla_Documentos[],6,FALSE),"")</f>
        <v>PUBLICIDAD</v>
      </c>
      <c r="I691" s="38">
        <f>IFERROR(VLOOKUP($C691,Tabla_Documentos[],5,FALSE),"")</f>
        <v>121380</v>
      </c>
      <c r="J691" s="25">
        <v>45979</v>
      </c>
    </row>
    <row r="692" spans="3:10" ht="21" customHeight="1" x14ac:dyDescent="0.25">
      <c r="C692" s="39">
        <v>1601</v>
      </c>
      <c r="D692" s="28">
        <f>IFERROR(VLOOKUP($C692,Tabla_Documentos[],2,FALSE),"")</f>
        <v>45979</v>
      </c>
      <c r="E692" s="34" t="str">
        <f>IFERROR(VLOOKUP($C692,Tabla_Documentos[],3,FALSE),"")</f>
        <v>83628100-4</v>
      </c>
      <c r="F692" s="35" t="str">
        <f>IFERROR(VLOOKUP($C692,Tabla_Documentos[],4,FALSE),"")</f>
        <v>SONDA S A</v>
      </c>
      <c r="G692" s="38">
        <f>IFERROR(VLOOKUP($C692,Tabla_Documentos[],5,FALSE),"")</f>
        <v>26180</v>
      </c>
      <c r="H692" s="29" t="str">
        <f>IFERROR(VLOOKUP($C692,Tabla_Documentos[],6,FALSE),"")</f>
        <v>PUBLICIDAD</v>
      </c>
      <c r="I692" s="38">
        <f>IFERROR(VLOOKUP($C692,Tabla_Documentos[],5,FALSE),"")</f>
        <v>26180</v>
      </c>
      <c r="J692" s="25">
        <v>45979</v>
      </c>
    </row>
    <row r="693" spans="3:10" ht="21" customHeight="1" x14ac:dyDescent="0.25">
      <c r="C693" s="39">
        <v>1602</v>
      </c>
      <c r="D693" s="28">
        <f>IFERROR(VLOOKUP($C693,Tabla_Documentos[],2,FALSE),"")</f>
        <v>45979</v>
      </c>
      <c r="E693" s="34" t="str">
        <f>IFERROR(VLOOKUP($C693,Tabla_Documentos[],3,FALSE),"")</f>
        <v>76650779-4</v>
      </c>
      <c r="F693" s="35" t="str">
        <f>IFERROR(VLOOKUP($C693,Tabla_Documentos[],4,FALSE),"")</f>
        <v>SOLUCIONES GLOBALES CARLOS HERBERTO MOSCOSO</v>
      </c>
      <c r="G693" s="38">
        <f>IFERROR(VLOOKUP($C693,Tabla_Documentos[],5,FALSE),"")</f>
        <v>452200</v>
      </c>
      <c r="H693" s="29" t="str">
        <f>IFERROR(VLOOKUP($C693,Tabla_Documentos[],6,FALSE),"")</f>
        <v>PUBLICIDAD</v>
      </c>
      <c r="I693" s="38">
        <f>IFERROR(VLOOKUP($C693,Tabla_Documentos[],5,FALSE),"")</f>
        <v>452200</v>
      </c>
      <c r="J693" s="25">
        <v>45979</v>
      </c>
    </row>
    <row r="694" spans="3:10" ht="21" customHeight="1" x14ac:dyDescent="0.25">
      <c r="C694" s="39">
        <v>1603</v>
      </c>
      <c r="D694" s="28">
        <f>IFERROR(VLOOKUP($C694,Tabla_Documentos[],2,FALSE),"")</f>
        <v>45979</v>
      </c>
      <c r="E694" s="34" t="str">
        <f>IFERROR(VLOOKUP($C694,Tabla_Documentos[],3,FALSE),"")</f>
        <v>76446430-3</v>
      </c>
      <c r="F694" s="35" t="str">
        <f>IFERROR(VLOOKUP($C694,Tabla_Documentos[],4,FALSE),"")</f>
        <v>COMERCIALIZADORA TEC RAPOL LIMITADA</v>
      </c>
      <c r="G694" s="38">
        <f>IFERROR(VLOOKUP($C694,Tabla_Documentos[],5,FALSE),"")</f>
        <v>1666000</v>
      </c>
      <c r="H694" s="29" t="str">
        <f>IFERROR(VLOOKUP($C694,Tabla_Documentos[],6,FALSE),"")</f>
        <v>PUBLICIDAD</v>
      </c>
      <c r="I694" s="38">
        <f>IFERROR(VLOOKUP($C694,Tabla_Documentos[],5,FALSE),"")</f>
        <v>1666000</v>
      </c>
      <c r="J694" s="25">
        <v>46009</v>
      </c>
    </row>
    <row r="695" spans="3:10" ht="21" customHeight="1" x14ac:dyDescent="0.25">
      <c r="C695" s="39">
        <v>1604</v>
      </c>
      <c r="D695" s="28">
        <f>IFERROR(VLOOKUP($C695,Tabla_Documentos[],2,FALSE),"")</f>
        <v>45980</v>
      </c>
      <c r="E695" s="34" t="str">
        <f>IFERROR(VLOOKUP($C695,Tabla_Documentos[],3,FALSE),"")</f>
        <v>77437999-1</v>
      </c>
      <c r="F695" s="35" t="str">
        <f>IFERROR(VLOOKUP($C695,Tabla_Documentos[],4,FALSE),"")</f>
        <v>INVERSIONES SAFUMAR LIMITADA</v>
      </c>
      <c r="G695" s="38">
        <f>IFERROR(VLOOKUP($C695,Tabla_Documentos[],5,FALSE),"")</f>
        <v>202300</v>
      </c>
      <c r="H695" s="29" t="str">
        <f>IFERROR(VLOOKUP($C695,Tabla_Documentos[],6,FALSE),"")</f>
        <v>PUBLICIDAD</v>
      </c>
      <c r="I695" s="38">
        <f>IFERROR(VLOOKUP($C695,Tabla_Documentos[],5,FALSE),"")</f>
        <v>202300</v>
      </c>
      <c r="J695" s="25">
        <v>45985</v>
      </c>
    </row>
    <row r="696" spans="3:10" ht="21" customHeight="1" x14ac:dyDescent="0.25">
      <c r="C696" s="39">
        <v>1605</v>
      </c>
      <c r="D696" s="28">
        <f>IFERROR(VLOOKUP($C696,Tabla_Documentos[],2,FALSE),"")</f>
        <v>45980</v>
      </c>
      <c r="E696" s="34" t="str">
        <f>IFERROR(VLOOKUP($C696,Tabla_Documentos[],3,FALSE),"")</f>
        <v>76402290-4</v>
      </c>
      <c r="F696" s="35" t="str">
        <f>IFERROR(VLOOKUP($C696,Tabla_Documentos[],4,FALSE),"")</f>
        <v>LABORATORIO CLINICO ATACAMA LIMITADA</v>
      </c>
      <c r="G696" s="38">
        <f>IFERROR(VLOOKUP($C696,Tabla_Documentos[],5,FALSE),"")</f>
        <v>309400</v>
      </c>
      <c r="H696" s="29" t="str">
        <f>IFERROR(VLOOKUP($C696,Tabla_Documentos[],6,FALSE),"")</f>
        <v>PUBLICIDAD</v>
      </c>
      <c r="I696" s="38">
        <f>IFERROR(VLOOKUP($C696,Tabla_Documentos[],5,FALSE),"")</f>
        <v>309400</v>
      </c>
      <c r="J696" s="25">
        <v>45980</v>
      </c>
    </row>
    <row r="697" spans="3:10" ht="21" customHeight="1" x14ac:dyDescent="0.25">
      <c r="C697" s="39">
        <v>1606</v>
      </c>
      <c r="D697" s="28">
        <f>IFERROR(VLOOKUP($C697,Tabla_Documentos[],2,FALSE),"")</f>
        <v>45980</v>
      </c>
      <c r="E697" s="34" t="str">
        <f>IFERROR(VLOOKUP($C697,Tabla_Documentos[],3,FALSE),"")</f>
        <v>77147537-K</v>
      </c>
      <c r="F697" s="35" t="str">
        <f>IFERROR(VLOOKUP($C697,Tabla_Documentos[],4,FALSE),"")</f>
        <v>SOLYSERV SPA</v>
      </c>
      <c r="G697" s="38">
        <f>IFERROR(VLOOKUP($C697,Tabla_Documentos[],5,FALSE),"")</f>
        <v>297500</v>
      </c>
      <c r="H697" s="29" t="str">
        <f>IFERROR(VLOOKUP($C697,Tabla_Documentos[],6,FALSE),"")</f>
        <v>PUBLICIDAD</v>
      </c>
      <c r="I697" s="38">
        <f>IFERROR(VLOOKUP($C697,Tabla_Documentos[],5,FALSE),"")</f>
        <v>297500</v>
      </c>
      <c r="J697" s="25">
        <v>45980</v>
      </c>
    </row>
    <row r="698" spans="3:10" ht="21" customHeight="1" x14ac:dyDescent="0.25">
      <c r="C698" s="39">
        <v>1607</v>
      </c>
      <c r="D698" s="28">
        <f>IFERROR(VLOOKUP($C698,Tabla_Documentos[],2,FALSE),"")</f>
        <v>45980</v>
      </c>
      <c r="E698" s="34" t="str">
        <f>IFERROR(VLOOKUP($C698,Tabla_Documentos[],3,FALSE),"")</f>
        <v>76921814-9</v>
      </c>
      <c r="F698" s="35" t="str">
        <f>IFERROR(VLOOKUP($C698,Tabla_Documentos[],4,FALSE),"")</f>
        <v>JUAN ALBERTO CALDERON GUTIERREZ TRANSPORTE</v>
      </c>
      <c r="G698" s="38">
        <f>IFERROR(VLOOKUP($C698,Tabla_Documentos[],5,FALSE),"")</f>
        <v>59500</v>
      </c>
      <c r="H698" s="29" t="str">
        <f>IFERROR(VLOOKUP($C698,Tabla_Documentos[],6,FALSE),"")</f>
        <v>PUBLICIDAD</v>
      </c>
      <c r="I698" s="38">
        <f>IFERROR(VLOOKUP($C698,Tabla_Documentos[],5,FALSE),"")</f>
        <v>59500</v>
      </c>
      <c r="J698" s="25">
        <v>45980</v>
      </c>
    </row>
    <row r="699" spans="3:10" ht="21" customHeight="1" x14ac:dyDescent="0.25">
      <c r="C699" s="39">
        <v>1608</v>
      </c>
      <c r="D699" s="28">
        <f>IFERROR(VLOOKUP($C699,Tabla_Documentos[],2,FALSE),"")</f>
        <v>45981</v>
      </c>
      <c r="E699" s="34" t="str">
        <f>IFERROR(VLOOKUP($C699,Tabla_Documentos[],3,FALSE),"")</f>
        <v>78276657-0</v>
      </c>
      <c r="F699" s="35" t="str">
        <f>IFERROR(VLOOKUP($C699,Tabla_Documentos[],4,FALSE),"")</f>
        <v>TRANSPORTES DESERTIS SPA</v>
      </c>
      <c r="G699" s="38">
        <f>IFERROR(VLOOKUP($C699,Tabla_Documentos[],5,FALSE),"")</f>
        <v>368900</v>
      </c>
      <c r="H699" s="29" t="str">
        <f>IFERROR(VLOOKUP($C699,Tabla_Documentos[],6,FALSE),"")</f>
        <v>PUBLICIDAD</v>
      </c>
      <c r="I699" s="38">
        <f>IFERROR(VLOOKUP($C699,Tabla_Documentos[],5,FALSE),"")</f>
        <v>368900</v>
      </c>
      <c r="J699" s="25">
        <v>45981</v>
      </c>
    </row>
    <row r="700" spans="3:10" ht="21" customHeight="1" x14ac:dyDescent="0.25">
      <c r="C700" s="39">
        <v>1609</v>
      </c>
      <c r="D700" s="28">
        <f>IFERROR(VLOOKUP($C700,Tabla_Documentos[],2,FALSE),"")</f>
        <v>45981</v>
      </c>
      <c r="E700" s="34" t="str">
        <f>IFERROR(VLOOKUP($C700,Tabla_Documentos[],3,FALSE),"")</f>
        <v>77147537-K</v>
      </c>
      <c r="F700" s="35" t="str">
        <f>IFERROR(VLOOKUP($C700,Tabla_Documentos[],4,FALSE),"")</f>
        <v>SOLYSERV SPA</v>
      </c>
      <c r="G700" s="38">
        <f>IFERROR(VLOOKUP($C700,Tabla_Documentos[],5,FALSE),"")</f>
        <v>39984</v>
      </c>
      <c r="H700" s="29" t="str">
        <f>IFERROR(VLOOKUP($C700,Tabla_Documentos[],6,FALSE),"")</f>
        <v>PUBLICIDAD</v>
      </c>
      <c r="I700" s="38">
        <f>IFERROR(VLOOKUP($C700,Tabla_Documentos[],5,FALSE),"")</f>
        <v>39984</v>
      </c>
      <c r="J700" s="25">
        <v>45981</v>
      </c>
    </row>
    <row r="701" spans="3:10" ht="21" customHeight="1" x14ac:dyDescent="0.25">
      <c r="C701" s="39">
        <v>1610</v>
      </c>
      <c r="D701" s="28">
        <f>IFERROR(VLOOKUP($C701,Tabla_Documentos[],2,FALSE),"")</f>
        <v>45981</v>
      </c>
      <c r="E701" s="34" t="str">
        <f>IFERROR(VLOOKUP($C701,Tabla_Documentos[],3,FALSE),"")</f>
        <v>77228233-8</v>
      </c>
      <c r="F701" s="35" t="str">
        <f>IFERROR(VLOOKUP($C701,Tabla_Documentos[],4,FALSE),"")</f>
        <v>RINCÃ“NTRD SPA</v>
      </c>
      <c r="G701" s="38">
        <f>IFERROR(VLOOKUP($C701,Tabla_Documentos[],5,FALSE),"")</f>
        <v>41257</v>
      </c>
      <c r="H701" s="29" t="str">
        <f>IFERROR(VLOOKUP($C701,Tabla_Documentos[],6,FALSE),"")</f>
        <v>PUBLICIDAD</v>
      </c>
      <c r="I701" s="38">
        <f>IFERROR(VLOOKUP($C701,Tabla_Documentos[],5,FALSE),"")</f>
        <v>41257</v>
      </c>
      <c r="J701" s="25">
        <v>45981</v>
      </c>
    </row>
    <row r="702" spans="3:10" ht="21" customHeight="1" x14ac:dyDescent="0.25">
      <c r="C702" s="39">
        <v>1611</v>
      </c>
      <c r="D702" s="28">
        <f>IFERROR(VLOOKUP($C702,Tabla_Documentos[],2,FALSE),"")</f>
        <v>45982</v>
      </c>
      <c r="E702" s="34" t="str">
        <f>IFERROR(VLOOKUP($C702,Tabla_Documentos[],3,FALSE),"")</f>
        <v>77082646-2</v>
      </c>
      <c r="F702" s="35" t="str">
        <f>IFERROR(VLOOKUP($C702,Tabla_Documentos[],4,FALSE),"")</f>
        <v>SOCIEDAD COMERCIALIZADORA Y DISTRIBUIDORA TRES VALLES SPA</v>
      </c>
      <c r="G702" s="38">
        <f>IFERROR(VLOOKUP($C702,Tabla_Documentos[],5,FALSE),"")</f>
        <v>119000</v>
      </c>
      <c r="H702" s="29" t="str">
        <f>IFERROR(VLOOKUP($C702,Tabla_Documentos[],6,FALSE),"")</f>
        <v>PUBLICIDAD</v>
      </c>
      <c r="I702" s="38">
        <f>IFERROR(VLOOKUP($C702,Tabla_Documentos[],5,FALSE),"")</f>
        <v>119000</v>
      </c>
      <c r="J702" s="25">
        <v>45982</v>
      </c>
    </row>
    <row r="703" spans="3:10" ht="21" customHeight="1" x14ac:dyDescent="0.25">
      <c r="C703" s="39">
        <v>1612</v>
      </c>
      <c r="D703" s="28">
        <f>IFERROR(VLOOKUP($C703,Tabla_Documentos[],2,FALSE),"")</f>
        <v>45982</v>
      </c>
      <c r="E703" s="34" t="str">
        <f>IFERROR(VLOOKUP($C703,Tabla_Documentos[],3,FALSE),"")</f>
        <v>76976580-8</v>
      </c>
      <c r="F703" s="35" t="str">
        <f>IFERROR(VLOOKUP($C703,Tabla_Documentos[],4,FALSE),"")</f>
        <v>GRANDLEASING SPA</v>
      </c>
      <c r="G703" s="38">
        <f>IFERROR(VLOOKUP($C703,Tabla_Documentos[],5,FALSE),"")</f>
        <v>47600</v>
      </c>
      <c r="H703" s="29" t="str">
        <f>IFERROR(VLOOKUP($C703,Tabla_Documentos[],6,FALSE),"")</f>
        <v>PUBLICIDAD</v>
      </c>
      <c r="I703" s="38">
        <f>IFERROR(VLOOKUP($C703,Tabla_Documentos[],5,FALSE),"")</f>
        <v>47600</v>
      </c>
      <c r="J703" s="25">
        <v>46010</v>
      </c>
    </row>
    <row r="704" spans="3:10" ht="21" customHeight="1" x14ac:dyDescent="0.25">
      <c r="C704" s="39">
        <v>1613</v>
      </c>
      <c r="D704" s="28">
        <f>IFERROR(VLOOKUP($C704,Tabla_Documentos[],2,FALSE),"")</f>
        <v>45985</v>
      </c>
      <c r="E704" s="34" t="str">
        <f>IFERROR(VLOOKUP($C704,Tabla_Documentos[],3,FALSE),"")</f>
        <v>77082646-2</v>
      </c>
      <c r="F704" s="35" t="str">
        <f>IFERROR(VLOOKUP($C704,Tabla_Documentos[],4,FALSE),"")</f>
        <v>SOCIEDAD COMERCIALIZADORA Y DISTRIBUIDORA TRES VALLES SPA</v>
      </c>
      <c r="G704" s="38">
        <f>IFERROR(VLOOKUP($C704,Tabla_Documentos[],5,FALSE),"")</f>
        <v>94010</v>
      </c>
      <c r="H704" s="29" t="str">
        <f>IFERROR(VLOOKUP($C704,Tabla_Documentos[],6,FALSE),"")</f>
        <v>PUBLICIDAD</v>
      </c>
      <c r="I704" s="38">
        <f>IFERROR(VLOOKUP($C704,Tabla_Documentos[],5,FALSE),"")</f>
        <v>94010</v>
      </c>
      <c r="J704" s="25">
        <v>45985</v>
      </c>
    </row>
    <row r="705" spans="3:10" ht="21" customHeight="1" x14ac:dyDescent="0.25">
      <c r="C705" s="39">
        <v>1614</v>
      </c>
      <c r="D705" s="28">
        <f>IFERROR(VLOOKUP($C705,Tabla_Documentos[],2,FALSE),"")</f>
        <v>45985</v>
      </c>
      <c r="E705" s="34" t="str">
        <f>IFERROR(VLOOKUP($C705,Tabla_Documentos[],3,FALSE),"")</f>
        <v>77111933-6</v>
      </c>
      <c r="F705" s="35" t="str">
        <f>IFERROR(VLOOKUP($C705,Tabla_Documentos[],4,FALSE),"")</f>
        <v>VIDRIOS Y ALUMINIOS SERVAL SPA</v>
      </c>
      <c r="G705" s="38">
        <f>IFERROR(VLOOKUP($C705,Tabla_Documentos[],5,FALSE),"")</f>
        <v>357000</v>
      </c>
      <c r="H705" s="29" t="str">
        <f>IFERROR(VLOOKUP($C705,Tabla_Documentos[],6,FALSE),"")</f>
        <v>PUBLICIDAD</v>
      </c>
      <c r="I705" s="38">
        <f>IFERROR(VLOOKUP($C705,Tabla_Documentos[],5,FALSE),"")</f>
        <v>357000</v>
      </c>
      <c r="J705" s="25">
        <v>45983</v>
      </c>
    </row>
    <row r="706" spans="3:10" ht="21" customHeight="1" x14ac:dyDescent="0.25">
      <c r="C706" s="39">
        <v>1615</v>
      </c>
      <c r="D706" s="28">
        <f>IFERROR(VLOOKUP($C706,Tabla_Documentos[],2,FALSE),"")</f>
        <v>45986</v>
      </c>
      <c r="E706" s="34" t="str">
        <f>IFERROR(VLOOKUP($C706,Tabla_Documentos[],3,FALSE),"")</f>
        <v>78095644-5</v>
      </c>
      <c r="F706" s="35" t="str">
        <f>IFERROR(VLOOKUP($C706,Tabla_Documentos[],4,FALSE),"")</f>
        <v>TRANSPORTE Y ARRIENDO MAQUINARIAS RAYKAR SPA</v>
      </c>
      <c r="G706" s="38">
        <f>IFERROR(VLOOKUP($C706,Tabla_Documentos[],5,FALSE),"")</f>
        <v>107100</v>
      </c>
      <c r="H706" s="29" t="str">
        <f>IFERROR(VLOOKUP($C706,Tabla_Documentos[],6,FALSE),"")</f>
        <v>PUBLICIDAD</v>
      </c>
      <c r="I706" s="38">
        <f>IFERROR(VLOOKUP($C706,Tabla_Documentos[],5,FALSE),"")</f>
        <v>107100</v>
      </c>
      <c r="J706" s="25">
        <v>45986</v>
      </c>
    </row>
    <row r="707" spans="3:10" ht="21" customHeight="1" x14ac:dyDescent="0.25">
      <c r="C707" s="39">
        <v>1616</v>
      </c>
      <c r="D707" s="28">
        <f>IFERROR(VLOOKUP($C707,Tabla_Documentos[],2,FALSE),"")</f>
        <v>45987</v>
      </c>
      <c r="E707" s="34" t="str">
        <f>IFERROR(VLOOKUP($C707,Tabla_Documentos[],3,FALSE),"")</f>
        <v>78029033-1</v>
      </c>
      <c r="F707" s="35" t="str">
        <f>IFERROR(VLOOKUP($C707,Tabla_Documentos[],4,FALSE),"")</f>
        <v>INGENIERIA Y SOLUCIONES ELECTRICAS INGINSEL LIMITADA</v>
      </c>
      <c r="G707" s="38">
        <f>IFERROR(VLOOKUP($C707,Tabla_Documentos[],5,FALSE),"")</f>
        <v>1940890</v>
      </c>
      <c r="H707" s="29" t="str">
        <f>IFERROR(VLOOKUP($C707,Tabla_Documentos[],6,FALSE),"")</f>
        <v>PUBLICIDAD</v>
      </c>
      <c r="I707" s="38">
        <f>IFERROR(VLOOKUP($C707,Tabla_Documentos[],5,FALSE),"")</f>
        <v>1940890</v>
      </c>
      <c r="J707" s="25">
        <v>45987</v>
      </c>
    </row>
    <row r="708" spans="3:10" ht="21" customHeight="1" x14ac:dyDescent="0.25">
      <c r="C708" s="39">
        <v>1617</v>
      </c>
      <c r="D708" s="28">
        <f>IFERROR(VLOOKUP($C708,Tabla_Documentos[],2,FALSE),"")</f>
        <v>45966</v>
      </c>
      <c r="E708" s="34" t="str">
        <f>IFERROR(VLOOKUP($C708,Tabla_Documentos[],3,FALSE),"")</f>
        <v>76336122-5</v>
      </c>
      <c r="F708" s="35" t="str">
        <f>IFERROR(VLOOKUP($C708,Tabla_Documentos[],4,FALSE),"")</f>
        <v>INGENIERIA Y SERVICIOS TERRACOP SPA</v>
      </c>
      <c r="G708" s="38">
        <f>IFERROR(VLOOKUP($C708,Tabla_Documentos[],5,FALSE),"")</f>
        <v>51170</v>
      </c>
      <c r="H708" s="29" t="str">
        <f>IFERROR(VLOOKUP($C708,Tabla_Documentos[],6,FALSE),"")</f>
        <v>PUBLICIDAD</v>
      </c>
      <c r="I708" s="38">
        <f>IFERROR(VLOOKUP($C708,Tabla_Documentos[],5,FALSE),"")</f>
        <v>51170</v>
      </c>
      <c r="J708" s="25">
        <v>45966</v>
      </c>
    </row>
    <row r="709" spans="3:10" ht="21" customHeight="1" x14ac:dyDescent="0.25">
      <c r="C709" s="39">
        <v>1618</v>
      </c>
      <c r="D709" s="28">
        <f>IFERROR(VLOOKUP($C709,Tabla_Documentos[],2,FALSE),"")</f>
        <v>45987</v>
      </c>
      <c r="E709" s="34" t="str">
        <f>IFERROR(VLOOKUP($C709,Tabla_Documentos[],3,FALSE),"")</f>
        <v>77147537-K</v>
      </c>
      <c r="F709" s="35" t="str">
        <f>IFERROR(VLOOKUP($C709,Tabla_Documentos[],4,FALSE),"")</f>
        <v>SOLYSERV SPA</v>
      </c>
      <c r="G709" s="38">
        <f>IFERROR(VLOOKUP($C709,Tabla_Documentos[],5,FALSE),"")</f>
        <v>113050</v>
      </c>
      <c r="H709" s="29" t="str">
        <f>IFERROR(VLOOKUP($C709,Tabla_Documentos[],6,FALSE),"")</f>
        <v>PUBLICIDAD</v>
      </c>
      <c r="I709" s="38">
        <f>IFERROR(VLOOKUP($C709,Tabla_Documentos[],5,FALSE),"")</f>
        <v>113050</v>
      </c>
      <c r="J709" s="25">
        <v>45987</v>
      </c>
    </row>
    <row r="710" spans="3:10" ht="21" customHeight="1" x14ac:dyDescent="0.25">
      <c r="C710" s="39">
        <v>1619</v>
      </c>
      <c r="D710" s="28">
        <f>IFERROR(VLOOKUP($C710,Tabla_Documentos[],2,FALSE),"")</f>
        <v>45987</v>
      </c>
      <c r="E710" s="34" t="str">
        <f>IFERROR(VLOOKUP($C710,Tabla_Documentos[],3,FALSE),"")</f>
        <v>77789862-0</v>
      </c>
      <c r="F710" s="35" t="str">
        <f>IFERROR(VLOOKUP($C710,Tabla_Documentos[],4,FALSE),"")</f>
        <v>MOINCO INGENIERIA SPA</v>
      </c>
      <c r="G710" s="38">
        <f>IFERROR(VLOOKUP($C710,Tabla_Documentos[],5,FALSE),"")</f>
        <v>2119866</v>
      </c>
      <c r="H710" s="29" t="str">
        <f>IFERROR(VLOOKUP($C710,Tabla_Documentos[],6,FALSE),"")</f>
        <v>PUBLICIDAD</v>
      </c>
      <c r="I710" s="38">
        <f>IFERROR(VLOOKUP($C710,Tabla_Documentos[],5,FALSE),"")</f>
        <v>2119866</v>
      </c>
      <c r="J710" s="25">
        <v>45987</v>
      </c>
    </row>
    <row r="711" spans="3:10" ht="21" customHeight="1" x14ac:dyDescent="0.25">
      <c r="C711" s="39">
        <v>1620</v>
      </c>
      <c r="D711" s="28">
        <f>IFERROR(VLOOKUP($C711,Tabla_Documentos[],2,FALSE),"")</f>
        <v>45988</v>
      </c>
      <c r="E711" s="34" t="str">
        <f>IFERROR(VLOOKUP($C711,Tabla_Documentos[],3,FALSE),"")</f>
        <v>9051431-8</v>
      </c>
      <c r="F711" s="35" t="str">
        <f>IFERROR(VLOOKUP($C711,Tabla_Documentos[],4,FALSE),"")</f>
        <v>RAMON ANGEL RIQUELME OLIVARES</v>
      </c>
      <c r="G711" s="38">
        <f>IFERROR(VLOOKUP($C711,Tabla_Documentos[],5,FALSE),"")</f>
        <v>119000</v>
      </c>
      <c r="H711" s="29" t="str">
        <f>IFERROR(VLOOKUP($C711,Tabla_Documentos[],6,FALSE),"")</f>
        <v>PUBLICIDAD</v>
      </c>
      <c r="I711" s="38">
        <f>IFERROR(VLOOKUP($C711,Tabla_Documentos[],5,FALSE),"")</f>
        <v>119000</v>
      </c>
      <c r="J711" s="25">
        <v>45988</v>
      </c>
    </row>
    <row r="712" spans="3:10" ht="21" customHeight="1" x14ac:dyDescent="0.25">
      <c r="C712" s="39">
        <v>1621</v>
      </c>
      <c r="D712" s="28">
        <f>IFERROR(VLOOKUP($C712,Tabla_Documentos[],2,FALSE),"")</f>
        <v>45988</v>
      </c>
      <c r="E712" s="34" t="str">
        <f>IFERROR(VLOOKUP($C712,Tabla_Documentos[],3,FALSE),"")</f>
        <v>9051431-8</v>
      </c>
      <c r="F712" s="35" t="str">
        <f>IFERROR(VLOOKUP($C712,Tabla_Documentos[],4,FALSE),"")</f>
        <v>RAMON ANGEL RIQUELME OLIVARES</v>
      </c>
      <c r="G712" s="38">
        <f>IFERROR(VLOOKUP($C712,Tabla_Documentos[],5,FALSE),"")</f>
        <v>11900</v>
      </c>
      <c r="H712" s="29" t="str">
        <f>IFERROR(VLOOKUP($C712,Tabla_Documentos[],6,FALSE),"")</f>
        <v>PUBLICIDAD</v>
      </c>
      <c r="I712" s="38">
        <f>IFERROR(VLOOKUP($C712,Tabla_Documentos[],5,FALSE),"")</f>
        <v>11900</v>
      </c>
      <c r="J712" s="25">
        <v>45988</v>
      </c>
    </row>
    <row r="713" spans="3:10" ht="21" customHeight="1" x14ac:dyDescent="0.25">
      <c r="C713" s="39">
        <v>1622</v>
      </c>
      <c r="D713" s="28">
        <f>IFERROR(VLOOKUP($C713,Tabla_Documentos[],2,FALSE),"")</f>
        <v>45988</v>
      </c>
      <c r="E713" s="34" t="str">
        <f>IFERROR(VLOOKUP($C713,Tabla_Documentos[],3,FALSE),"")</f>
        <v>9051431-8</v>
      </c>
      <c r="F713" s="35" t="str">
        <f>IFERROR(VLOOKUP($C713,Tabla_Documentos[],4,FALSE),"")</f>
        <v>RAMON ANGEL RIQUELME OLIVARES</v>
      </c>
      <c r="G713" s="38">
        <f>IFERROR(VLOOKUP($C713,Tabla_Documentos[],5,FALSE),"")</f>
        <v>28560</v>
      </c>
      <c r="H713" s="29" t="str">
        <f>IFERROR(VLOOKUP($C713,Tabla_Documentos[],6,FALSE),"")</f>
        <v>PUBLICIDAD</v>
      </c>
      <c r="I713" s="38">
        <f>IFERROR(VLOOKUP($C713,Tabla_Documentos[],5,FALSE),"")</f>
        <v>28560</v>
      </c>
      <c r="J713" s="25">
        <v>45988</v>
      </c>
    </row>
    <row r="714" spans="3:10" ht="21" customHeight="1" x14ac:dyDescent="0.25">
      <c r="C714" s="39">
        <v>1623</v>
      </c>
      <c r="D714" s="28">
        <f>IFERROR(VLOOKUP($C714,Tabla_Documentos[],2,FALSE),"")</f>
        <v>45988</v>
      </c>
      <c r="E714" s="34" t="str">
        <f>IFERROR(VLOOKUP($C714,Tabla_Documentos[],3,FALSE),"")</f>
        <v>77591285-5</v>
      </c>
      <c r="F714" s="35" t="str">
        <f>IFERROR(VLOOKUP($C714,Tabla_Documentos[],4,FALSE),"")</f>
        <v>TRANSPORTES Y LOGISTICA PAZ OCHOA SPA</v>
      </c>
      <c r="G714" s="38">
        <f>IFERROR(VLOOKUP($C714,Tabla_Documentos[],5,FALSE),"")</f>
        <v>24990</v>
      </c>
      <c r="H714" s="29" t="str">
        <f>IFERROR(VLOOKUP($C714,Tabla_Documentos[],6,FALSE),"")</f>
        <v>PUBLICIDAD</v>
      </c>
      <c r="I714" s="38">
        <f>IFERROR(VLOOKUP($C714,Tabla_Documentos[],5,FALSE),"")</f>
        <v>24990</v>
      </c>
      <c r="J714" s="25">
        <v>45988</v>
      </c>
    </row>
    <row r="715" spans="3:10" ht="21" customHeight="1" x14ac:dyDescent="0.25">
      <c r="C715" s="39">
        <v>1624</v>
      </c>
      <c r="D715" s="28">
        <f>IFERROR(VLOOKUP($C715,Tabla_Documentos[],2,FALSE),"")</f>
        <v>45989</v>
      </c>
      <c r="E715" s="34" t="str">
        <f>IFERROR(VLOOKUP($C715,Tabla_Documentos[],3,FALSE),"")</f>
        <v>77916387-3</v>
      </c>
      <c r="F715" s="35" t="str">
        <f>IFERROR(VLOOKUP($C715,Tabla_Documentos[],4,FALSE),"")</f>
        <v>DHARMA SPA</v>
      </c>
      <c r="G715" s="38">
        <f>IFERROR(VLOOKUP($C715,Tabla_Documentos[],5,FALSE),"")</f>
        <v>92000</v>
      </c>
      <c r="H715" s="29" t="str">
        <f>IFERROR(VLOOKUP($C715,Tabla_Documentos[],6,FALSE),"")</f>
        <v>PUBLICIDAD</v>
      </c>
      <c r="I715" s="38">
        <f>IFERROR(VLOOKUP($C715,Tabla_Documentos[],5,FALSE),"")</f>
        <v>92000</v>
      </c>
      <c r="J715" s="25">
        <v>45989</v>
      </c>
    </row>
    <row r="716" spans="3:10" ht="21" customHeight="1" x14ac:dyDescent="0.25">
      <c r="C716" s="39">
        <v>1625</v>
      </c>
      <c r="D716" s="28">
        <f>IFERROR(VLOOKUP($C716,Tabla_Documentos[],2,FALSE),"")</f>
        <v>45992</v>
      </c>
      <c r="E716" s="34" t="str">
        <f>IFERROR(VLOOKUP($C716,Tabla_Documentos[],3,FALSE),"")</f>
        <v>76351223-1</v>
      </c>
      <c r="F716" s="35" t="str">
        <f>IFERROR(VLOOKUP($C716,Tabla_Documentos[],4,FALSE),"")</f>
        <v>CITEXCO SPA</v>
      </c>
      <c r="G716" s="38">
        <f>IFERROR(VLOOKUP($C716,Tabla_Documentos[],5,FALSE),"")</f>
        <v>59500</v>
      </c>
      <c r="H716" s="29" t="str">
        <f>IFERROR(VLOOKUP($C716,Tabla_Documentos[],6,FALSE),"")</f>
        <v>PUBLICIDAD</v>
      </c>
      <c r="I716" s="38">
        <f>IFERROR(VLOOKUP($C716,Tabla_Documentos[],5,FALSE),"")</f>
        <v>59500</v>
      </c>
      <c r="J716" s="25">
        <v>45992</v>
      </c>
    </row>
    <row r="717" spans="3:10" ht="21" customHeight="1" x14ac:dyDescent="0.25">
      <c r="C717" s="39">
        <v>1626</v>
      </c>
      <c r="D717" s="28">
        <f>IFERROR(VLOOKUP($C717,Tabla_Documentos[],2,FALSE),"")</f>
        <v>45992</v>
      </c>
      <c r="E717" s="34" t="str">
        <f>IFERROR(VLOOKUP($C717,Tabla_Documentos[],3,FALSE),"")</f>
        <v>76346498-9</v>
      </c>
      <c r="F717" s="35" t="str">
        <f>IFERROR(VLOOKUP($C717,Tabla_Documentos[],4,FALSE),"")</f>
        <v>CONSTRUCTORA CARLOS ALBERTO ANDRES ALBISTUR REYES E.I.R.L.</v>
      </c>
      <c r="G717" s="38">
        <f>IFERROR(VLOOKUP($C717,Tabla_Documentos[],5,FALSE),"")</f>
        <v>64855</v>
      </c>
      <c r="H717" s="29" t="str">
        <f>IFERROR(VLOOKUP($C717,Tabla_Documentos[],6,FALSE),"")</f>
        <v>PUBLICIDAD</v>
      </c>
      <c r="I717" s="38">
        <f>IFERROR(VLOOKUP($C717,Tabla_Documentos[],5,FALSE),"")</f>
        <v>64855</v>
      </c>
      <c r="J717" s="25">
        <v>46006</v>
      </c>
    </row>
    <row r="718" spans="3:10" ht="21" customHeight="1" x14ac:dyDescent="0.25">
      <c r="C718" s="39">
        <v>1627</v>
      </c>
      <c r="D718" s="28">
        <f>IFERROR(VLOOKUP($C718,Tabla_Documentos[],2,FALSE),"")</f>
        <v>45992</v>
      </c>
      <c r="E718" s="34" t="str">
        <f>IFERROR(VLOOKUP($C718,Tabla_Documentos[],3,FALSE),"")</f>
        <v>76346498-9</v>
      </c>
      <c r="F718" s="35" t="str">
        <f>IFERROR(VLOOKUP($C718,Tabla_Documentos[],4,FALSE),"")</f>
        <v>CONSTRUCTORA CARLOS ALBERTO ANDRES ALBISTUR REYES E.I.R.L.</v>
      </c>
      <c r="G718" s="38">
        <f>IFERROR(VLOOKUP($C718,Tabla_Documentos[],5,FALSE),"")</f>
        <v>386631</v>
      </c>
      <c r="H718" s="29" t="str">
        <f>IFERROR(VLOOKUP($C718,Tabla_Documentos[],6,FALSE),"")</f>
        <v>PUBLICIDAD</v>
      </c>
      <c r="I718" s="38">
        <f>IFERROR(VLOOKUP($C718,Tabla_Documentos[],5,FALSE),"")</f>
        <v>386631</v>
      </c>
      <c r="J718" s="25">
        <v>46006</v>
      </c>
    </row>
    <row r="719" spans="3:10" ht="21" customHeight="1" x14ac:dyDescent="0.25">
      <c r="C719" s="39">
        <v>1628</v>
      </c>
      <c r="D719" s="28">
        <f>IFERROR(VLOOKUP($C719,Tabla_Documentos[],2,FALSE),"")</f>
        <v>45992</v>
      </c>
      <c r="E719" s="34" t="str">
        <f>IFERROR(VLOOKUP($C719,Tabla_Documentos[],3,FALSE),"")</f>
        <v>76346498-9</v>
      </c>
      <c r="F719" s="35" t="str">
        <f>IFERROR(VLOOKUP($C719,Tabla_Documentos[],4,FALSE),"")</f>
        <v>CONSTRUCTORA CARLOS ALBERTO ANDRES ALBISTUR REYES E.I.R.L.</v>
      </c>
      <c r="G719" s="38">
        <f>IFERROR(VLOOKUP($C719,Tabla_Documentos[],5,FALSE),"")</f>
        <v>128520</v>
      </c>
      <c r="H719" s="29" t="str">
        <f>IFERROR(VLOOKUP($C719,Tabla_Documentos[],6,FALSE),"")</f>
        <v>PUBLICIDAD</v>
      </c>
      <c r="I719" s="38">
        <f>IFERROR(VLOOKUP($C719,Tabla_Documentos[],5,FALSE),"")</f>
        <v>128520</v>
      </c>
      <c r="J719" s="25">
        <v>46006</v>
      </c>
    </row>
    <row r="720" spans="3:10" ht="21" customHeight="1" x14ac:dyDescent="0.25">
      <c r="C720" s="39">
        <v>1629</v>
      </c>
      <c r="D720" s="28">
        <f>IFERROR(VLOOKUP($C720,Tabla_Documentos[],2,FALSE),"")</f>
        <v>45993</v>
      </c>
      <c r="E720" s="34" t="str">
        <f>IFERROR(VLOOKUP($C720,Tabla_Documentos[],3,FALSE),"")</f>
        <v>76686099-0</v>
      </c>
      <c r="F720" s="35" t="str">
        <f>IFERROR(VLOOKUP($C720,Tabla_Documentos[],4,FALSE),"")</f>
        <v>EMPRESA MILLAN LIMITADA</v>
      </c>
      <c r="G720" s="38">
        <f>IFERROR(VLOOKUP($C720,Tabla_Documentos[],5,FALSE),"")</f>
        <v>17850</v>
      </c>
      <c r="H720" s="29" t="str">
        <f>IFERROR(VLOOKUP($C720,Tabla_Documentos[],6,FALSE),"")</f>
        <v>PUBLICIDAD</v>
      </c>
      <c r="I720" s="38">
        <f>IFERROR(VLOOKUP($C720,Tabla_Documentos[],5,FALSE),"")</f>
        <v>17850</v>
      </c>
      <c r="J720" s="25">
        <v>45993</v>
      </c>
    </row>
    <row r="721" spans="3:10" ht="21" customHeight="1" x14ac:dyDescent="0.25">
      <c r="C721" s="39">
        <v>1630</v>
      </c>
      <c r="D721" s="28">
        <f>IFERROR(VLOOKUP($C721,Tabla_Documentos[],2,FALSE),"")</f>
        <v>45994</v>
      </c>
      <c r="E721" s="34" t="str">
        <f>IFERROR(VLOOKUP($C721,Tabla_Documentos[],3,FALSE),"")</f>
        <v>76300628-K</v>
      </c>
      <c r="F721" s="35" t="str">
        <f>IFERROR(VLOOKUP($C721,Tabla_Documentos[],4,FALSE),"")</f>
        <v>ATACAMA TECH SPA</v>
      </c>
      <c r="G721" s="38">
        <f>IFERROR(VLOOKUP($C721,Tabla_Documentos[],5,FALSE),"")</f>
        <v>107100</v>
      </c>
      <c r="H721" s="29" t="str">
        <f>IFERROR(VLOOKUP($C721,Tabla_Documentos[],6,FALSE),"")</f>
        <v>PUBLICIDAD</v>
      </c>
      <c r="I721" s="38">
        <f>IFERROR(VLOOKUP($C721,Tabla_Documentos[],5,FALSE),"")</f>
        <v>107100</v>
      </c>
      <c r="J721" s="25">
        <v>45994</v>
      </c>
    </row>
    <row r="722" spans="3:10" ht="21" customHeight="1" x14ac:dyDescent="0.25">
      <c r="C722" s="39">
        <v>1631</v>
      </c>
      <c r="D722" s="28">
        <f>IFERROR(VLOOKUP($C722,Tabla_Documentos[],2,FALSE),"")</f>
        <v>45994</v>
      </c>
      <c r="E722" s="34" t="str">
        <f>IFERROR(VLOOKUP($C722,Tabla_Documentos[],3,FALSE),"")</f>
        <v>77840923-2</v>
      </c>
      <c r="F722" s="35" t="str">
        <f>IFERROR(VLOOKUP($C722,Tabla_Documentos[],4,FALSE),"")</f>
        <v>INGENIERIA GACITUA SPA</v>
      </c>
      <c r="G722" s="38">
        <f>IFERROR(VLOOKUP($C722,Tabla_Documentos[],5,FALSE),"")</f>
        <v>62475</v>
      </c>
      <c r="H722" s="29" t="str">
        <f>IFERROR(VLOOKUP($C722,Tabla_Documentos[],6,FALSE),"")</f>
        <v>PUBLICIDAD</v>
      </c>
      <c r="I722" s="38">
        <f>IFERROR(VLOOKUP($C722,Tabla_Documentos[],5,FALSE),"")</f>
        <v>62475</v>
      </c>
      <c r="J722" s="25">
        <v>45994</v>
      </c>
    </row>
    <row r="723" spans="3:10" ht="21" customHeight="1" x14ac:dyDescent="0.25">
      <c r="C723" s="39">
        <v>1632</v>
      </c>
      <c r="D723" s="28">
        <f>IFERROR(VLOOKUP($C723,Tabla_Documentos[],2,FALSE),"")</f>
        <v>45994</v>
      </c>
      <c r="E723" s="34" t="str">
        <f>IFERROR(VLOOKUP($C723,Tabla_Documentos[],3,FALSE),"")</f>
        <v>78175978-3</v>
      </c>
      <c r="F723" s="35" t="str">
        <f>IFERROR(VLOOKUP($C723,Tabla_Documentos[],4,FALSE),"")</f>
        <v>RAMOS SERVICES SPA</v>
      </c>
      <c r="G723" s="38">
        <f>IFERROR(VLOOKUP($C723,Tabla_Documentos[],5,FALSE),"")</f>
        <v>21420</v>
      </c>
      <c r="H723" s="29" t="str">
        <f>IFERROR(VLOOKUP($C723,Tabla_Documentos[],6,FALSE),"")</f>
        <v>PUBLICIDAD</v>
      </c>
      <c r="I723" s="38">
        <f>IFERROR(VLOOKUP($C723,Tabla_Documentos[],5,FALSE),"")</f>
        <v>21420</v>
      </c>
      <c r="J723" s="25">
        <v>45994</v>
      </c>
    </row>
    <row r="724" spans="3:10" ht="21" customHeight="1" x14ac:dyDescent="0.25">
      <c r="C724" s="39">
        <v>1633</v>
      </c>
      <c r="D724" s="28">
        <f>IFERROR(VLOOKUP($C724,Tabla_Documentos[],2,FALSE),"")</f>
        <v>45994</v>
      </c>
      <c r="E724" s="34" t="str">
        <f>IFERROR(VLOOKUP($C724,Tabla_Documentos[],3,FALSE),"")</f>
        <v>77866835-1</v>
      </c>
      <c r="F724" s="35" t="str">
        <f>IFERROR(VLOOKUP($C724,Tabla_Documentos[],4,FALSE),"")</f>
        <v>MARTEX SPA</v>
      </c>
      <c r="G724" s="38">
        <f>IFERROR(VLOOKUP($C724,Tabla_Documentos[],5,FALSE),"")</f>
        <v>535500</v>
      </c>
      <c r="H724" s="29" t="str">
        <f>IFERROR(VLOOKUP($C724,Tabla_Documentos[],6,FALSE),"")</f>
        <v>PUBLICIDAD</v>
      </c>
      <c r="I724" s="38">
        <f>IFERROR(VLOOKUP($C724,Tabla_Documentos[],5,FALSE),"")</f>
        <v>535500</v>
      </c>
      <c r="J724" s="25">
        <v>45994</v>
      </c>
    </row>
    <row r="725" spans="3:10" ht="21" customHeight="1" x14ac:dyDescent="0.25">
      <c r="C725" s="39">
        <v>1634</v>
      </c>
      <c r="D725" s="28">
        <f>IFERROR(VLOOKUP($C725,Tabla_Documentos[],2,FALSE),"")</f>
        <v>45994</v>
      </c>
      <c r="E725" s="34" t="str">
        <f>IFERROR(VLOOKUP($C725,Tabla_Documentos[],3,FALSE),"")</f>
        <v>76219811-8</v>
      </c>
      <c r="F725" s="35" t="str">
        <f>IFERROR(VLOOKUP($C725,Tabla_Documentos[],4,FALSE),"")</f>
        <v>COMERCIAL BOREAL SPA</v>
      </c>
      <c r="G725" s="38">
        <f>IFERROR(VLOOKUP($C725,Tabla_Documentos[],5,FALSE),"")</f>
        <v>135660</v>
      </c>
      <c r="H725" s="29" t="str">
        <f>IFERROR(VLOOKUP($C725,Tabla_Documentos[],6,FALSE),"")</f>
        <v>PUBLICIDAD</v>
      </c>
      <c r="I725" s="38">
        <f>IFERROR(VLOOKUP($C725,Tabla_Documentos[],5,FALSE),"")</f>
        <v>135660</v>
      </c>
      <c r="J725" s="25">
        <v>45994</v>
      </c>
    </row>
    <row r="726" spans="3:10" ht="21" customHeight="1" x14ac:dyDescent="0.25">
      <c r="C726" s="39">
        <v>1635</v>
      </c>
      <c r="D726" s="28">
        <f>IFERROR(VLOOKUP($C726,Tabla_Documentos[],2,FALSE),"")</f>
        <v>45995</v>
      </c>
      <c r="E726" s="34" t="str">
        <f>IFERROR(VLOOKUP($C726,Tabla_Documentos[],3,FALSE),"")</f>
        <v>77513077-6</v>
      </c>
      <c r="F726" s="35" t="str">
        <f>IFERROR(VLOOKUP($C726,Tabla_Documentos[],4,FALSE),"")</f>
        <v>SOCIEDAD SB CARRASQUERO SPA</v>
      </c>
      <c r="G726" s="38">
        <f>IFERROR(VLOOKUP($C726,Tabla_Documentos[],5,FALSE),"")</f>
        <v>17850</v>
      </c>
      <c r="H726" s="29" t="str">
        <f>IFERROR(VLOOKUP($C726,Tabla_Documentos[],6,FALSE),"")</f>
        <v>PUBLICIDAD</v>
      </c>
      <c r="I726" s="38">
        <f>IFERROR(VLOOKUP($C726,Tabla_Documentos[],5,FALSE),"")</f>
        <v>17850</v>
      </c>
      <c r="J726" s="25">
        <v>45995</v>
      </c>
    </row>
    <row r="727" spans="3:10" ht="21" customHeight="1" x14ac:dyDescent="0.25">
      <c r="C727" s="39">
        <v>1636</v>
      </c>
      <c r="D727" s="28">
        <f>IFERROR(VLOOKUP($C727,Tabla_Documentos[],2,FALSE),"")</f>
        <v>45996</v>
      </c>
      <c r="E727" s="34" t="str">
        <f>IFERROR(VLOOKUP($C727,Tabla_Documentos[],3,FALSE),"")</f>
        <v>73603200-7</v>
      </c>
      <c r="F727" s="35" t="str">
        <f>IFERROR(VLOOKUP($C727,Tabla_Documentos[],4,FALSE),"")</f>
        <v>ASOC DE BASQUETBOL DE COPIAPO</v>
      </c>
      <c r="G727" s="38">
        <f>IFERROR(VLOOKUP($C727,Tabla_Documentos[],5,FALSE),"")</f>
        <v>416500</v>
      </c>
      <c r="H727" s="29" t="str">
        <f>IFERROR(VLOOKUP($C727,Tabla_Documentos[],6,FALSE),"")</f>
        <v>PUBLICIDAD</v>
      </c>
      <c r="I727" s="38">
        <f>IFERROR(VLOOKUP($C727,Tabla_Documentos[],5,FALSE),"")</f>
        <v>416500</v>
      </c>
      <c r="J727" s="25">
        <v>45996</v>
      </c>
    </row>
    <row r="728" spans="3:10" ht="21" customHeight="1" x14ac:dyDescent="0.25">
      <c r="C728" s="39">
        <v>1637</v>
      </c>
      <c r="D728" s="28">
        <f>IFERROR(VLOOKUP($C728,Tabla_Documentos[],2,FALSE),"")</f>
        <v>45996</v>
      </c>
      <c r="E728" s="34" t="str">
        <f>IFERROR(VLOOKUP($C728,Tabla_Documentos[],3,FALSE),"")</f>
        <v>76118728-7</v>
      </c>
      <c r="F728" s="35" t="str">
        <f>IFERROR(VLOOKUP($C728,Tabla_Documentos[],4,FALSE),"")</f>
        <v>INGENIERIA HIDRAULICA LIMITADA</v>
      </c>
      <c r="G728" s="38">
        <f>IFERROR(VLOOKUP($C728,Tabla_Documentos[],5,FALSE),"")</f>
        <v>452200</v>
      </c>
      <c r="H728" s="29" t="str">
        <f>IFERROR(VLOOKUP($C728,Tabla_Documentos[],6,FALSE),"")</f>
        <v>PUBLICIDAD</v>
      </c>
      <c r="I728" s="38">
        <f>IFERROR(VLOOKUP($C728,Tabla_Documentos[],5,FALSE),"")</f>
        <v>452200</v>
      </c>
      <c r="J728" s="25">
        <v>45996</v>
      </c>
    </row>
    <row r="729" spans="3:10" ht="21" customHeight="1" x14ac:dyDescent="0.25">
      <c r="C729" s="39">
        <v>1638</v>
      </c>
      <c r="D729" s="28">
        <f>IFERROR(VLOOKUP($C729,Tabla_Documentos[],2,FALSE),"")</f>
        <v>45996</v>
      </c>
      <c r="E729" s="34" t="str">
        <f>IFERROR(VLOOKUP($C729,Tabla_Documentos[],3,FALSE),"")</f>
        <v>76639069-2</v>
      </c>
      <c r="F729" s="35" t="str">
        <f>IFERROR(VLOOKUP($C729,Tabla_Documentos[],4,FALSE),"")</f>
        <v>EL SALADO SPA</v>
      </c>
      <c r="G729" s="38">
        <f>IFERROR(VLOOKUP($C729,Tabla_Documentos[],5,FALSE),"")</f>
        <v>89250</v>
      </c>
      <c r="H729" s="29" t="str">
        <f>IFERROR(VLOOKUP($C729,Tabla_Documentos[],6,FALSE),"")</f>
        <v>PUBLICIDAD</v>
      </c>
      <c r="I729" s="38">
        <f>IFERROR(VLOOKUP($C729,Tabla_Documentos[],5,FALSE),"")</f>
        <v>89250</v>
      </c>
      <c r="J729" s="25">
        <v>45996</v>
      </c>
    </row>
    <row r="730" spans="3:10" ht="21" customHeight="1" x14ac:dyDescent="0.25">
      <c r="C730" s="39">
        <v>1639</v>
      </c>
      <c r="D730" s="28">
        <f>IFERROR(VLOOKUP($C730,Tabla_Documentos[],2,FALSE),"")</f>
        <v>45996</v>
      </c>
      <c r="E730" s="34" t="str">
        <f>IFERROR(VLOOKUP($C730,Tabla_Documentos[],3,FALSE),"")</f>
        <v>78201362-9</v>
      </c>
      <c r="F730" s="35" t="str">
        <f>IFERROR(VLOOKUP($C730,Tabla_Documentos[],4,FALSE),"")</f>
        <v>BLAST TRUCK INGENIERÃA Y MANTENIMIENTO SPA</v>
      </c>
      <c r="G730" s="38">
        <f>IFERROR(VLOOKUP($C730,Tabla_Documentos[],5,FALSE),"")</f>
        <v>523600</v>
      </c>
      <c r="H730" s="29" t="str">
        <f>IFERROR(VLOOKUP($C730,Tabla_Documentos[],6,FALSE),"")</f>
        <v>PUBLICIDAD</v>
      </c>
      <c r="I730" s="38">
        <f>IFERROR(VLOOKUP($C730,Tabla_Documentos[],5,FALSE),"")</f>
        <v>523600</v>
      </c>
      <c r="J730" s="25">
        <v>45996</v>
      </c>
    </row>
    <row r="731" spans="3:10" ht="21" customHeight="1" x14ac:dyDescent="0.25">
      <c r="C731" s="39">
        <v>1640</v>
      </c>
      <c r="D731" s="28">
        <f>IFERROR(VLOOKUP($C731,Tabla_Documentos[],2,FALSE),"")</f>
        <v>45996</v>
      </c>
      <c r="E731" s="34" t="str">
        <f>IFERROR(VLOOKUP($C731,Tabla_Documentos[],3,FALSE),"")</f>
        <v>78201362-9</v>
      </c>
      <c r="F731" s="35" t="str">
        <f>IFERROR(VLOOKUP($C731,Tabla_Documentos[],4,FALSE),"")</f>
        <v>BLAST TRUCK INGENIERÃA Y MANTENIMIENTO SPA</v>
      </c>
      <c r="G731" s="38">
        <f>IFERROR(VLOOKUP($C731,Tabla_Documentos[],5,FALSE),"")</f>
        <v>261800</v>
      </c>
      <c r="H731" s="29" t="str">
        <f>IFERROR(VLOOKUP($C731,Tabla_Documentos[],6,FALSE),"")</f>
        <v>PUBLICIDAD</v>
      </c>
      <c r="I731" s="38">
        <f>IFERROR(VLOOKUP($C731,Tabla_Documentos[],5,FALSE),"")</f>
        <v>261800</v>
      </c>
      <c r="J731" s="25">
        <v>45996</v>
      </c>
    </row>
    <row r="732" spans="3:10" ht="21" customHeight="1" x14ac:dyDescent="0.25">
      <c r="C732" s="39">
        <v>1641</v>
      </c>
      <c r="D732" s="28">
        <f>IFERROR(VLOOKUP($C732,Tabla_Documentos[],2,FALSE),"")</f>
        <v>45996</v>
      </c>
      <c r="E732" s="34" t="str">
        <f>IFERROR(VLOOKUP($C732,Tabla_Documentos[],3,FALSE),"")</f>
        <v>77338558-0</v>
      </c>
      <c r="F732" s="35" t="str">
        <f>IFERROR(VLOOKUP($C732,Tabla_Documentos[],4,FALSE),"")</f>
        <v>MAFA COMERCIAL SPA</v>
      </c>
      <c r="G732" s="38">
        <f>IFERROR(VLOOKUP($C732,Tabla_Documentos[],5,FALSE),"")</f>
        <v>71400</v>
      </c>
      <c r="H732" s="29" t="str">
        <f>IFERROR(VLOOKUP($C732,Tabla_Documentos[],6,FALSE),"")</f>
        <v>PUBLICIDAD</v>
      </c>
      <c r="I732" s="38">
        <f>IFERROR(VLOOKUP($C732,Tabla_Documentos[],5,FALSE),"")</f>
        <v>71400</v>
      </c>
      <c r="J732" s="25">
        <v>45996</v>
      </c>
    </row>
    <row r="733" spans="3:10" ht="21" customHeight="1" x14ac:dyDescent="0.25">
      <c r="C733" s="39">
        <v>1642</v>
      </c>
      <c r="D733" s="28">
        <f>IFERROR(VLOOKUP($C733,Tabla_Documentos[],2,FALSE),"")</f>
        <v>45996</v>
      </c>
      <c r="E733" s="34" t="str">
        <f>IFERROR(VLOOKUP($C733,Tabla_Documentos[],3,FALSE),"")</f>
        <v>77490067-5</v>
      </c>
      <c r="F733" s="35" t="str">
        <f>IFERROR(VLOOKUP($C733,Tabla_Documentos[],4,FALSE),"")</f>
        <v>INTEGRAL SPA</v>
      </c>
      <c r="G733" s="38">
        <f>IFERROR(VLOOKUP($C733,Tabla_Documentos[],5,FALSE),"")</f>
        <v>142800</v>
      </c>
      <c r="H733" s="29" t="str">
        <f>IFERROR(VLOOKUP($C733,Tabla_Documentos[],6,FALSE),"")</f>
        <v>PUBLICIDAD</v>
      </c>
      <c r="I733" s="38">
        <f>IFERROR(VLOOKUP($C733,Tabla_Documentos[],5,FALSE),"")</f>
        <v>142800</v>
      </c>
      <c r="J733" s="25">
        <v>45996</v>
      </c>
    </row>
    <row r="734" spans="3:10" ht="21" customHeight="1" x14ac:dyDescent="0.25">
      <c r="C734" s="39">
        <v>1644</v>
      </c>
      <c r="D734" s="28">
        <f>IFERROR(VLOOKUP($C734,Tabla_Documentos[],2,FALSE),"")</f>
        <v>46001</v>
      </c>
      <c r="E734" s="34" t="str">
        <f>IFERROR(VLOOKUP($C734,Tabla_Documentos[],3,FALSE),"")</f>
        <v>76686138-5</v>
      </c>
      <c r="F734" s="35" t="str">
        <f>IFERROR(VLOOKUP($C734,Tabla_Documentos[],4,FALSE),"")</f>
        <v>SKC RED SPA</v>
      </c>
      <c r="G734" s="38">
        <f>IFERROR(VLOOKUP($C734,Tabla_Documentos[],5,FALSE),"")</f>
        <v>249900</v>
      </c>
      <c r="H734" s="29" t="str">
        <f>IFERROR(VLOOKUP($C734,Tabla_Documentos[],6,FALSE),"")</f>
        <v>PUBLICIDAD</v>
      </c>
      <c r="I734" s="38">
        <f>IFERROR(VLOOKUP($C734,Tabla_Documentos[],5,FALSE),"")</f>
        <v>249900</v>
      </c>
      <c r="J734" s="25">
        <v>46031</v>
      </c>
    </row>
    <row r="735" spans="3:10" ht="21" customHeight="1" x14ac:dyDescent="0.25">
      <c r="C735" s="39">
        <v>1645</v>
      </c>
      <c r="D735" s="28">
        <f>IFERROR(VLOOKUP($C735,Tabla_Documentos[],2,FALSE),"")</f>
        <v>46001</v>
      </c>
      <c r="E735" s="34" t="str">
        <f>IFERROR(VLOOKUP($C735,Tabla_Documentos[],3,FALSE),"")</f>
        <v>76686138-5</v>
      </c>
      <c r="F735" s="35" t="str">
        <f>IFERROR(VLOOKUP($C735,Tabla_Documentos[],4,FALSE),"")</f>
        <v>SKC RED SPA</v>
      </c>
      <c r="G735" s="38">
        <f>IFERROR(VLOOKUP($C735,Tabla_Documentos[],5,FALSE),"")</f>
        <v>249900</v>
      </c>
      <c r="H735" s="29" t="str">
        <f>IFERROR(VLOOKUP($C735,Tabla_Documentos[],6,FALSE),"")</f>
        <v>PUBLICIDAD</v>
      </c>
      <c r="I735" s="38">
        <f>IFERROR(VLOOKUP($C735,Tabla_Documentos[],5,FALSE),"")</f>
        <v>249900</v>
      </c>
      <c r="J735" s="25">
        <v>46031</v>
      </c>
    </row>
    <row r="736" spans="3:10" ht="21" customHeight="1" x14ac:dyDescent="0.25">
      <c r="C736" s="39">
        <v>1646</v>
      </c>
      <c r="D736" s="28">
        <f>IFERROR(VLOOKUP($C736,Tabla_Documentos[],2,FALSE),"")</f>
        <v>46001</v>
      </c>
      <c r="E736" s="34" t="str">
        <f>IFERROR(VLOOKUP($C736,Tabla_Documentos[],3,FALSE),"")</f>
        <v>76686138-5</v>
      </c>
      <c r="F736" s="35" t="str">
        <f>IFERROR(VLOOKUP($C736,Tabla_Documentos[],4,FALSE),"")</f>
        <v>SKC RED SPA</v>
      </c>
      <c r="G736" s="38">
        <f>IFERROR(VLOOKUP($C736,Tabla_Documentos[],5,FALSE),"")</f>
        <v>249900</v>
      </c>
      <c r="H736" s="29" t="str">
        <f>IFERROR(VLOOKUP($C736,Tabla_Documentos[],6,FALSE),"")</f>
        <v>PUBLICIDAD</v>
      </c>
      <c r="I736" s="38">
        <f>IFERROR(VLOOKUP($C736,Tabla_Documentos[],5,FALSE),"")</f>
        <v>249900</v>
      </c>
      <c r="J736" s="25">
        <v>46031</v>
      </c>
    </row>
    <row r="737" spans="3:10" ht="21" customHeight="1" x14ac:dyDescent="0.25">
      <c r="C737" s="39">
        <v>1647</v>
      </c>
      <c r="D737" s="28">
        <f>IFERROR(VLOOKUP($C737,Tabla_Documentos[],2,FALSE),"")</f>
        <v>46001</v>
      </c>
      <c r="E737" s="34" t="str">
        <f>IFERROR(VLOOKUP($C737,Tabla_Documentos[],3,FALSE),"")</f>
        <v>76686138-5</v>
      </c>
      <c r="F737" s="35" t="str">
        <f>IFERROR(VLOOKUP($C737,Tabla_Documentos[],4,FALSE),"")</f>
        <v>SKC RED SPA</v>
      </c>
      <c r="G737" s="38">
        <f>IFERROR(VLOOKUP($C737,Tabla_Documentos[],5,FALSE),"")</f>
        <v>249900</v>
      </c>
      <c r="H737" s="29" t="str">
        <f>IFERROR(VLOOKUP($C737,Tabla_Documentos[],6,FALSE),"")</f>
        <v>PUBLICIDAD</v>
      </c>
      <c r="I737" s="38">
        <f>IFERROR(VLOOKUP($C737,Tabla_Documentos[],5,FALSE),"")</f>
        <v>249900</v>
      </c>
      <c r="J737" s="25">
        <v>46031</v>
      </c>
    </row>
    <row r="738" spans="3:10" ht="21" customHeight="1" x14ac:dyDescent="0.25">
      <c r="C738" s="39">
        <v>1648</v>
      </c>
      <c r="D738" s="28">
        <f>IFERROR(VLOOKUP($C738,Tabla_Documentos[],2,FALSE),"")</f>
        <v>46001</v>
      </c>
      <c r="E738" s="34" t="str">
        <f>IFERROR(VLOOKUP($C738,Tabla_Documentos[],3,FALSE),"")</f>
        <v>76686138-5</v>
      </c>
      <c r="F738" s="35" t="str">
        <f>IFERROR(VLOOKUP($C738,Tabla_Documentos[],4,FALSE),"")</f>
        <v>SKC RED SPA</v>
      </c>
      <c r="G738" s="38">
        <f>IFERROR(VLOOKUP($C738,Tabla_Documentos[],5,FALSE),"")</f>
        <v>309400</v>
      </c>
      <c r="H738" s="29" t="str">
        <f>IFERROR(VLOOKUP($C738,Tabla_Documentos[],6,FALSE),"")</f>
        <v>PUBLICIDAD</v>
      </c>
      <c r="I738" s="38">
        <f>IFERROR(VLOOKUP($C738,Tabla_Documentos[],5,FALSE),"")</f>
        <v>309400</v>
      </c>
      <c r="J738" s="25">
        <v>46031</v>
      </c>
    </row>
    <row r="739" spans="3:10" ht="21" customHeight="1" x14ac:dyDescent="0.25">
      <c r="C739" s="39">
        <v>1649</v>
      </c>
      <c r="D739" s="28">
        <f>IFERROR(VLOOKUP($C739,Tabla_Documentos[],2,FALSE),"")</f>
        <v>46001</v>
      </c>
      <c r="E739" s="34" t="str">
        <f>IFERROR(VLOOKUP($C739,Tabla_Documentos[],3,FALSE),"")</f>
        <v>76686138-5</v>
      </c>
      <c r="F739" s="35" t="str">
        <f>IFERROR(VLOOKUP($C739,Tabla_Documentos[],4,FALSE),"")</f>
        <v>SKC RED SPA</v>
      </c>
      <c r="G739" s="38">
        <f>IFERROR(VLOOKUP($C739,Tabla_Documentos[],5,FALSE),"")</f>
        <v>309400</v>
      </c>
      <c r="H739" s="29" t="str">
        <f>IFERROR(VLOOKUP($C739,Tabla_Documentos[],6,FALSE),"")</f>
        <v>PUBLICIDAD</v>
      </c>
      <c r="I739" s="38">
        <f>IFERROR(VLOOKUP($C739,Tabla_Documentos[],5,FALSE),"")</f>
        <v>309400</v>
      </c>
      <c r="J739" s="25">
        <v>46031</v>
      </c>
    </row>
    <row r="740" spans="3:10" ht="21" customHeight="1" x14ac:dyDescent="0.25">
      <c r="C740" s="39">
        <v>1650</v>
      </c>
      <c r="D740" s="28">
        <f>IFERROR(VLOOKUP($C740,Tabla_Documentos[],2,FALSE),"")</f>
        <v>46003</v>
      </c>
      <c r="E740" s="34" t="str">
        <f>IFERROR(VLOOKUP($C740,Tabla_Documentos[],3,FALSE),"")</f>
        <v>76393919-7</v>
      </c>
      <c r="F740" s="35" t="str">
        <f>IFERROR(VLOOKUP($C740,Tabla_Documentos[],4,FALSE),"")</f>
        <v>SERVICIO Y TRANSPORTE MERCATUR LIMITADA</v>
      </c>
      <c r="G740" s="38">
        <f>IFERROR(VLOOKUP($C740,Tabla_Documentos[],5,FALSE),"")</f>
        <v>690200</v>
      </c>
      <c r="H740" s="29" t="str">
        <f>IFERROR(VLOOKUP($C740,Tabla_Documentos[],6,FALSE),"")</f>
        <v>PUBLICIDAD</v>
      </c>
      <c r="I740" s="38">
        <f>IFERROR(VLOOKUP($C740,Tabla_Documentos[],5,FALSE),"")</f>
        <v>690200</v>
      </c>
      <c r="J740" s="25">
        <v>46003</v>
      </c>
    </row>
    <row r="741" spans="3:10" ht="21" customHeight="1" x14ac:dyDescent="0.25">
      <c r="C741" s="39">
        <v>1651</v>
      </c>
      <c r="D741" s="28">
        <f>IFERROR(VLOOKUP($C741,Tabla_Documentos[],2,FALSE),"")</f>
        <v>46006</v>
      </c>
      <c r="E741" s="34" t="str">
        <f>IFERROR(VLOOKUP($C741,Tabla_Documentos[],3,FALSE),"")</f>
        <v>76377720-0</v>
      </c>
      <c r="F741" s="35" t="str">
        <f>IFERROR(VLOOKUP($C741,Tabla_Documentos[],4,FALSE),"")</f>
        <v>HIDRAULIC MOTOR SERVICES LTDA</v>
      </c>
      <c r="G741" s="38">
        <f>IFERROR(VLOOKUP($C741,Tabla_Documentos[],5,FALSE),"")</f>
        <v>95200</v>
      </c>
      <c r="H741" s="29" t="str">
        <f>IFERROR(VLOOKUP($C741,Tabla_Documentos[],6,FALSE),"")</f>
        <v>PUBLICIDAD</v>
      </c>
      <c r="I741" s="38">
        <f>IFERROR(VLOOKUP($C741,Tabla_Documentos[],5,FALSE),"")</f>
        <v>95200</v>
      </c>
      <c r="J741" s="25">
        <v>46006</v>
      </c>
    </row>
    <row r="742" spans="3:10" ht="21" customHeight="1" x14ac:dyDescent="0.25">
      <c r="C742" s="39">
        <v>1652</v>
      </c>
      <c r="D742" s="28">
        <f>IFERROR(VLOOKUP($C742,Tabla_Documentos[],2,FALSE),"")</f>
        <v>46006</v>
      </c>
      <c r="E742" s="34" t="str">
        <f>IFERROR(VLOOKUP($C742,Tabla_Documentos[],3,FALSE),"")</f>
        <v>18968974-8</v>
      </c>
      <c r="F742" s="35" t="str">
        <f>IFERROR(VLOOKUP($C742,Tabla_Documentos[],4,FALSE),"")</f>
        <v>PIETRO GIULIANO DIAZ VITALI</v>
      </c>
      <c r="G742" s="38">
        <f>IFERROR(VLOOKUP($C742,Tabla_Documentos[],5,FALSE),"")</f>
        <v>57120</v>
      </c>
      <c r="H742" s="29" t="str">
        <f>IFERROR(VLOOKUP($C742,Tabla_Documentos[],6,FALSE),"")</f>
        <v>PUBLICIDAD</v>
      </c>
      <c r="I742" s="38">
        <f>IFERROR(VLOOKUP($C742,Tabla_Documentos[],5,FALSE),"")</f>
        <v>57120</v>
      </c>
      <c r="J742" s="25">
        <v>46368</v>
      </c>
    </row>
    <row r="743" spans="3:10" ht="21" customHeight="1" x14ac:dyDescent="0.25">
      <c r="C743" s="39">
        <v>1653</v>
      </c>
      <c r="D743" s="28">
        <f>IFERROR(VLOOKUP($C743,Tabla_Documentos[],2,FALSE),"")</f>
        <v>46006</v>
      </c>
      <c r="E743" s="34" t="str">
        <f>IFERROR(VLOOKUP($C743,Tabla_Documentos[],3,FALSE),"")</f>
        <v>76976894-7</v>
      </c>
      <c r="F743" s="35" t="str">
        <f>IFERROR(VLOOKUP($C743,Tabla_Documentos[],4,FALSE),"")</f>
        <v>AGROLOAR SPA</v>
      </c>
      <c r="G743" s="38">
        <f>IFERROR(VLOOKUP($C743,Tabla_Documentos[],5,FALSE),"")</f>
        <v>5950</v>
      </c>
      <c r="H743" s="29" t="str">
        <f>IFERROR(VLOOKUP($C743,Tabla_Documentos[],6,FALSE),"")</f>
        <v>PUBLICIDAD</v>
      </c>
      <c r="I743" s="38">
        <f>IFERROR(VLOOKUP($C743,Tabla_Documentos[],5,FALSE),"")</f>
        <v>5950</v>
      </c>
      <c r="J743" s="25">
        <v>46006</v>
      </c>
    </row>
    <row r="744" spans="3:10" ht="21" customHeight="1" x14ac:dyDescent="0.25">
      <c r="C744" s="39">
        <v>1654</v>
      </c>
      <c r="D744" s="28">
        <f>IFERROR(VLOOKUP($C744,Tabla_Documentos[],2,FALSE),"")</f>
        <v>46006</v>
      </c>
      <c r="E744" s="34" t="str">
        <f>IFERROR(VLOOKUP($C744,Tabla_Documentos[],3,FALSE),"")</f>
        <v>77672701-6</v>
      </c>
      <c r="F744" s="35" t="str">
        <f>IFERROR(VLOOKUP($C744,Tabla_Documentos[],4,FALSE),"")</f>
        <v>INGENIO SPA</v>
      </c>
      <c r="G744" s="38">
        <f>IFERROR(VLOOKUP($C744,Tabla_Documentos[],5,FALSE),"")</f>
        <v>10908374</v>
      </c>
      <c r="H744" s="29" t="str">
        <f>IFERROR(VLOOKUP($C744,Tabla_Documentos[],6,FALSE),"")</f>
        <v>PUBLICIDAD</v>
      </c>
      <c r="I744" s="38">
        <f>IFERROR(VLOOKUP($C744,Tabla_Documentos[],5,FALSE),"")</f>
        <v>10908374</v>
      </c>
      <c r="J744" s="25">
        <v>46006</v>
      </c>
    </row>
    <row r="745" spans="3:10" ht="21" customHeight="1" x14ac:dyDescent="0.25">
      <c r="C745" s="39">
        <v>1655</v>
      </c>
      <c r="D745" s="28">
        <f>IFERROR(VLOOKUP($C745,Tabla_Documentos[],2,FALSE),"")</f>
        <v>46007</v>
      </c>
      <c r="E745" s="34" t="str">
        <f>IFERROR(VLOOKUP($C745,Tabla_Documentos[],3,FALSE),"")</f>
        <v>76948401-9</v>
      </c>
      <c r="F745" s="35" t="str">
        <f>IFERROR(VLOOKUP($C745,Tabla_Documentos[],4,FALSE),"")</f>
        <v>ZACH PROYECTOS SA</v>
      </c>
      <c r="G745" s="38">
        <f>IFERROR(VLOOKUP($C745,Tabla_Documentos[],5,FALSE),"")</f>
        <v>59500</v>
      </c>
      <c r="H745" s="29" t="str">
        <f>IFERROR(VLOOKUP($C745,Tabla_Documentos[],6,FALSE),"")</f>
        <v>PUBLICIDAD</v>
      </c>
      <c r="I745" s="38">
        <f>IFERROR(VLOOKUP($C745,Tabla_Documentos[],5,FALSE),"")</f>
        <v>59500</v>
      </c>
      <c r="J745" s="25">
        <v>46007</v>
      </c>
    </row>
    <row r="746" spans="3:10" ht="21" customHeight="1" x14ac:dyDescent="0.25">
      <c r="C746" s="39">
        <v>1656</v>
      </c>
      <c r="D746" s="28">
        <f>IFERROR(VLOOKUP($C746,Tabla_Documentos[],2,FALSE),"")</f>
        <v>46007</v>
      </c>
      <c r="E746" s="34" t="str">
        <f>IFERROR(VLOOKUP($C746,Tabla_Documentos[],3,FALSE),"")</f>
        <v>77511008-2</v>
      </c>
      <c r="F746" s="35" t="str">
        <f>IFERROR(VLOOKUP($C746,Tabla_Documentos[],4,FALSE),"")</f>
        <v>MULTISERVICIOS SANABRIA SPA</v>
      </c>
      <c r="G746" s="38">
        <f>IFERROR(VLOOKUP($C746,Tabla_Documentos[],5,FALSE),"")</f>
        <v>72947</v>
      </c>
      <c r="H746" s="29" t="str">
        <f>IFERROR(VLOOKUP($C746,Tabla_Documentos[],6,FALSE),"")</f>
        <v>PUBLICIDAD</v>
      </c>
      <c r="I746" s="38">
        <f>IFERROR(VLOOKUP($C746,Tabla_Documentos[],5,FALSE),"")</f>
        <v>72947</v>
      </c>
      <c r="J746" s="25">
        <v>46007</v>
      </c>
    </row>
    <row r="747" spans="3:10" ht="21" customHeight="1" x14ac:dyDescent="0.25">
      <c r="C747" s="39">
        <v>1657</v>
      </c>
      <c r="D747" s="28">
        <f>IFERROR(VLOOKUP($C747,Tabla_Documentos[],2,FALSE),"")</f>
        <v>46007</v>
      </c>
      <c r="E747" s="34" t="str">
        <f>IFERROR(VLOOKUP($C747,Tabla_Documentos[],3,FALSE),"")</f>
        <v>76186894-2</v>
      </c>
      <c r="F747" s="35" t="str">
        <f>IFERROR(VLOOKUP($C747,Tabla_Documentos[],4,FALSE),"")</f>
        <v>SAN RAFAEL INGENIERIA Y  SERVICIOS LIMITADA</v>
      </c>
      <c r="G747" s="38">
        <f>IFERROR(VLOOKUP($C747,Tabla_Documentos[],5,FALSE),"")</f>
        <v>83062</v>
      </c>
      <c r="H747" s="29" t="str">
        <f>IFERROR(VLOOKUP($C747,Tabla_Documentos[],6,FALSE),"")</f>
        <v>PUBLICIDAD</v>
      </c>
      <c r="I747" s="38">
        <f>IFERROR(VLOOKUP($C747,Tabla_Documentos[],5,FALSE),"")</f>
        <v>83062</v>
      </c>
      <c r="J747" s="25">
        <v>46044</v>
      </c>
    </row>
    <row r="748" spans="3:10" ht="21" customHeight="1" x14ac:dyDescent="0.25">
      <c r="C748" s="39">
        <v>1658</v>
      </c>
      <c r="D748" s="28">
        <f>IFERROR(VLOOKUP($C748,Tabla_Documentos[],2,FALSE),"")</f>
        <v>46007</v>
      </c>
      <c r="E748" s="34" t="str">
        <f>IFERROR(VLOOKUP($C748,Tabla_Documentos[],3,FALSE),"")</f>
        <v>76186894-2</v>
      </c>
      <c r="F748" s="35" t="str">
        <f>IFERROR(VLOOKUP($C748,Tabla_Documentos[],4,FALSE),"")</f>
        <v>SAN RAFAEL INGENIERIA Y  SERVICIOS LIMITADA</v>
      </c>
      <c r="G748" s="38">
        <f>IFERROR(VLOOKUP($C748,Tabla_Documentos[],5,FALSE),"")</f>
        <v>83300</v>
      </c>
      <c r="H748" s="29" t="str">
        <f>IFERROR(VLOOKUP($C748,Tabla_Documentos[],6,FALSE),"")</f>
        <v>PUBLICIDAD</v>
      </c>
      <c r="I748" s="38">
        <f>IFERROR(VLOOKUP($C748,Tabla_Documentos[],5,FALSE),"")</f>
        <v>83300</v>
      </c>
      <c r="J748" s="25">
        <v>46044</v>
      </c>
    </row>
    <row r="749" spans="3:10" ht="21" customHeight="1" x14ac:dyDescent="0.25">
      <c r="C749" s="39">
        <v>1659</v>
      </c>
      <c r="D749" s="28">
        <f>IFERROR(VLOOKUP($C749,Tabla_Documentos[],2,FALSE),"")</f>
        <v>46007</v>
      </c>
      <c r="E749" s="34" t="str">
        <f>IFERROR(VLOOKUP($C749,Tabla_Documentos[],3,FALSE),"")</f>
        <v>77850528-2</v>
      </c>
      <c r="F749" s="35" t="str">
        <f>IFERROR(VLOOKUP($C749,Tabla_Documentos[],4,FALSE),"")</f>
        <v>SERVICIOS DE INGENIERÃA Y CONSTRUCCIÃ“N PIÃ‘ONES  LIMITADA</v>
      </c>
      <c r="G749" s="38">
        <f>IFERROR(VLOOKUP($C749,Tabla_Documentos[],5,FALSE),"")</f>
        <v>2147950</v>
      </c>
      <c r="H749" s="29" t="str">
        <f>IFERROR(VLOOKUP($C749,Tabla_Documentos[],6,FALSE),"")</f>
        <v>PUBLICIDAD</v>
      </c>
      <c r="I749" s="38">
        <f>IFERROR(VLOOKUP($C749,Tabla_Documentos[],5,FALSE),"")</f>
        <v>2147950</v>
      </c>
      <c r="J749" s="25">
        <v>46007</v>
      </c>
    </row>
    <row r="750" spans="3:10" ht="21" customHeight="1" x14ac:dyDescent="0.25">
      <c r="C750" s="39">
        <v>1661</v>
      </c>
      <c r="D750" s="28">
        <f>IFERROR(VLOOKUP($C750,Tabla_Documentos[],2,FALSE),"")</f>
        <v>46008</v>
      </c>
      <c r="E750" s="34" t="str">
        <f>IFERROR(VLOOKUP($C750,Tabla_Documentos[],3,FALSE),"")</f>
        <v>76591748-4</v>
      </c>
      <c r="F750" s="35" t="str">
        <f>IFERROR(VLOOKUP($C750,Tabla_Documentos[],4,FALSE),"")</f>
        <v>JAG SERVICIOS CHILE SPA</v>
      </c>
      <c r="G750" s="38">
        <f>IFERROR(VLOOKUP($C750,Tabla_Documentos[],5,FALSE),"")</f>
        <v>142800</v>
      </c>
      <c r="H750" s="29" t="str">
        <f>IFERROR(VLOOKUP($C750,Tabla_Documentos[],6,FALSE),"")</f>
        <v>PUBLICIDAD</v>
      </c>
      <c r="I750" s="38">
        <f>IFERROR(VLOOKUP($C750,Tabla_Documentos[],5,FALSE),"")</f>
        <v>142800</v>
      </c>
      <c r="J750" s="25">
        <v>46008</v>
      </c>
    </row>
    <row r="751" spans="3:10" ht="21" customHeight="1" x14ac:dyDescent="0.25">
      <c r="C751" s="39">
        <v>1662</v>
      </c>
      <c r="D751" s="28">
        <f>IFERROR(VLOOKUP($C751,Tabla_Documentos[],2,FALSE),"")</f>
        <v>46009</v>
      </c>
      <c r="E751" s="34" t="str">
        <f>IFERROR(VLOOKUP($C751,Tabla_Documentos[],3,FALSE),"")</f>
        <v>76650779-4</v>
      </c>
      <c r="F751" s="35" t="str">
        <f>IFERROR(VLOOKUP($C751,Tabla_Documentos[],4,FALSE),"")</f>
        <v>SOLUCIONES GLOBALES CARLOS HERBERTO MOSCOSO</v>
      </c>
      <c r="G751" s="38">
        <f>IFERROR(VLOOKUP($C751,Tabla_Documentos[],5,FALSE),"")</f>
        <v>702100</v>
      </c>
      <c r="H751" s="29" t="str">
        <f>IFERROR(VLOOKUP($C751,Tabla_Documentos[],6,FALSE),"")</f>
        <v>PUBLICIDAD</v>
      </c>
      <c r="I751" s="38">
        <f>IFERROR(VLOOKUP($C751,Tabla_Documentos[],5,FALSE),"")</f>
        <v>702100</v>
      </c>
      <c r="J751" s="25">
        <v>46015</v>
      </c>
    </row>
    <row r="752" spans="3:10" ht="21" customHeight="1" x14ac:dyDescent="0.25">
      <c r="C752" s="39">
        <v>1663</v>
      </c>
      <c r="D752" s="28">
        <f>IFERROR(VLOOKUP($C752,Tabla_Documentos[],2,FALSE),"")</f>
        <v>46009</v>
      </c>
      <c r="E752" s="34" t="str">
        <f>IFERROR(VLOOKUP($C752,Tabla_Documentos[],3,FALSE),"")</f>
        <v>76186894-2</v>
      </c>
      <c r="F752" s="35" t="str">
        <f>IFERROR(VLOOKUP($C752,Tabla_Documentos[],4,FALSE),"")</f>
        <v>SAN RAFAEL INGENIERIA Y  SERVICIOS LIMITADA</v>
      </c>
      <c r="G752" s="38">
        <f>IFERROR(VLOOKUP($C752,Tabla_Documentos[],5,FALSE),"")</f>
        <v>74970</v>
      </c>
      <c r="H752" s="29" t="str">
        <f>IFERROR(VLOOKUP($C752,Tabla_Documentos[],6,FALSE),"")</f>
        <v>PUBLICIDAD</v>
      </c>
      <c r="I752" s="38">
        <f>IFERROR(VLOOKUP($C752,Tabla_Documentos[],5,FALSE),"")</f>
        <v>74970</v>
      </c>
      <c r="J752" s="25">
        <v>46044</v>
      </c>
    </row>
    <row r="753" spans="3:10" ht="21" customHeight="1" x14ac:dyDescent="0.25">
      <c r="C753" s="39">
        <v>1664</v>
      </c>
      <c r="D753" s="28">
        <f>IFERROR(VLOOKUP($C753,Tabla_Documentos[],2,FALSE),"")</f>
        <v>46009</v>
      </c>
      <c r="E753" s="34" t="str">
        <f>IFERROR(VLOOKUP($C753,Tabla_Documentos[],3,FALSE),"")</f>
        <v>76186894-2</v>
      </c>
      <c r="F753" s="35" t="str">
        <f>IFERROR(VLOOKUP($C753,Tabla_Documentos[],4,FALSE),"")</f>
        <v>SAN RAFAEL INGENIERIA Y  SERVICIOS LIMITADA</v>
      </c>
      <c r="G753" s="38">
        <f>IFERROR(VLOOKUP($C753,Tabla_Documentos[],5,FALSE),"")</f>
        <v>501704</v>
      </c>
      <c r="H753" s="29" t="str">
        <f>IFERROR(VLOOKUP($C753,Tabla_Documentos[],6,FALSE),"")</f>
        <v>PUBLICIDAD</v>
      </c>
      <c r="I753" s="38">
        <f>IFERROR(VLOOKUP($C753,Tabla_Documentos[],5,FALSE),"")</f>
        <v>501704</v>
      </c>
      <c r="J753" s="25">
        <v>46044</v>
      </c>
    </row>
    <row r="754" spans="3:10" ht="21" customHeight="1" x14ac:dyDescent="0.25">
      <c r="C754" s="39">
        <v>1665</v>
      </c>
      <c r="D754" s="28">
        <f>IFERROR(VLOOKUP($C754,Tabla_Documentos[],2,FALSE),"")</f>
        <v>46010</v>
      </c>
      <c r="E754" s="34" t="str">
        <f>IFERROR(VLOOKUP($C754,Tabla_Documentos[],3,FALSE),"")</f>
        <v>77721807-7</v>
      </c>
      <c r="F754" s="35" t="str">
        <f>IFERROR(VLOOKUP($C754,Tabla_Documentos[],4,FALSE),"")</f>
        <v>RESITER SERVICIOS GENERALES SPA</v>
      </c>
      <c r="G754" s="38">
        <f>IFERROR(VLOOKUP($C754,Tabla_Documentos[],5,FALSE),"")</f>
        <v>30940</v>
      </c>
      <c r="H754" s="29" t="str">
        <f>IFERROR(VLOOKUP($C754,Tabla_Documentos[],6,FALSE),"")</f>
        <v>PUBLICIDAD</v>
      </c>
      <c r="I754" s="38">
        <f>IFERROR(VLOOKUP($C754,Tabla_Documentos[],5,FALSE),"")</f>
        <v>30940</v>
      </c>
      <c r="J754" s="25">
        <v>46010</v>
      </c>
    </row>
    <row r="755" spans="3:10" ht="21" customHeight="1" x14ac:dyDescent="0.25">
      <c r="C755" s="39">
        <v>1666</v>
      </c>
      <c r="D755" s="28">
        <f>IFERROR(VLOOKUP($C755,Tabla_Documentos[],2,FALSE),"")</f>
        <v>46010</v>
      </c>
      <c r="E755" s="34" t="str">
        <f>IFERROR(VLOOKUP($C755,Tabla_Documentos[],3,FALSE),"")</f>
        <v>89696400-3</v>
      </c>
      <c r="F755" s="35" t="str">
        <f>IFERROR(VLOOKUP($C755,Tabla_Documentos[],4,FALSE),"")</f>
        <v>RESITER S.A.</v>
      </c>
      <c r="G755" s="38">
        <f>IFERROR(VLOOKUP($C755,Tabla_Documentos[],5,FALSE),"")</f>
        <v>30940</v>
      </c>
      <c r="H755" s="29" t="str">
        <f>IFERROR(VLOOKUP($C755,Tabla_Documentos[],6,FALSE),"")</f>
        <v>PUBLICIDAD</v>
      </c>
      <c r="I755" s="38">
        <f>IFERROR(VLOOKUP($C755,Tabla_Documentos[],5,FALSE),"")</f>
        <v>30940</v>
      </c>
      <c r="J755" s="25">
        <v>46010</v>
      </c>
    </row>
    <row r="756" spans="3:10" ht="21" customHeight="1" x14ac:dyDescent="0.25">
      <c r="C756" s="39">
        <v>1667</v>
      </c>
      <c r="D756" s="28">
        <f>IFERROR(VLOOKUP($C756,Tabla_Documentos[],2,FALSE),"")</f>
        <v>46013</v>
      </c>
      <c r="E756" s="34" t="str">
        <f>IFERROR(VLOOKUP($C756,Tabla_Documentos[],3,FALSE),"")</f>
        <v>76346498-9</v>
      </c>
      <c r="F756" s="35" t="str">
        <f>IFERROR(VLOOKUP($C756,Tabla_Documentos[],4,FALSE),"")</f>
        <v>CONSTRUCTORA CARLOS ALBERTO ANDRES ALBISTUR REYES E.I.R.L.</v>
      </c>
      <c r="G756" s="38">
        <f>IFERROR(VLOOKUP($C756,Tabla_Documentos[],5,FALSE),"")</f>
        <v>856800</v>
      </c>
      <c r="H756" s="29" t="str">
        <f>IFERROR(VLOOKUP($C756,Tabla_Documentos[],6,FALSE),"")</f>
        <v>PUBLICIDAD</v>
      </c>
      <c r="I756" s="38">
        <f>IFERROR(VLOOKUP($C756,Tabla_Documentos[],5,FALSE),"")</f>
        <v>856800</v>
      </c>
      <c r="J756" s="25">
        <v>46048</v>
      </c>
    </row>
    <row r="757" spans="3:10" ht="21" customHeight="1" x14ac:dyDescent="0.25">
      <c r="C757" s="39">
        <v>1668</v>
      </c>
      <c r="D757" s="28">
        <f>IFERROR(VLOOKUP($C757,Tabla_Documentos[],2,FALSE),"")</f>
        <v>46013</v>
      </c>
      <c r="E757" s="34" t="str">
        <f>IFERROR(VLOOKUP($C757,Tabla_Documentos[],3,FALSE),"")</f>
        <v>9246657-4</v>
      </c>
      <c r="F757" s="35" t="str">
        <f>IFERROR(VLOOKUP($C757,Tabla_Documentos[],4,FALSE),"")</f>
        <v>MARIA CRISTINA MOLINA CASTILLO</v>
      </c>
      <c r="G757" s="38">
        <f>IFERROR(VLOOKUP($C757,Tabla_Documentos[],5,FALSE),"")</f>
        <v>647241</v>
      </c>
      <c r="H757" s="29" t="str">
        <f>IFERROR(VLOOKUP($C757,Tabla_Documentos[],6,FALSE),"")</f>
        <v>PUBLICIDAD</v>
      </c>
      <c r="I757" s="38">
        <f>IFERROR(VLOOKUP($C757,Tabla_Documentos[],5,FALSE),"")</f>
        <v>647241</v>
      </c>
      <c r="J757" s="25">
        <v>46013</v>
      </c>
    </row>
    <row r="758" spans="3:10" ht="21" customHeight="1" x14ac:dyDescent="0.25">
      <c r="C758" s="39">
        <v>1669</v>
      </c>
      <c r="D758" s="28">
        <f>IFERROR(VLOOKUP($C758,Tabla_Documentos[],2,FALSE),"")</f>
        <v>46013</v>
      </c>
      <c r="E758" s="34" t="str">
        <f>IFERROR(VLOOKUP($C758,Tabla_Documentos[],3,FALSE),"")</f>
        <v>9246657-4</v>
      </c>
      <c r="F758" s="35" t="str">
        <f>IFERROR(VLOOKUP($C758,Tabla_Documentos[],4,FALSE),"")</f>
        <v>MARIA CRISTINA MOLINA CASTILLO</v>
      </c>
      <c r="G758" s="38">
        <f>IFERROR(VLOOKUP($C758,Tabla_Documentos[],5,FALSE),"")</f>
        <v>352597</v>
      </c>
      <c r="H758" s="29" t="str">
        <f>IFERROR(VLOOKUP($C758,Tabla_Documentos[],6,FALSE),"")</f>
        <v>PUBLICIDAD</v>
      </c>
      <c r="I758" s="38">
        <f>IFERROR(VLOOKUP($C758,Tabla_Documentos[],5,FALSE),"")</f>
        <v>352597</v>
      </c>
      <c r="J758" s="25">
        <v>46013</v>
      </c>
    </row>
    <row r="759" spans="3:10" ht="21" customHeight="1" x14ac:dyDescent="0.25">
      <c r="C759" s="39">
        <v>1671</v>
      </c>
      <c r="D759" s="28">
        <f>IFERROR(VLOOKUP($C759,Tabla_Documentos[],2,FALSE),"")</f>
        <v>46013</v>
      </c>
      <c r="E759" s="34" t="str">
        <f>IFERROR(VLOOKUP($C759,Tabla_Documentos[],3,FALSE),"")</f>
        <v>7861936-8</v>
      </c>
      <c r="F759" s="35" t="str">
        <f>IFERROR(VLOOKUP($C759,Tabla_Documentos[],4,FALSE),"")</f>
        <v>MARIA ANGELICA FIGUEROA ARDILES</v>
      </c>
      <c r="G759" s="38">
        <f>IFERROR(VLOOKUP($C759,Tabla_Documentos[],5,FALSE),"")</f>
        <v>136564</v>
      </c>
      <c r="H759" s="29" t="str">
        <f>IFERROR(VLOOKUP($C759,Tabla_Documentos[],6,FALSE),"")</f>
        <v>PUBLICIDAD</v>
      </c>
      <c r="I759" s="38">
        <f>IFERROR(VLOOKUP($C759,Tabla_Documentos[],5,FALSE),"")</f>
        <v>136564</v>
      </c>
      <c r="J759" s="25">
        <v>46051</v>
      </c>
    </row>
    <row r="760" spans="3:10" ht="21" customHeight="1" x14ac:dyDescent="0.25">
      <c r="C760" s="39">
        <v>1672</v>
      </c>
      <c r="D760" s="28">
        <f>IFERROR(VLOOKUP($C760,Tabla_Documentos[],2,FALSE),"")</f>
        <v>46013</v>
      </c>
      <c r="E760" s="34" t="str">
        <f>IFERROR(VLOOKUP($C760,Tabla_Documentos[],3,FALSE),"")</f>
        <v>77263041-7</v>
      </c>
      <c r="F760" s="35" t="str">
        <f>IFERROR(VLOOKUP($C760,Tabla_Documentos[],4,FALSE),"")</f>
        <v>EMPRESA DE SERVICIOS DE INGENIERIA Y CONSTRUCCIÃ“N SERNEWMAS SPA</v>
      </c>
      <c r="G760" s="38">
        <f>IFERROR(VLOOKUP($C760,Tabla_Documentos[],5,FALSE),"")</f>
        <v>217413</v>
      </c>
      <c r="H760" s="29" t="str">
        <f>IFERROR(VLOOKUP($C760,Tabla_Documentos[],6,FALSE),"")</f>
        <v>PUBLICIDAD</v>
      </c>
      <c r="I760" s="38">
        <f>IFERROR(VLOOKUP($C760,Tabla_Documentos[],5,FALSE),"")</f>
        <v>217413</v>
      </c>
      <c r="J760" s="25">
        <v>46013</v>
      </c>
    </row>
    <row r="761" spans="3:10" ht="21" customHeight="1" x14ac:dyDescent="0.25">
      <c r="C761" s="39">
        <v>1673</v>
      </c>
      <c r="D761" s="28">
        <f>IFERROR(VLOOKUP($C761,Tabla_Documentos[],2,FALSE),"")</f>
        <v>46013</v>
      </c>
      <c r="E761" s="34" t="str">
        <f>IFERROR(VLOOKUP($C761,Tabla_Documentos[],3,FALSE),"")</f>
        <v>76953805-4</v>
      </c>
      <c r="F761" s="35" t="str">
        <f>IFERROR(VLOOKUP($C761,Tabla_Documentos[],4,FALSE),"")</f>
        <v>SERVICIOS MONTENEGRO SPA</v>
      </c>
      <c r="G761" s="38">
        <f>IFERROR(VLOOKUP($C761,Tabla_Documentos[],5,FALSE),"")</f>
        <v>334390</v>
      </c>
      <c r="H761" s="29" t="str">
        <f>IFERROR(VLOOKUP($C761,Tabla_Documentos[],6,FALSE),"")</f>
        <v>PUBLICIDAD</v>
      </c>
      <c r="I761" s="38">
        <f>IFERROR(VLOOKUP($C761,Tabla_Documentos[],5,FALSE),"")</f>
        <v>334390</v>
      </c>
      <c r="J761" s="25">
        <v>46013</v>
      </c>
    </row>
    <row r="762" spans="3:10" ht="21" customHeight="1" x14ac:dyDescent="0.25">
      <c r="C762" s="39">
        <v>1674</v>
      </c>
      <c r="D762" s="28">
        <f>IFERROR(VLOOKUP($C762,Tabla_Documentos[],2,FALSE),"")</f>
        <v>46014</v>
      </c>
      <c r="E762" s="34" t="str">
        <f>IFERROR(VLOOKUP($C762,Tabla_Documentos[],3,FALSE),"")</f>
        <v>76652918-6</v>
      </c>
      <c r="F762" s="35" t="str">
        <f>IFERROR(VLOOKUP($C762,Tabla_Documentos[],4,FALSE),"")</f>
        <v>PRESTACION DE SERVICIOS MEDICOS JOSE LUIS GUERRA DIAZ E.I.R.L.</v>
      </c>
      <c r="G762" s="38">
        <f>IFERROR(VLOOKUP($C762,Tabla_Documentos[],5,FALSE),"")</f>
        <v>11428760</v>
      </c>
      <c r="H762" s="29" t="str">
        <f>IFERROR(VLOOKUP($C762,Tabla_Documentos[],6,FALSE),"")</f>
        <v>PUBLICIDAD</v>
      </c>
      <c r="I762" s="38">
        <f>IFERROR(VLOOKUP($C762,Tabla_Documentos[],5,FALSE),"")</f>
        <v>11428760</v>
      </c>
      <c r="J762" s="25">
        <v>46014</v>
      </c>
    </row>
    <row r="763" spans="3:10" ht="21" customHeight="1" x14ac:dyDescent="0.25">
      <c r="C763" s="39">
        <v>1675</v>
      </c>
      <c r="D763" s="28">
        <f>IFERROR(VLOOKUP($C763,Tabla_Documentos[],2,FALSE),"")</f>
        <v>46014</v>
      </c>
      <c r="E763" s="34" t="str">
        <f>IFERROR(VLOOKUP($C763,Tabla_Documentos[],3,FALSE),"")</f>
        <v>76250422-7</v>
      </c>
      <c r="F763" s="35" t="str">
        <f>IFERROR(VLOOKUP($C763,Tabla_Documentos[],4,FALSE),"")</f>
        <v>CENTRO DE RECICLAJE DEL NORTE LIMITADA</v>
      </c>
      <c r="G763" s="38">
        <f>IFERROR(VLOOKUP($C763,Tabla_Documentos[],5,FALSE),"")</f>
        <v>464100</v>
      </c>
      <c r="H763" s="29" t="str">
        <f>IFERROR(VLOOKUP($C763,Tabla_Documentos[],6,FALSE),"")</f>
        <v>PUBLICIDAD</v>
      </c>
      <c r="I763" s="38">
        <f>IFERROR(VLOOKUP($C763,Tabla_Documentos[],5,FALSE),"")</f>
        <v>464100</v>
      </c>
      <c r="J763" s="25">
        <v>46014</v>
      </c>
    </row>
    <row r="764" spans="3:10" ht="21" customHeight="1" x14ac:dyDescent="0.25">
      <c r="C764" s="39">
        <v>1676</v>
      </c>
      <c r="D764" s="28">
        <f>IFERROR(VLOOKUP($C764,Tabla_Documentos[],2,FALSE),"")</f>
        <v>46015</v>
      </c>
      <c r="E764" s="34" t="str">
        <f>IFERROR(VLOOKUP($C764,Tabla_Documentos[],3,FALSE),"")</f>
        <v>76250422-7</v>
      </c>
      <c r="F764" s="35" t="str">
        <f>IFERROR(VLOOKUP($C764,Tabla_Documentos[],4,FALSE),"")</f>
        <v>CENTRO DE RECICLAJE DEL NORTE LIMITADA</v>
      </c>
      <c r="G764" s="38">
        <f>IFERROR(VLOOKUP($C764,Tabla_Documentos[],5,FALSE),"")</f>
        <v>35700</v>
      </c>
      <c r="H764" s="29" t="str">
        <f>IFERROR(VLOOKUP($C764,Tabla_Documentos[],6,FALSE),"")</f>
        <v>PUBLICIDAD</v>
      </c>
      <c r="I764" s="38">
        <f>IFERROR(VLOOKUP($C764,Tabla_Documentos[],5,FALSE),"")</f>
        <v>35700</v>
      </c>
      <c r="J764" s="25">
        <v>46015</v>
      </c>
    </row>
    <row r="765" spans="3:10" ht="21" customHeight="1" x14ac:dyDescent="0.25">
      <c r="C765" s="39">
        <v>1677</v>
      </c>
      <c r="D765" s="28">
        <f>IFERROR(VLOOKUP($C765,Tabla_Documentos[],2,FALSE),"")</f>
        <v>46017</v>
      </c>
      <c r="E765" s="34" t="str">
        <f>IFERROR(VLOOKUP($C765,Tabla_Documentos[],3,FALSE),"")</f>
        <v>76220664-1</v>
      </c>
      <c r="F765" s="35" t="str">
        <f>IFERROR(VLOOKUP($C765,Tabla_Documentos[],4,FALSE),"")</f>
        <v>GREEN PEST CONTROL SPA</v>
      </c>
      <c r="G765" s="38">
        <f>IFERROR(VLOOKUP($C765,Tabla_Documentos[],5,FALSE),"")</f>
        <v>47600</v>
      </c>
      <c r="H765" s="29" t="str">
        <f>IFERROR(VLOOKUP($C765,Tabla_Documentos[],6,FALSE),"")</f>
        <v>PUBLICIDAD</v>
      </c>
      <c r="I765" s="38">
        <f>IFERROR(VLOOKUP($C765,Tabla_Documentos[],5,FALSE),"")</f>
        <v>47600</v>
      </c>
      <c r="J765" s="25">
        <v>46017</v>
      </c>
    </row>
    <row r="766" spans="3:10" ht="21" customHeight="1" x14ac:dyDescent="0.25">
      <c r="C766" s="39">
        <v>1682</v>
      </c>
      <c r="D766" s="28">
        <f>IFERROR(VLOOKUP($C766,Tabla_Documentos[],2,FALSE),"")</f>
        <v>46020</v>
      </c>
      <c r="E766" s="34" t="str">
        <f>IFERROR(VLOOKUP($C766,Tabla_Documentos[],3,FALSE),"")</f>
        <v>76574783-K</v>
      </c>
      <c r="F766" s="35" t="str">
        <f>IFERROR(VLOOKUP($C766,Tabla_Documentos[],4,FALSE),"")</f>
        <v>LC GROUP INTERNATIONAL SPA</v>
      </c>
      <c r="G766" s="38">
        <f>IFERROR(VLOOKUP($C766,Tabla_Documentos[],5,FALSE),"")</f>
        <v>910350</v>
      </c>
      <c r="H766" s="29" t="str">
        <f>IFERROR(VLOOKUP($C766,Tabla_Documentos[],6,FALSE),"")</f>
        <v>PUBLICIDAD</v>
      </c>
      <c r="I766" s="38">
        <f>IFERROR(VLOOKUP($C766,Tabla_Documentos[],5,FALSE),"")</f>
        <v>910350</v>
      </c>
      <c r="J766" s="25">
        <v>46027</v>
      </c>
    </row>
    <row r="767" spans="3:10" ht="21" customHeight="1" x14ac:dyDescent="0.25">
      <c r="C767" s="39">
        <v>1683</v>
      </c>
      <c r="D767" s="28">
        <f>IFERROR(VLOOKUP($C767,Tabla_Documentos[],2,FALSE),"")</f>
        <v>46020</v>
      </c>
      <c r="E767" s="34" t="str">
        <f>IFERROR(VLOOKUP($C767,Tabla_Documentos[],3,FALSE),"")</f>
        <v>78310281-1</v>
      </c>
      <c r="F767" s="35" t="str">
        <f>IFERROR(VLOOKUP($C767,Tabla_Documentos[],4,FALSE),"")</f>
        <v>COMERCIALIZADORA Y DISTRIBUIDORA MEGA COSTO SPA</v>
      </c>
      <c r="G767" s="38">
        <f>IFERROR(VLOOKUP($C767,Tabla_Documentos[],5,FALSE),"")</f>
        <v>446250</v>
      </c>
      <c r="H767" s="29" t="str">
        <f>IFERROR(VLOOKUP($C767,Tabla_Documentos[],6,FALSE),"")</f>
        <v>PUBLICIDAD</v>
      </c>
      <c r="I767" s="38">
        <f>IFERROR(VLOOKUP($C767,Tabla_Documentos[],5,FALSE),"")</f>
        <v>446250</v>
      </c>
      <c r="J767" s="25">
        <v>46020</v>
      </c>
    </row>
    <row r="768" spans="3:10" ht="21" customHeight="1" x14ac:dyDescent="0.25">
      <c r="C768" s="39">
        <v>1684</v>
      </c>
      <c r="D768" s="28">
        <f>IFERROR(VLOOKUP($C768,Tabla_Documentos[],2,FALSE),"")</f>
        <v>46020</v>
      </c>
      <c r="E768" s="34" t="str">
        <f>IFERROR(VLOOKUP($C768,Tabla_Documentos[],3,FALSE),"")</f>
        <v>77481065-K</v>
      </c>
      <c r="F768" s="35" t="str">
        <f>IFERROR(VLOOKUP($C768,Tabla_Documentos[],4,FALSE),"")</f>
        <v>AGRITRANS SERVICIOS SPA</v>
      </c>
      <c r="G768" s="38">
        <f>IFERROR(VLOOKUP($C768,Tabla_Documentos[],5,FALSE),"")</f>
        <v>226100</v>
      </c>
      <c r="H768" s="29" t="str">
        <f>IFERROR(VLOOKUP($C768,Tabla_Documentos[],6,FALSE),"")</f>
        <v>PUBLICIDAD</v>
      </c>
      <c r="I768" s="38">
        <f>IFERROR(VLOOKUP($C768,Tabla_Documentos[],5,FALSE),"")</f>
        <v>226100</v>
      </c>
      <c r="J768" s="25">
        <v>46020</v>
      </c>
    </row>
    <row r="769" spans="3:10" ht="21" customHeight="1" x14ac:dyDescent="0.25">
      <c r="C769" s="39">
        <v>1686</v>
      </c>
      <c r="D769" s="28">
        <f>IFERROR(VLOOKUP($C769,Tabla_Documentos[],2,FALSE),"")</f>
        <v>46021</v>
      </c>
      <c r="E769" s="34" t="str">
        <f>IFERROR(VLOOKUP($C769,Tabla_Documentos[],3,FALSE),"")</f>
        <v>76183251-4</v>
      </c>
      <c r="F769" s="35" t="str">
        <f>IFERROR(VLOOKUP($C769,Tabla_Documentos[],4,FALSE),"")</f>
        <v>ELIAS RESK CONTRERAS TRANSPORTES Y SERVICIOS LIMITADA</v>
      </c>
      <c r="G769" s="38">
        <f>IFERROR(VLOOKUP($C769,Tabla_Documentos[],5,FALSE),"")</f>
        <v>26002</v>
      </c>
      <c r="H769" s="29" t="str">
        <f>IFERROR(VLOOKUP($C769,Tabla_Documentos[],6,FALSE),"")</f>
        <v>PUBLICIDAD</v>
      </c>
      <c r="I769" s="38">
        <f>IFERROR(VLOOKUP($C769,Tabla_Documentos[],5,FALSE),"")</f>
        <v>26002</v>
      </c>
      <c r="J769" s="25">
        <v>46021</v>
      </c>
    </row>
    <row r="770" spans="3:10" ht="21" customHeight="1" x14ac:dyDescent="0.25">
      <c r="C770" s="39">
        <v>1687</v>
      </c>
      <c r="D770" s="28">
        <f>IFERROR(VLOOKUP($C770,Tabla_Documentos[],2,FALSE),"")</f>
        <v>46021</v>
      </c>
      <c r="E770" s="34" t="str">
        <f>IFERROR(VLOOKUP($C770,Tabla_Documentos[],3,FALSE),"")</f>
        <v>76864812-3</v>
      </c>
      <c r="F770" s="35" t="str">
        <f>IFERROR(VLOOKUP($C770,Tabla_Documentos[],4,FALSE),"")</f>
        <v>INVERSIONES SANTA LUISA LIMITADA</v>
      </c>
      <c r="G770" s="38">
        <f>IFERROR(VLOOKUP($C770,Tabla_Documentos[],5,FALSE),"")</f>
        <v>23800</v>
      </c>
      <c r="H770" s="29" t="str">
        <f>IFERROR(VLOOKUP($C770,Tabla_Documentos[],6,FALSE),"")</f>
        <v>PUBLICIDAD</v>
      </c>
      <c r="I770" s="38">
        <f>IFERROR(VLOOKUP($C770,Tabla_Documentos[],5,FALSE),"")</f>
        <v>23800</v>
      </c>
      <c r="J770" s="25">
        <v>46021</v>
      </c>
    </row>
    <row r="771" spans="3:10" ht="21" customHeight="1" x14ac:dyDescent="0.25">
      <c r="C771" s="39">
        <v>1688</v>
      </c>
      <c r="D771" s="28">
        <f>IFERROR(VLOOKUP($C771,Tabla_Documentos[],2,FALSE),"")</f>
        <v>46022</v>
      </c>
      <c r="E771" s="34" t="str">
        <f>IFERROR(VLOOKUP($C771,Tabla_Documentos[],3,FALSE),"")</f>
        <v>77382153-4</v>
      </c>
      <c r="F771" s="35" t="str">
        <f>IFERROR(VLOOKUP($C771,Tabla_Documentos[],4,FALSE),"")</f>
        <v>AUCAN LOGISTIC SPA</v>
      </c>
      <c r="G771" s="38">
        <f>IFERROR(VLOOKUP($C771,Tabla_Documentos[],5,FALSE),"")</f>
        <v>5429970</v>
      </c>
      <c r="H771" s="29" t="str">
        <f>IFERROR(VLOOKUP($C771,Tabla_Documentos[],6,FALSE),"")</f>
        <v>PUBLICIDAD</v>
      </c>
      <c r="I771" s="38">
        <v>1000000</v>
      </c>
      <c r="J771" s="25">
        <v>46027</v>
      </c>
    </row>
    <row r="772" spans="3:10" ht="21" customHeight="1" x14ac:dyDescent="0.25">
      <c r="C772" s="39">
        <v>1689</v>
      </c>
      <c r="D772" s="28">
        <f>IFERROR(VLOOKUP($C772,Tabla_Documentos[],2,FALSE),"")</f>
        <v>46022</v>
      </c>
      <c r="E772" s="34" t="str">
        <f>IFERROR(VLOOKUP($C772,Tabla_Documentos[],3,FALSE),"")</f>
        <v>77680509-2</v>
      </c>
      <c r="F772" s="35" t="str">
        <f>IFERROR(VLOOKUP($C772,Tabla_Documentos[],4,FALSE),"")</f>
        <v>RCR TÃCTICAL  TECHNOLOGY SUPPORT SPA</v>
      </c>
      <c r="G772" s="38">
        <f>IFERROR(VLOOKUP($C772,Tabla_Documentos[],5,FALSE),"")</f>
        <v>3000000</v>
      </c>
      <c r="H772" s="29" t="str">
        <f>IFERROR(VLOOKUP($C772,Tabla_Documentos[],6,FALSE),"")</f>
        <v>PUBLICIDAD</v>
      </c>
      <c r="I772" s="38">
        <f>IFERROR(VLOOKUP($C772,Tabla_Documentos[],5,FALSE),"")</f>
        <v>3000000</v>
      </c>
      <c r="J772" s="25">
        <v>46022</v>
      </c>
    </row>
    <row r="773" spans="3:10" ht="21" customHeight="1" x14ac:dyDescent="0.25">
      <c r="C773" s="39">
        <v>1690</v>
      </c>
      <c r="D773" s="28">
        <f>IFERROR(VLOOKUP($C773,Tabla_Documentos[],2,FALSE),"")</f>
        <v>46022</v>
      </c>
      <c r="E773" s="34" t="str">
        <f>IFERROR(VLOOKUP($C773,Tabla_Documentos[],3,FALSE),"")</f>
        <v>77880032-2</v>
      </c>
      <c r="F773" s="35" t="str">
        <f>IFERROR(VLOOKUP($C773,Tabla_Documentos[],4,FALSE),"")</f>
        <v>OPTICAS JOVAL SPA</v>
      </c>
      <c r="G773" s="38">
        <f>IFERROR(VLOOKUP($C773,Tabla_Documentos[],5,FALSE),"")</f>
        <v>2000000</v>
      </c>
      <c r="H773" s="29" t="str">
        <f>IFERROR(VLOOKUP($C773,Tabla_Documentos[],6,FALSE),"")</f>
        <v>PUBLICIDAD</v>
      </c>
      <c r="I773" s="38">
        <f>IFERROR(VLOOKUP($C773,Tabla_Documentos[],5,FALSE),"")</f>
        <v>2000000</v>
      </c>
      <c r="J773" s="25">
        <v>46022</v>
      </c>
    </row>
    <row r="774" spans="3:10" ht="21" customHeight="1" x14ac:dyDescent="0.25">
      <c r="C774" s="39">
        <v>1691</v>
      </c>
      <c r="D774" s="28">
        <f>IFERROR(VLOOKUP($C774,Tabla_Documentos[],2,FALSE),"")</f>
        <v>46024</v>
      </c>
      <c r="E774" s="34" t="str">
        <f>IFERROR(VLOOKUP($C774,Tabla_Documentos[],3,FALSE),"")</f>
        <v>77461548-2</v>
      </c>
      <c r="F774" s="35" t="str">
        <f>IFERROR(VLOOKUP($C774,Tabla_Documentos[],4,FALSE),"")</f>
        <v>TRANSPORTES KIMSA, SERVICIOS DISTRIBUCION SPA</v>
      </c>
      <c r="G774" s="38">
        <f>IFERROR(VLOOKUP($C774,Tabla_Documentos[],5,FALSE),"")</f>
        <v>47600</v>
      </c>
      <c r="H774" s="29" t="str">
        <f>IFERROR(VLOOKUP($C774,Tabla_Documentos[],6,FALSE),"")</f>
        <v>PUBLICIDAD</v>
      </c>
      <c r="I774" s="38">
        <f>IFERROR(VLOOKUP($C774,Tabla_Documentos[],5,FALSE),"")</f>
        <v>47600</v>
      </c>
      <c r="J774" s="25">
        <v>46024</v>
      </c>
    </row>
    <row r="775" spans="3:10" ht="21" customHeight="1" x14ac:dyDescent="0.25">
      <c r="C775" s="39">
        <v>1693</v>
      </c>
      <c r="D775" s="28">
        <f>IFERROR(VLOOKUP($C775,Tabla_Documentos[],2,FALSE),"")</f>
        <v>46027</v>
      </c>
      <c r="E775" s="34" t="str">
        <f>IFERROR(VLOOKUP($C775,Tabla_Documentos[],3,FALSE),"")</f>
        <v>77840923-2</v>
      </c>
      <c r="F775" s="35" t="str">
        <f>IFERROR(VLOOKUP($C775,Tabla_Documentos[],4,FALSE),"")</f>
        <v>INGENIERIA GACITUA SPA</v>
      </c>
      <c r="G775" s="38">
        <f>IFERROR(VLOOKUP($C775,Tabla_Documentos[],5,FALSE),"")</f>
        <v>433160</v>
      </c>
      <c r="H775" s="29" t="str">
        <f>IFERROR(VLOOKUP($C775,Tabla_Documentos[],6,FALSE),"")</f>
        <v>PUBLICIDAD</v>
      </c>
      <c r="I775" s="38">
        <f>IFERROR(VLOOKUP($C775,Tabla_Documentos[],5,FALSE),"")</f>
        <v>433160</v>
      </c>
      <c r="J775" s="25">
        <v>46027</v>
      </c>
    </row>
    <row r="776" spans="3:10" ht="21" customHeight="1" x14ac:dyDescent="0.25">
      <c r="C776" s="39">
        <v>1694</v>
      </c>
      <c r="D776" s="28">
        <f>IFERROR(VLOOKUP($C776,Tabla_Documentos[],2,FALSE),"")</f>
        <v>46027</v>
      </c>
      <c r="E776" s="34" t="str">
        <f>IFERROR(VLOOKUP($C776,Tabla_Documentos[],3,FALSE),"")</f>
        <v>77288671-3</v>
      </c>
      <c r="F776" s="35" t="str">
        <f>IFERROR(VLOOKUP($C776,Tabla_Documentos[],4,FALSE),"")</f>
        <v>TRANSPORTES GALLARDO LIMITADA</v>
      </c>
      <c r="G776" s="38">
        <f>IFERROR(VLOOKUP($C776,Tabla_Documentos[],5,FALSE),"")</f>
        <v>35700</v>
      </c>
      <c r="H776" s="29" t="str">
        <f>IFERROR(VLOOKUP($C776,Tabla_Documentos[],6,FALSE),"")</f>
        <v>PUBLICIDAD</v>
      </c>
      <c r="I776" s="38">
        <f>IFERROR(VLOOKUP($C776,Tabla_Documentos[],5,FALSE),"")</f>
        <v>35700</v>
      </c>
      <c r="J776" s="25">
        <v>46027</v>
      </c>
    </row>
    <row r="777" spans="3:10" ht="21" customHeight="1" x14ac:dyDescent="0.25">
      <c r="C777" s="39">
        <v>1695</v>
      </c>
      <c r="D777" s="28">
        <f>IFERROR(VLOOKUP($C777,Tabla_Documentos[],2,FALSE),"")</f>
        <v>46028</v>
      </c>
      <c r="E777" s="34" t="str">
        <f>IFERROR(VLOOKUP($C777,Tabla_Documentos[],3,FALSE),"")</f>
        <v>52003237-1</v>
      </c>
      <c r="F777" s="35" t="str">
        <f>IFERROR(VLOOKUP($C777,Tabla_Documentos[],4,FALSE),"")</f>
        <v>ANAKENA GROUP SPA</v>
      </c>
      <c r="G777" s="38">
        <f>IFERROR(VLOOKUP($C777,Tabla_Documentos[],5,FALSE),"")</f>
        <v>20000</v>
      </c>
      <c r="H777" s="29" t="str">
        <f>IFERROR(VLOOKUP($C777,Tabla_Documentos[],6,FALSE),"")</f>
        <v>PUBLICIDAD</v>
      </c>
      <c r="I777" s="38">
        <f>IFERROR(VLOOKUP($C777,Tabla_Documentos[],5,FALSE),"")</f>
        <v>20000</v>
      </c>
      <c r="J777" s="25">
        <v>46028</v>
      </c>
    </row>
    <row r="778" spans="3:10" ht="21" customHeight="1" x14ac:dyDescent="0.25">
      <c r="C778" s="39">
        <v>1696</v>
      </c>
      <c r="D778" s="28">
        <f>IFERROR(VLOOKUP($C778,Tabla_Documentos[],2,FALSE),"")</f>
        <v>46028</v>
      </c>
      <c r="E778" s="34" t="str">
        <f>IFERROR(VLOOKUP($C778,Tabla_Documentos[],3,FALSE),"")</f>
        <v>78080199-9</v>
      </c>
      <c r="F778" s="35" t="str">
        <f>IFERROR(VLOOKUP($C778,Tabla_Documentos[],4,FALSE),"")</f>
        <v>LATORRE INGENIERIA SPA</v>
      </c>
      <c r="G778" s="38">
        <f>IFERROR(VLOOKUP($C778,Tabla_Documentos[],5,FALSE),"")</f>
        <v>90000</v>
      </c>
      <c r="H778" s="29" t="str">
        <f>IFERROR(VLOOKUP($C778,Tabla_Documentos[],6,FALSE),"")</f>
        <v>PUBLICIDAD</v>
      </c>
      <c r="I778" s="38">
        <f>IFERROR(VLOOKUP($C778,Tabla_Documentos[],5,FALSE),"")</f>
        <v>90000</v>
      </c>
      <c r="J778" s="25">
        <v>46028</v>
      </c>
    </row>
    <row r="779" spans="3:10" ht="21" customHeight="1" x14ac:dyDescent="0.25">
      <c r="C779" s="39">
        <v>1697</v>
      </c>
      <c r="D779" s="28">
        <f>IFERROR(VLOOKUP($C779,Tabla_Documentos[],2,FALSE),"")</f>
        <v>46028</v>
      </c>
      <c r="E779" s="34" t="str">
        <f>IFERROR(VLOOKUP($C779,Tabla_Documentos[],3,FALSE),"")</f>
        <v>78121741-7</v>
      </c>
      <c r="F779" s="35" t="str">
        <f>IFERROR(VLOOKUP($C779,Tabla_Documentos[],4,FALSE),"")</f>
        <v>TRANSPORTES GALLARDO SPA</v>
      </c>
      <c r="G779" s="38">
        <f>IFERROR(VLOOKUP($C779,Tabla_Documentos[],5,FALSE),"")</f>
        <v>273700</v>
      </c>
      <c r="H779" s="29" t="str">
        <f>IFERROR(VLOOKUP($C779,Tabla_Documentos[],6,FALSE),"")</f>
        <v>PUBLICIDAD</v>
      </c>
      <c r="I779" s="38">
        <f>IFERROR(VLOOKUP($C779,Tabla_Documentos[],5,FALSE),"")</f>
        <v>273700</v>
      </c>
      <c r="J779" s="25">
        <v>46028</v>
      </c>
    </row>
    <row r="780" spans="3:10" ht="21" customHeight="1" x14ac:dyDescent="0.25">
      <c r="C780" s="39">
        <v>1699</v>
      </c>
      <c r="D780" s="28">
        <f>IFERROR(VLOOKUP($C780,Tabla_Documentos[],2,FALSE),"")</f>
        <v>46029</v>
      </c>
      <c r="E780" s="34" t="str">
        <f>IFERROR(VLOOKUP($C780,Tabla_Documentos[],3,FALSE),"")</f>
        <v>77957597-7</v>
      </c>
      <c r="F780" s="35" t="str">
        <f>IFERROR(VLOOKUP($C780,Tabla_Documentos[],4,FALSE),"")</f>
        <v>GEARMINDS SPA</v>
      </c>
      <c r="G780" s="38">
        <f>IFERROR(VLOOKUP($C780,Tabla_Documentos[],5,FALSE),"")</f>
        <v>107100</v>
      </c>
      <c r="H780" s="29" t="str">
        <f>IFERROR(VLOOKUP($C780,Tabla_Documentos[],6,FALSE),"")</f>
        <v>PUBLICIDAD</v>
      </c>
      <c r="I780" s="38">
        <f>IFERROR(VLOOKUP($C780,Tabla_Documentos[],5,FALSE),"")</f>
        <v>107100</v>
      </c>
      <c r="J780" s="25">
        <v>46029</v>
      </c>
    </row>
    <row r="781" spans="3:10" ht="21" customHeight="1" x14ac:dyDescent="0.25">
      <c r="C781" s="39">
        <v>1701</v>
      </c>
      <c r="D781" s="28">
        <f>IFERROR(VLOOKUP($C781,Tabla_Documentos[],2,FALSE),"")</f>
        <v>46030</v>
      </c>
      <c r="E781" s="34" t="str">
        <f>IFERROR(VLOOKUP($C781,Tabla_Documentos[],3,FALSE),"")</f>
        <v>65174277-3</v>
      </c>
      <c r="F781" s="35" t="str">
        <f>IFERROR(VLOOKUP($C781,Tabla_Documentos[],4,FALSE),"")</f>
        <v>CLUB ATLETICO BATALLON DE ATACAMA</v>
      </c>
      <c r="G781" s="38">
        <f>IFERROR(VLOOKUP($C781,Tabla_Documentos[],5,FALSE),"")</f>
        <v>952000</v>
      </c>
      <c r="H781" s="29" t="str">
        <f>IFERROR(VLOOKUP($C781,Tabla_Documentos[],6,FALSE),"")</f>
        <v>PUBLICIDAD</v>
      </c>
      <c r="I781" s="38">
        <f>IFERROR(VLOOKUP($C781,Tabla_Documentos[],5,FALSE),"")</f>
        <v>952000</v>
      </c>
      <c r="J781" s="25">
        <v>46030</v>
      </c>
    </row>
    <row r="782" spans="3:10" ht="21" customHeight="1" x14ac:dyDescent="0.25">
      <c r="C782" s="39">
        <v>1702</v>
      </c>
      <c r="D782" s="28">
        <f>IFERROR(VLOOKUP($C782,Tabla_Documentos[],2,FALSE),"")</f>
        <v>46030</v>
      </c>
      <c r="E782" s="34" t="str">
        <f>IFERROR(VLOOKUP($C782,Tabla_Documentos[],3,FALSE),"")</f>
        <v>77789862-0</v>
      </c>
      <c r="F782" s="35" t="str">
        <f>IFERROR(VLOOKUP($C782,Tabla_Documentos[],4,FALSE),"")</f>
        <v>MOINCO INGENIERIA SPA</v>
      </c>
      <c r="G782" s="38">
        <f>IFERROR(VLOOKUP($C782,Tabla_Documentos[],5,FALSE),"")</f>
        <v>296667</v>
      </c>
      <c r="H782" s="29" t="str">
        <f>IFERROR(VLOOKUP($C782,Tabla_Documentos[],6,FALSE),"")</f>
        <v>PUBLICIDAD</v>
      </c>
      <c r="I782" s="38">
        <f>IFERROR(VLOOKUP($C782,Tabla_Documentos[],5,FALSE),"")</f>
        <v>296667</v>
      </c>
      <c r="J782" s="25">
        <v>46030</v>
      </c>
    </row>
    <row r="783" spans="3:10" ht="21" customHeight="1" x14ac:dyDescent="0.25">
      <c r="C783" s="39">
        <v>1703</v>
      </c>
      <c r="D783" s="28">
        <f>IFERROR(VLOOKUP($C783,Tabla_Documentos[],2,FALSE),"")</f>
        <v>46030</v>
      </c>
      <c r="E783" s="34" t="str">
        <f>IFERROR(VLOOKUP($C783,Tabla_Documentos[],3,FALSE),"")</f>
        <v>77295766-1</v>
      </c>
      <c r="F783" s="35" t="str">
        <f>IFERROR(VLOOKUP($C783,Tabla_Documentos[],4,FALSE),"")</f>
        <v>LATINOS PAINT CARS SPA</v>
      </c>
      <c r="G783" s="38">
        <f>IFERROR(VLOOKUP($C783,Tabla_Documentos[],5,FALSE),"")</f>
        <v>38080</v>
      </c>
      <c r="H783" s="29" t="str">
        <f>IFERROR(VLOOKUP($C783,Tabla_Documentos[],6,FALSE),"")</f>
        <v>PUBLICIDAD</v>
      </c>
      <c r="I783" s="38">
        <f>IFERROR(VLOOKUP($C783,Tabla_Documentos[],5,FALSE),"")</f>
        <v>38080</v>
      </c>
      <c r="J783" s="25">
        <v>46030</v>
      </c>
    </row>
    <row r="784" spans="3:10" ht="21" customHeight="1" x14ac:dyDescent="0.25">
      <c r="C784" s="39">
        <v>1704</v>
      </c>
      <c r="D784" s="28">
        <f>IFERROR(VLOOKUP($C784,Tabla_Documentos[],2,FALSE),"")</f>
        <v>46030</v>
      </c>
      <c r="E784" s="34" t="str">
        <f>IFERROR(VLOOKUP($C784,Tabla_Documentos[],3,FALSE),"")</f>
        <v>78310281-1</v>
      </c>
      <c r="F784" s="35" t="str">
        <f>IFERROR(VLOOKUP($C784,Tabla_Documentos[],4,FALSE),"")</f>
        <v>COMERCIALIZADORA Y DISTRIBUIDORA MEGA COSTO SPA</v>
      </c>
      <c r="G784" s="38">
        <f>IFERROR(VLOOKUP($C784,Tabla_Documentos[],5,FALSE),"")</f>
        <v>199920</v>
      </c>
      <c r="H784" s="29" t="str">
        <f>IFERROR(VLOOKUP($C784,Tabla_Documentos[],6,FALSE),"")</f>
        <v>PUBLICIDAD</v>
      </c>
      <c r="I784" s="38">
        <f>IFERROR(VLOOKUP($C784,Tabla_Documentos[],5,FALSE),"")</f>
        <v>199920</v>
      </c>
      <c r="J784" s="25">
        <v>46030</v>
      </c>
    </row>
    <row r="785" spans="3:10" ht="21" customHeight="1" x14ac:dyDescent="0.25">
      <c r="C785" s="39">
        <v>1705</v>
      </c>
      <c r="D785" s="28">
        <f>IFERROR(VLOOKUP($C785,Tabla_Documentos[],2,FALSE),"")</f>
        <v>46031</v>
      </c>
      <c r="E785" s="34" t="str">
        <f>IFERROR(VLOOKUP($C785,Tabla_Documentos[],3,FALSE),"")</f>
        <v>83628100-4</v>
      </c>
      <c r="F785" s="35" t="str">
        <f>IFERROR(VLOOKUP($C785,Tabla_Documentos[],4,FALSE),"")</f>
        <v>SONDA S A</v>
      </c>
      <c r="G785" s="38">
        <f>IFERROR(VLOOKUP($C785,Tabla_Documentos[],5,FALSE),"")</f>
        <v>76874</v>
      </c>
      <c r="H785" s="29" t="str">
        <f>IFERROR(VLOOKUP($C785,Tabla_Documentos[],6,FALSE),"")</f>
        <v>PUBLICIDAD</v>
      </c>
      <c r="I785" s="38">
        <f>IFERROR(VLOOKUP($C785,Tabla_Documentos[],5,FALSE),"")</f>
        <v>76874</v>
      </c>
      <c r="J785" s="25">
        <v>46031</v>
      </c>
    </row>
    <row r="786" spans="3:10" ht="21" customHeight="1" x14ac:dyDescent="0.25">
      <c r="C786" s="39">
        <v>1706</v>
      </c>
      <c r="D786" s="28">
        <f>IFERROR(VLOOKUP($C786,Tabla_Documentos[],2,FALSE),"")</f>
        <v>46031</v>
      </c>
      <c r="E786" s="34" t="str">
        <f>IFERROR(VLOOKUP($C786,Tabla_Documentos[],3,FALSE),"")</f>
        <v>76833007-7</v>
      </c>
      <c r="F786" s="35" t="str">
        <f>IFERROR(VLOOKUP($C786,Tabla_Documentos[],4,FALSE),"")</f>
        <v>CONSTRUCTORA RIVERA CUBILLOS LIMITADA</v>
      </c>
      <c r="G786" s="38">
        <f>IFERROR(VLOOKUP($C786,Tabla_Documentos[],5,FALSE),"")</f>
        <v>85680</v>
      </c>
      <c r="H786" s="29" t="str">
        <f>IFERROR(VLOOKUP($C786,Tabla_Documentos[],6,FALSE),"")</f>
        <v>PUBLICIDAD</v>
      </c>
      <c r="I786" s="38">
        <f>IFERROR(VLOOKUP($C786,Tabla_Documentos[],5,FALSE),"")</f>
        <v>85680</v>
      </c>
      <c r="J786" s="25">
        <v>46031</v>
      </c>
    </row>
    <row r="787" spans="3:10" ht="21" customHeight="1" x14ac:dyDescent="0.25">
      <c r="C787" s="39">
        <v>1709</v>
      </c>
      <c r="D787" s="28">
        <f>IFERROR(VLOOKUP($C787,Tabla_Documentos[],2,FALSE),"")</f>
        <v>46031</v>
      </c>
      <c r="E787" s="34" t="str">
        <f>IFERROR(VLOOKUP($C787,Tabla_Documentos[],3,FALSE),"")</f>
        <v>78808300-9</v>
      </c>
      <c r="F787" s="35" t="str">
        <f>IFERROR(VLOOKUP($C787,Tabla_Documentos[],4,FALSE),"")</f>
        <v>EDWIN HOLVOET Y COMPANIA LIMITADA</v>
      </c>
      <c r="G787" s="38">
        <f>IFERROR(VLOOKUP($C787,Tabla_Documentos[],5,FALSE),"")</f>
        <v>23800</v>
      </c>
      <c r="H787" s="29" t="str">
        <f>IFERROR(VLOOKUP($C787,Tabla_Documentos[],6,FALSE),"")</f>
        <v>PUBLICIDAD</v>
      </c>
      <c r="I787" s="38">
        <f>IFERROR(VLOOKUP($C787,Tabla_Documentos[],5,FALSE),"")</f>
        <v>23800</v>
      </c>
      <c r="J787" s="25">
        <v>46031</v>
      </c>
    </row>
    <row r="788" spans="3:10" ht="21" customHeight="1" x14ac:dyDescent="0.25">
      <c r="C788" s="39">
        <v>1710</v>
      </c>
      <c r="D788" s="28">
        <f>IFERROR(VLOOKUP($C788,Tabla_Documentos[],2,FALSE),"")</f>
        <v>46031</v>
      </c>
      <c r="E788" s="34" t="str">
        <f>IFERROR(VLOOKUP($C788,Tabla_Documentos[],3,FALSE),"")</f>
        <v>76744135-5</v>
      </c>
      <c r="F788" s="35" t="str">
        <f>IFERROR(VLOOKUP($C788,Tabla_Documentos[],4,FALSE),"")</f>
        <v>PATAGONIA SERVICIOS SPA</v>
      </c>
      <c r="G788" s="38">
        <f>IFERROR(VLOOKUP($C788,Tabla_Documentos[],5,FALSE),"")</f>
        <v>5117000</v>
      </c>
      <c r="H788" s="29" t="str">
        <f>IFERROR(VLOOKUP($C788,Tabla_Documentos[],6,FALSE),"")</f>
        <v>PUBLICIDAD</v>
      </c>
      <c r="I788" s="38">
        <f>IFERROR(VLOOKUP($C788,Tabla_Documentos[],5,FALSE),"")</f>
        <v>5117000</v>
      </c>
      <c r="J788" s="25">
        <v>46031</v>
      </c>
    </row>
    <row r="789" spans="3:10" ht="21" customHeight="1" x14ac:dyDescent="0.25">
      <c r="C789" s="39">
        <v>1713</v>
      </c>
      <c r="D789" s="28">
        <f>IFERROR(VLOOKUP($C789,Tabla_Documentos[],2,FALSE),"")</f>
        <v>46031</v>
      </c>
      <c r="E789" s="34" t="str">
        <f>IFERROR(VLOOKUP($C789,Tabla_Documentos[],3,FALSE),"")</f>
        <v>76506336-1</v>
      </c>
      <c r="F789" s="35" t="str">
        <f>IFERROR(VLOOKUP($C789,Tabla_Documentos[],4,FALSE),"")</f>
        <v>KRADE SPA</v>
      </c>
      <c r="G789" s="38">
        <f>IFERROR(VLOOKUP($C789,Tabla_Documentos[],5,FALSE),"")</f>
        <v>33915</v>
      </c>
      <c r="H789" s="29" t="str">
        <f>IFERROR(VLOOKUP($C789,Tabla_Documentos[],6,FALSE),"")</f>
        <v>PUBLICIDAD</v>
      </c>
      <c r="I789" s="38">
        <f>IFERROR(VLOOKUP($C789,Tabla_Documentos[],5,FALSE),"")</f>
        <v>33915</v>
      </c>
      <c r="J789" s="25">
        <v>46031</v>
      </c>
    </row>
    <row r="790" spans="3:10" ht="21" customHeight="1" x14ac:dyDescent="0.25">
      <c r="C790" s="39">
        <v>1718</v>
      </c>
      <c r="D790" s="28">
        <f>IFERROR(VLOOKUP($C790,Tabla_Documentos[],2,FALSE),"")</f>
        <v>46034</v>
      </c>
      <c r="E790" s="34" t="str">
        <f>IFERROR(VLOOKUP($C790,Tabla_Documentos[],3,FALSE),"")</f>
        <v>90844000-5</v>
      </c>
      <c r="F790" s="35" t="str">
        <f>IFERROR(VLOOKUP($C790,Tabla_Documentos[],4,FALSE),"")</f>
        <v>KUPFER HERMANOS SA</v>
      </c>
      <c r="G790" s="38">
        <f>IFERROR(VLOOKUP($C790,Tabla_Documentos[],5,FALSE),"")</f>
        <v>74970</v>
      </c>
      <c r="H790" s="29" t="str">
        <f>IFERROR(VLOOKUP($C790,Tabla_Documentos[],6,FALSE),"")</f>
        <v>PUBLICIDAD</v>
      </c>
      <c r="I790" s="38">
        <f>IFERROR(VLOOKUP($C790,Tabla_Documentos[],5,FALSE),"")</f>
        <v>74970</v>
      </c>
      <c r="J790" s="25">
        <v>46034</v>
      </c>
    </row>
    <row r="791" spans="3:10" ht="21" customHeight="1" x14ac:dyDescent="0.25">
      <c r="C791" s="39">
        <v>1719</v>
      </c>
      <c r="D791" s="28">
        <f>IFERROR(VLOOKUP($C791,Tabla_Documentos[],2,FALSE),"")</f>
        <v>46034</v>
      </c>
      <c r="E791" s="34" t="str">
        <f>IFERROR(VLOOKUP($C791,Tabla_Documentos[],3,FALSE),"")</f>
        <v>77520219-K</v>
      </c>
      <c r="F791" s="35" t="str">
        <f>IFERROR(VLOOKUP($C791,Tabla_Documentos[],4,FALSE),"")</f>
        <v>AILUV SPA</v>
      </c>
      <c r="G791" s="38">
        <f>IFERROR(VLOOKUP($C791,Tabla_Documentos[],5,FALSE),"")</f>
        <v>35700</v>
      </c>
      <c r="H791" s="29" t="str">
        <f>IFERROR(VLOOKUP($C791,Tabla_Documentos[],6,FALSE),"")</f>
        <v>PUBLICIDAD</v>
      </c>
      <c r="I791" s="38">
        <f>IFERROR(VLOOKUP($C791,Tabla_Documentos[],5,FALSE),"")</f>
        <v>35700</v>
      </c>
      <c r="J791" s="25">
        <v>46034</v>
      </c>
    </row>
    <row r="792" spans="3:10" ht="21" customHeight="1" x14ac:dyDescent="0.25">
      <c r="C792" s="39">
        <v>1720</v>
      </c>
      <c r="D792" s="28">
        <f>IFERROR(VLOOKUP($C792,Tabla_Documentos[],2,FALSE),"")</f>
        <v>46034</v>
      </c>
      <c r="E792" s="34" t="str">
        <f>IFERROR(VLOOKUP($C792,Tabla_Documentos[],3,FALSE),"")</f>
        <v>76300628-K</v>
      </c>
      <c r="F792" s="35" t="str">
        <f>IFERROR(VLOOKUP($C792,Tabla_Documentos[],4,FALSE),"")</f>
        <v>ATACAMA TECH SPA</v>
      </c>
      <c r="G792" s="38">
        <f>IFERROR(VLOOKUP($C792,Tabla_Documentos[],5,FALSE),"")</f>
        <v>29750</v>
      </c>
      <c r="H792" s="29" t="str">
        <f>IFERROR(VLOOKUP($C792,Tabla_Documentos[],6,FALSE),"")</f>
        <v>PUBLICIDAD</v>
      </c>
      <c r="I792" s="38">
        <f>IFERROR(VLOOKUP($C792,Tabla_Documentos[],5,FALSE),"")</f>
        <v>29750</v>
      </c>
      <c r="J792" s="25">
        <v>46034</v>
      </c>
    </row>
    <row r="793" spans="3:10" ht="21" customHeight="1" x14ac:dyDescent="0.25">
      <c r="C793" s="39">
        <v>1722</v>
      </c>
      <c r="D793" s="28">
        <f>IFERROR(VLOOKUP($C793,Tabla_Documentos[],2,FALSE),"")</f>
        <v>46035</v>
      </c>
      <c r="E793" s="34" t="str">
        <f>IFERROR(VLOOKUP($C793,Tabla_Documentos[],3,FALSE),"")</f>
        <v>78025350-9</v>
      </c>
      <c r="F793" s="35" t="str">
        <f>IFERROR(VLOOKUP($C793,Tabla_Documentos[],4,FALSE),"")</f>
        <v>AL INGENIERIA Y SERVICIOS LIMITADA</v>
      </c>
      <c r="G793" s="38">
        <f>IFERROR(VLOOKUP($C793,Tabla_Documentos[],5,FALSE),"")</f>
        <v>53550</v>
      </c>
      <c r="H793" s="29" t="str">
        <f>IFERROR(VLOOKUP($C793,Tabla_Documentos[],6,FALSE),"")</f>
        <v>PUBLICIDAD</v>
      </c>
      <c r="I793" s="38">
        <f>IFERROR(VLOOKUP($C793,Tabla_Documentos[],5,FALSE),"")</f>
        <v>53550</v>
      </c>
      <c r="J793" s="25">
        <v>46035</v>
      </c>
    </row>
    <row r="794" spans="3:10" ht="21" customHeight="1" x14ac:dyDescent="0.25">
      <c r="C794" s="39">
        <v>1723</v>
      </c>
      <c r="D794" s="28">
        <f>IFERROR(VLOOKUP($C794,Tabla_Documentos[],2,FALSE),"")</f>
        <v>46035</v>
      </c>
      <c r="E794" s="34" t="str">
        <f>IFERROR(VLOOKUP($C794,Tabla_Documentos[],3,FALSE),"")</f>
        <v>76987478-K</v>
      </c>
      <c r="F794" s="35" t="str">
        <f>IFERROR(VLOOKUP($C794,Tabla_Documentos[],4,FALSE),"")</f>
        <v>COAX SPA</v>
      </c>
      <c r="G794" s="38">
        <f>IFERROR(VLOOKUP($C794,Tabla_Documentos[],5,FALSE),"")</f>
        <v>53431</v>
      </c>
      <c r="H794" s="29" t="str">
        <f>IFERROR(VLOOKUP($C794,Tabla_Documentos[],6,FALSE),"")</f>
        <v>PUBLICIDAD</v>
      </c>
      <c r="I794" s="38">
        <f>IFERROR(VLOOKUP($C794,Tabla_Documentos[],5,FALSE),"")</f>
        <v>53431</v>
      </c>
      <c r="J794" s="25">
        <v>46035</v>
      </c>
    </row>
    <row r="795" spans="3:10" ht="21" customHeight="1" x14ac:dyDescent="0.25">
      <c r="C795" s="39">
        <v>1724</v>
      </c>
      <c r="D795" s="28">
        <f>IFERROR(VLOOKUP($C795,Tabla_Documentos[],2,FALSE),"")</f>
        <v>46035</v>
      </c>
      <c r="E795" s="34" t="str">
        <f>IFERROR(VLOOKUP($C795,Tabla_Documentos[],3,FALSE),"")</f>
        <v>77907297-5</v>
      </c>
      <c r="F795" s="35" t="str">
        <f>IFERROR(VLOOKUP($C795,Tabla_Documentos[],4,FALSE),"")</f>
        <v>LEYARZ SPA</v>
      </c>
      <c r="G795" s="38">
        <f>IFERROR(VLOOKUP($C795,Tabla_Documentos[],5,FALSE),"")</f>
        <v>17850</v>
      </c>
      <c r="H795" s="29" t="str">
        <f>IFERROR(VLOOKUP($C795,Tabla_Documentos[],6,FALSE),"")</f>
        <v>PUBLICIDAD</v>
      </c>
      <c r="I795" s="38">
        <f>IFERROR(VLOOKUP($C795,Tabla_Documentos[],5,FALSE),"")</f>
        <v>17850</v>
      </c>
      <c r="J795" s="25">
        <v>46035</v>
      </c>
    </row>
    <row r="796" spans="3:10" ht="21" customHeight="1" x14ac:dyDescent="0.25">
      <c r="C796" s="39">
        <v>1726</v>
      </c>
      <c r="D796" s="28">
        <f>IFERROR(VLOOKUP($C796,Tabla_Documentos[],2,FALSE),"")</f>
        <v>46036</v>
      </c>
      <c r="E796" s="34" t="str">
        <f>IFERROR(VLOOKUP($C796,Tabla_Documentos[],3,FALSE),"")</f>
        <v>77779481-7</v>
      </c>
      <c r="F796" s="35" t="str">
        <f>IFERROR(VLOOKUP($C796,Tabla_Documentos[],4,FALSE),"")</f>
        <v>SERVICIOS INTEGRALES MAS GRAFIMANIA SPA</v>
      </c>
      <c r="G796" s="38">
        <f>IFERROR(VLOOKUP($C796,Tabla_Documentos[],5,FALSE),"")</f>
        <v>53550</v>
      </c>
      <c r="H796" s="29" t="str">
        <f>IFERROR(VLOOKUP($C796,Tabla_Documentos[],6,FALSE),"")</f>
        <v>PUBLICIDAD</v>
      </c>
      <c r="I796" s="38">
        <f>IFERROR(VLOOKUP($C796,Tabla_Documentos[],5,FALSE),"")</f>
        <v>53550</v>
      </c>
      <c r="J796" s="25">
        <v>46036</v>
      </c>
    </row>
    <row r="797" spans="3:10" ht="21" customHeight="1" x14ac:dyDescent="0.25">
      <c r="C797" s="39">
        <v>1727</v>
      </c>
      <c r="D797" s="28">
        <f>IFERROR(VLOOKUP($C797,Tabla_Documentos[],2,FALSE),"")</f>
        <v>46036</v>
      </c>
      <c r="E797" s="34" t="str">
        <f>IFERROR(VLOOKUP($C797,Tabla_Documentos[],3,FALSE),"")</f>
        <v>78192732-5</v>
      </c>
      <c r="F797" s="35" t="str">
        <f>IFERROR(VLOOKUP($C797,Tabla_Documentos[],4,FALSE),"")</f>
        <v>CMBL SPA</v>
      </c>
      <c r="G797" s="38">
        <f>IFERROR(VLOOKUP($C797,Tabla_Documentos[],5,FALSE),"")</f>
        <v>160000</v>
      </c>
      <c r="H797" s="29" t="str">
        <f>IFERROR(VLOOKUP($C797,Tabla_Documentos[],6,FALSE),"")</f>
        <v>PUBLICIDAD</v>
      </c>
      <c r="I797" s="38">
        <f>IFERROR(VLOOKUP($C797,Tabla_Documentos[],5,FALSE),"")</f>
        <v>160000</v>
      </c>
      <c r="J797" s="25">
        <v>46036</v>
      </c>
    </row>
    <row r="798" spans="3:10" ht="21" customHeight="1" x14ac:dyDescent="0.25">
      <c r="C798" s="39">
        <v>1728</v>
      </c>
      <c r="D798" s="28">
        <f>IFERROR(VLOOKUP($C798,Tabla_Documentos[],2,FALSE),"")</f>
        <v>46036</v>
      </c>
      <c r="E798" s="34" t="str">
        <f>IFERROR(VLOOKUP($C798,Tabla_Documentos[],3,FALSE),"")</f>
        <v>77779481-7</v>
      </c>
      <c r="F798" s="35" t="str">
        <f>IFERROR(VLOOKUP($C798,Tabla_Documentos[],4,FALSE),"")</f>
        <v>SERVICIOS INTEGRALES MAS GRAFIMANIA SPA</v>
      </c>
      <c r="G798" s="38">
        <f>IFERROR(VLOOKUP($C798,Tabla_Documentos[],5,FALSE),"")</f>
        <v>90000</v>
      </c>
      <c r="H798" s="29" t="str">
        <f>IFERROR(VLOOKUP($C798,Tabla_Documentos[],6,FALSE),"")</f>
        <v>PUBLICIDAD</v>
      </c>
      <c r="I798" s="38">
        <f>IFERROR(VLOOKUP($C798,Tabla_Documentos[],5,FALSE),"")</f>
        <v>90000</v>
      </c>
      <c r="J798" s="25">
        <v>46036</v>
      </c>
    </row>
    <row r="799" spans="3:10" ht="21" customHeight="1" x14ac:dyDescent="0.25">
      <c r="C799" s="39">
        <v>1729</v>
      </c>
      <c r="D799" s="28">
        <f>IFERROR(VLOOKUP($C799,Tabla_Documentos[],2,FALSE),"")</f>
        <v>46036</v>
      </c>
      <c r="E799" s="34" t="str">
        <f>IFERROR(VLOOKUP($C799,Tabla_Documentos[],3,FALSE),"")</f>
        <v>78202569-4</v>
      </c>
      <c r="F799" s="35" t="str">
        <f>IFERROR(VLOOKUP($C799,Tabla_Documentos[],4,FALSE),"")</f>
        <v>ARRIENDO DE MAQUINARIAS Y SERVICIOS SERMAK SPA</v>
      </c>
      <c r="G799" s="38">
        <f>IFERROR(VLOOKUP($C799,Tabla_Documentos[],5,FALSE),"")</f>
        <v>23800</v>
      </c>
      <c r="H799" s="29" t="str">
        <f>IFERROR(VLOOKUP($C799,Tabla_Documentos[],6,FALSE),"")</f>
        <v>PUBLICIDAD</v>
      </c>
      <c r="I799" s="38">
        <f>IFERROR(VLOOKUP($C799,Tabla_Documentos[],5,FALSE),"")</f>
        <v>23800</v>
      </c>
      <c r="J799" s="25">
        <v>46036</v>
      </c>
    </row>
    <row r="800" spans="3:10" ht="21" customHeight="1" x14ac:dyDescent="0.25">
      <c r="C800" s="39">
        <v>1730</v>
      </c>
      <c r="D800" s="28">
        <f>IFERROR(VLOOKUP($C800,Tabla_Documentos[],2,FALSE),"")</f>
        <v>46036</v>
      </c>
      <c r="E800" s="34" t="str">
        <f>IFERROR(VLOOKUP($C800,Tabla_Documentos[],3,FALSE),"")</f>
        <v>10262923-K</v>
      </c>
      <c r="F800" s="35" t="str">
        <f>IFERROR(VLOOKUP($C800,Tabla_Documentos[],4,FALSE),"")</f>
        <v>LADISLAO LINCOYAN ELGUETA CASTRO</v>
      </c>
      <c r="G800" s="38">
        <f>IFERROR(VLOOKUP($C800,Tabla_Documentos[],5,FALSE),"")</f>
        <v>10000</v>
      </c>
      <c r="H800" s="29" t="str">
        <f>IFERROR(VLOOKUP($C800,Tabla_Documentos[],6,FALSE),"")</f>
        <v>PUBLICIDAD</v>
      </c>
      <c r="I800" s="38">
        <f>IFERROR(VLOOKUP($C800,Tabla_Documentos[],5,FALSE),"")</f>
        <v>10000</v>
      </c>
      <c r="J800" s="25">
        <v>46036</v>
      </c>
    </row>
    <row r="801" spans="3:10" ht="21" customHeight="1" x14ac:dyDescent="0.25">
      <c r="C801" s="39">
        <v>1731</v>
      </c>
      <c r="D801" s="28">
        <f>IFERROR(VLOOKUP($C801,Tabla_Documentos[],2,FALSE),"")</f>
        <v>46036</v>
      </c>
      <c r="E801" s="34" t="str">
        <f>IFERROR(VLOOKUP($C801,Tabla_Documentos[],3,FALSE),"")</f>
        <v>76336122-5</v>
      </c>
      <c r="F801" s="35" t="str">
        <f>IFERROR(VLOOKUP($C801,Tabla_Documentos[],4,FALSE),"")</f>
        <v>INGENIERIA Y SERVICIOS TERRACOP SPA</v>
      </c>
      <c r="G801" s="38">
        <f>IFERROR(VLOOKUP($C801,Tabla_Documentos[],5,FALSE),"")</f>
        <v>23562</v>
      </c>
      <c r="H801" s="29" t="str">
        <f>IFERROR(VLOOKUP($C801,Tabla_Documentos[],6,FALSE),"")</f>
        <v>PUBLICIDAD</v>
      </c>
      <c r="I801" s="38">
        <f>IFERROR(VLOOKUP($C801,Tabla_Documentos[],5,FALSE),"")</f>
        <v>23562</v>
      </c>
      <c r="J801" s="25">
        <v>46036</v>
      </c>
    </row>
    <row r="802" spans="3:10" ht="21" customHeight="1" x14ac:dyDescent="0.25">
      <c r="C802" s="39">
        <v>1732</v>
      </c>
      <c r="D802" s="28">
        <f>IFERROR(VLOOKUP($C802,Tabla_Documentos[],2,FALSE),"")</f>
        <v>46037</v>
      </c>
      <c r="E802" s="34" t="str">
        <f>IFERROR(VLOOKUP($C802,Tabla_Documentos[],3,FALSE),"")</f>
        <v>77363286-3</v>
      </c>
      <c r="F802" s="35" t="str">
        <f>IFERROR(VLOOKUP($C802,Tabla_Documentos[],4,FALSE),"")</f>
        <v>BASSI E HIJOS SPA</v>
      </c>
      <c r="G802" s="38">
        <f>IFERROR(VLOOKUP($C802,Tabla_Documentos[],5,FALSE),"")</f>
        <v>1180000</v>
      </c>
      <c r="H802" s="29" t="str">
        <f>IFERROR(VLOOKUP($C802,Tabla_Documentos[],6,FALSE),"")</f>
        <v>PUBLICIDAD</v>
      </c>
      <c r="I802" s="38">
        <f>IFERROR(VLOOKUP($C802,Tabla_Documentos[],5,FALSE),"")</f>
        <v>1180000</v>
      </c>
      <c r="J802" s="25">
        <v>46037</v>
      </c>
    </row>
    <row r="803" spans="3:10" ht="21" customHeight="1" x14ac:dyDescent="0.25">
      <c r="C803" s="39">
        <v>1733</v>
      </c>
      <c r="D803" s="28">
        <f>IFERROR(VLOOKUP($C803,Tabla_Documentos[],2,FALSE),"")</f>
        <v>46038</v>
      </c>
      <c r="E803" s="34" t="str">
        <f>IFERROR(VLOOKUP($C803,Tabla_Documentos[],3,FALSE),"")</f>
        <v>16832653-K</v>
      </c>
      <c r="F803" s="35" t="str">
        <f>IFERROR(VLOOKUP($C803,Tabla_Documentos[],4,FALSE),"")</f>
        <v>JUAN ALFREDO TRIGO DORADOR</v>
      </c>
      <c r="G803" s="38">
        <f>IFERROR(VLOOKUP($C803,Tabla_Documentos[],5,FALSE),"")</f>
        <v>119000</v>
      </c>
      <c r="H803" s="29" t="str">
        <f>IFERROR(VLOOKUP($C803,Tabla_Documentos[],6,FALSE),"")</f>
        <v>PUBLICIDAD</v>
      </c>
      <c r="I803" s="38">
        <f>IFERROR(VLOOKUP($C803,Tabla_Documentos[],5,FALSE),"")</f>
        <v>119000</v>
      </c>
      <c r="J803" s="25">
        <v>46038</v>
      </c>
    </row>
    <row r="804" spans="3:10" ht="21" customHeight="1" x14ac:dyDescent="0.25">
      <c r="C804" s="39">
        <v>1734</v>
      </c>
      <c r="D804" s="28">
        <f>IFERROR(VLOOKUP($C804,Tabla_Documentos[],2,FALSE),"")</f>
        <v>46038</v>
      </c>
      <c r="E804" s="34" t="str">
        <f>IFERROR(VLOOKUP($C804,Tabla_Documentos[],3,FALSE),"")</f>
        <v>76118728-7</v>
      </c>
      <c r="F804" s="35" t="str">
        <f>IFERROR(VLOOKUP($C804,Tabla_Documentos[],4,FALSE),"")</f>
        <v>INGENIERIA HIDRAULICA LIMITADA</v>
      </c>
      <c r="G804" s="38">
        <f>IFERROR(VLOOKUP($C804,Tabla_Documentos[],5,FALSE),"")</f>
        <v>261800</v>
      </c>
      <c r="H804" s="29" t="str">
        <f>IFERROR(VLOOKUP($C804,Tabla_Documentos[],6,FALSE),"")</f>
        <v>PUBLICIDAD</v>
      </c>
      <c r="I804" s="38">
        <f>IFERROR(VLOOKUP($C804,Tabla_Documentos[],5,FALSE),"")</f>
        <v>261800</v>
      </c>
      <c r="J804" s="25">
        <v>46038</v>
      </c>
    </row>
    <row r="805" spans="3:10" ht="21" customHeight="1" x14ac:dyDescent="0.25">
      <c r="C805" s="39">
        <v>1735</v>
      </c>
      <c r="D805" s="28">
        <f>IFERROR(VLOOKUP($C805,Tabla_Documentos[],2,FALSE),"")</f>
        <v>46041</v>
      </c>
      <c r="E805" s="34" t="str">
        <f>IFERROR(VLOOKUP($C805,Tabla_Documentos[],3,FALSE),"")</f>
        <v>90844000-5</v>
      </c>
      <c r="F805" s="35" t="str">
        <f>IFERROR(VLOOKUP($C805,Tabla_Documentos[],4,FALSE),"")</f>
        <v>KUPFER HERMANOS SA</v>
      </c>
      <c r="G805" s="38">
        <f>IFERROR(VLOOKUP($C805,Tabla_Documentos[],5,FALSE),"")</f>
        <v>110075</v>
      </c>
      <c r="H805" s="29" t="str">
        <f>IFERROR(VLOOKUP($C805,Tabla_Documentos[],6,FALSE),"")</f>
        <v>PUBLICIDAD</v>
      </c>
      <c r="I805" s="38">
        <f>IFERROR(VLOOKUP($C805,Tabla_Documentos[],5,FALSE),"")</f>
        <v>110075</v>
      </c>
      <c r="J805" s="25">
        <v>46041</v>
      </c>
    </row>
    <row r="806" spans="3:10" ht="21" customHeight="1" x14ac:dyDescent="0.25">
      <c r="C806" s="39">
        <v>1736</v>
      </c>
      <c r="D806" s="28">
        <f>IFERROR(VLOOKUP($C806,Tabla_Documentos[],2,FALSE),"")</f>
        <v>46041</v>
      </c>
      <c r="E806" s="34" t="str">
        <f>IFERROR(VLOOKUP($C806,Tabla_Documentos[],3,FALSE),"")</f>
        <v>76674227-0</v>
      </c>
      <c r="F806" s="35" t="str">
        <f>IFERROR(VLOOKUP($C806,Tabla_Documentos[],4,FALSE),"")</f>
        <v>COMERCIAL OVIDIO LUIS RODRIGUEZ QUEVEDO MOVIMIENTO DE TIERRA SPA</v>
      </c>
      <c r="G806" s="38">
        <f>IFERROR(VLOOKUP($C806,Tabla_Documentos[],5,FALSE),"")</f>
        <v>160000</v>
      </c>
      <c r="H806" s="29" t="str">
        <f>IFERROR(VLOOKUP($C806,Tabla_Documentos[],6,FALSE),"")</f>
        <v>PUBLICIDAD</v>
      </c>
      <c r="I806" s="38">
        <f>IFERROR(VLOOKUP($C806,Tabla_Documentos[],5,FALSE),"")</f>
        <v>160000</v>
      </c>
      <c r="J806" s="25">
        <v>46041</v>
      </c>
    </row>
    <row r="807" spans="3:10" ht="21" customHeight="1" x14ac:dyDescent="0.25">
      <c r="C807" s="39">
        <v>1737</v>
      </c>
      <c r="D807" s="28">
        <f>IFERROR(VLOOKUP($C807,Tabla_Documentos[],2,FALSE),"")</f>
        <v>46041</v>
      </c>
      <c r="E807" s="34" t="str">
        <f>IFERROR(VLOOKUP($C807,Tabla_Documentos[],3,FALSE),"")</f>
        <v>76756768-5</v>
      </c>
      <c r="F807" s="35" t="str">
        <f>IFERROR(VLOOKUP($C807,Tabla_Documentos[],4,FALSE),"")</f>
        <v>MAX SERVICE SEGURIDAD INDUSTRIAL SPA</v>
      </c>
      <c r="G807" s="38">
        <f>IFERROR(VLOOKUP($C807,Tabla_Documentos[],5,FALSE),"")</f>
        <v>71400</v>
      </c>
      <c r="H807" s="29" t="str">
        <f>IFERROR(VLOOKUP($C807,Tabla_Documentos[],6,FALSE),"")</f>
        <v>PUBLICIDAD</v>
      </c>
      <c r="I807" s="38">
        <f>IFERROR(VLOOKUP($C807,Tabla_Documentos[],5,FALSE),"")</f>
        <v>71400</v>
      </c>
      <c r="J807" s="25">
        <v>46041</v>
      </c>
    </row>
    <row r="808" spans="3:10" ht="21" customHeight="1" x14ac:dyDescent="0.25">
      <c r="C808" s="39">
        <v>1738</v>
      </c>
      <c r="D808" s="28">
        <f>IFERROR(VLOOKUP($C808,Tabla_Documentos[],2,FALSE),"")</f>
        <v>46041</v>
      </c>
      <c r="E808" s="34" t="str">
        <f>IFERROR(VLOOKUP($C808,Tabla_Documentos[],3,FALSE),"")</f>
        <v>10955509-6</v>
      </c>
      <c r="F808" s="35" t="str">
        <f>IFERROR(VLOOKUP($C808,Tabla_Documentos[],4,FALSE),"")</f>
        <v>JUAN CARLOS CORDOVA AVILA</v>
      </c>
      <c r="G808" s="38">
        <f>IFERROR(VLOOKUP($C808,Tabla_Documentos[],5,FALSE),"")</f>
        <v>190000</v>
      </c>
      <c r="H808" s="29" t="str">
        <f>IFERROR(VLOOKUP($C808,Tabla_Documentos[],6,FALSE),"")</f>
        <v>PUBLICIDAD</v>
      </c>
      <c r="I808" s="38">
        <f>IFERROR(VLOOKUP($C808,Tabla_Documentos[],5,FALSE),"")</f>
        <v>190000</v>
      </c>
      <c r="J808" s="25">
        <v>46041</v>
      </c>
    </row>
    <row r="809" spans="3:10" ht="21" customHeight="1" x14ac:dyDescent="0.25">
      <c r="C809" s="39">
        <v>1739</v>
      </c>
      <c r="D809" s="28">
        <f>IFERROR(VLOOKUP($C809,Tabla_Documentos[],2,FALSE),"")</f>
        <v>46041</v>
      </c>
      <c r="E809" s="34" t="str">
        <f>IFERROR(VLOOKUP($C809,Tabla_Documentos[],3,FALSE),"")</f>
        <v>10730171-2</v>
      </c>
      <c r="F809" s="35" t="str">
        <f>IFERROR(VLOOKUP($C809,Tabla_Documentos[],4,FALSE),"")</f>
        <v>LUIS MANUEL CONTRERAS YANEZ</v>
      </c>
      <c r="G809" s="38">
        <f>IFERROR(VLOOKUP($C809,Tabla_Documentos[],5,FALSE),"")</f>
        <v>42840</v>
      </c>
      <c r="H809" s="29" t="str">
        <f>IFERROR(VLOOKUP($C809,Tabla_Documentos[],6,FALSE),"")</f>
        <v>PUBLICIDAD</v>
      </c>
      <c r="I809" s="38">
        <f>IFERROR(VLOOKUP($C809,Tabla_Documentos[],5,FALSE),"")</f>
        <v>42840</v>
      </c>
      <c r="J809" s="25">
        <v>46041</v>
      </c>
    </row>
    <row r="810" spans="3:10" ht="21" customHeight="1" x14ac:dyDescent="0.25">
      <c r="C810" s="39">
        <v>1741</v>
      </c>
      <c r="D810" s="28">
        <f>IFERROR(VLOOKUP($C810,Tabla_Documentos[],2,FALSE),"")</f>
        <v>46042</v>
      </c>
      <c r="E810" s="34" t="str">
        <f>IFERROR(VLOOKUP($C810,Tabla_Documentos[],3,FALSE),"")</f>
        <v>78239647-1</v>
      </c>
      <c r="F810" s="35" t="str">
        <f>IFERROR(VLOOKUP($C810,Tabla_Documentos[],4,FALSE),"")</f>
        <v>INVERSIONES IBARRA HERMANAS SPA</v>
      </c>
      <c r="G810" s="38">
        <f>IFERROR(VLOOKUP($C810,Tabla_Documentos[],5,FALSE),"")</f>
        <v>4500100</v>
      </c>
      <c r="H810" s="29" t="str">
        <f>IFERROR(VLOOKUP($C810,Tabla_Documentos[],6,FALSE),"")</f>
        <v>PUBLICIDAD</v>
      </c>
      <c r="I810" s="38">
        <f>IFERROR(VLOOKUP($C810,Tabla_Documentos[],5,FALSE),"")</f>
        <v>4500100</v>
      </c>
      <c r="J810" s="25">
        <v>46042</v>
      </c>
    </row>
    <row r="811" spans="3:10" ht="21" customHeight="1" x14ac:dyDescent="0.25">
      <c r="C811" s="39">
        <v>1742</v>
      </c>
      <c r="D811" s="28">
        <f>IFERROR(VLOOKUP($C811,Tabla_Documentos[],2,FALSE),"")</f>
        <v>46042</v>
      </c>
      <c r="E811" s="34" t="str">
        <f>IFERROR(VLOOKUP($C811,Tabla_Documentos[],3,FALSE),"")</f>
        <v>77520219-K</v>
      </c>
      <c r="F811" s="35" t="str">
        <f>IFERROR(VLOOKUP($C811,Tabla_Documentos[],4,FALSE),"")</f>
        <v>AILUV SPA</v>
      </c>
      <c r="G811" s="38">
        <f>IFERROR(VLOOKUP($C811,Tabla_Documentos[],5,FALSE),"")</f>
        <v>107100</v>
      </c>
      <c r="H811" s="29" t="str">
        <f>IFERROR(VLOOKUP($C811,Tabla_Documentos[],6,FALSE),"")</f>
        <v>PUBLICIDAD</v>
      </c>
      <c r="I811" s="38">
        <f>IFERROR(VLOOKUP($C811,Tabla_Documentos[],5,FALSE),"")</f>
        <v>107100</v>
      </c>
      <c r="J811" s="25">
        <v>46042</v>
      </c>
    </row>
    <row r="812" spans="3:10" ht="21" customHeight="1" x14ac:dyDescent="0.25">
      <c r="C812" s="39">
        <v>1743</v>
      </c>
      <c r="D812" s="28">
        <f>IFERROR(VLOOKUP($C812,Tabla_Documentos[],2,FALSE),"")</f>
        <v>46042</v>
      </c>
      <c r="E812" s="34" t="str">
        <f>IFERROR(VLOOKUP($C812,Tabla_Documentos[],3,FALSE),"")</f>
        <v>77511008-2</v>
      </c>
      <c r="F812" s="35" t="str">
        <f>IFERROR(VLOOKUP($C812,Tabla_Documentos[],4,FALSE),"")</f>
        <v>MULTISERVICIOS SANABRIA SPA</v>
      </c>
      <c r="G812" s="38">
        <f>IFERROR(VLOOKUP($C812,Tabla_Documentos[],5,FALSE),"")</f>
        <v>74137</v>
      </c>
      <c r="H812" s="29" t="str">
        <f>IFERROR(VLOOKUP($C812,Tabla_Documentos[],6,FALSE),"")</f>
        <v>PUBLICIDAD</v>
      </c>
      <c r="I812" s="38">
        <f>IFERROR(VLOOKUP($C812,Tabla_Documentos[],5,FALSE),"")</f>
        <v>74137</v>
      </c>
      <c r="J812" s="25">
        <v>46042</v>
      </c>
    </row>
    <row r="813" spans="3:10" ht="21" customHeight="1" x14ac:dyDescent="0.25">
      <c r="C813" s="39">
        <v>1744</v>
      </c>
      <c r="D813" s="28">
        <f>IFERROR(VLOOKUP($C813,Tabla_Documentos[],2,FALSE),"")</f>
        <v>46042</v>
      </c>
      <c r="E813" s="34" t="str">
        <f>IFERROR(VLOOKUP($C813,Tabla_Documentos[],3,FALSE),"")</f>
        <v>76833007-7</v>
      </c>
      <c r="F813" s="35" t="str">
        <f>IFERROR(VLOOKUP($C813,Tabla_Documentos[],4,FALSE),"")</f>
        <v>CONSTRUCTORA RIVERA CUBILLOS LIMITADA</v>
      </c>
      <c r="G813" s="38">
        <f>IFERROR(VLOOKUP($C813,Tabla_Documentos[],5,FALSE),"")</f>
        <v>20000</v>
      </c>
      <c r="H813" s="29" t="str">
        <f>IFERROR(VLOOKUP($C813,Tabla_Documentos[],6,FALSE),"")</f>
        <v>PUBLICIDAD</v>
      </c>
      <c r="I813" s="38">
        <f>IFERROR(VLOOKUP($C813,Tabla_Documentos[],5,FALSE),"")</f>
        <v>20000</v>
      </c>
      <c r="J813" s="25">
        <v>46042</v>
      </c>
    </row>
    <row r="814" spans="3:10" ht="21" customHeight="1" x14ac:dyDescent="0.25">
      <c r="C814" s="39">
        <v>1745</v>
      </c>
      <c r="D814" s="28">
        <f>IFERROR(VLOOKUP($C814,Tabla_Documentos[],2,FALSE),"")</f>
        <v>46043</v>
      </c>
      <c r="E814" s="34" t="str">
        <f>IFERROR(VLOOKUP($C814,Tabla_Documentos[],3,FALSE),"")</f>
        <v>78028700-4</v>
      </c>
      <c r="F814" s="35" t="str">
        <f>IFERROR(VLOOKUP($C814,Tabla_Documentos[],4,FALSE),"")</f>
        <v>INGENIERIA, PROYECTOS Y MONTAJES PROPAMAT SPA</v>
      </c>
      <c r="G814" s="38">
        <f>IFERROR(VLOOKUP($C814,Tabla_Documentos[],5,FALSE),"")</f>
        <v>334747</v>
      </c>
      <c r="H814" s="29" t="str">
        <f>IFERROR(VLOOKUP($C814,Tabla_Documentos[],6,FALSE),"")</f>
        <v>PUBLICIDAD</v>
      </c>
      <c r="I814" s="38">
        <f>IFERROR(VLOOKUP($C814,Tabla_Documentos[],5,FALSE),"")</f>
        <v>334747</v>
      </c>
      <c r="J814" s="25">
        <v>46043</v>
      </c>
    </row>
    <row r="815" spans="3:10" ht="21" customHeight="1" x14ac:dyDescent="0.25">
      <c r="C815" s="39">
        <v>1746</v>
      </c>
      <c r="D815" s="28">
        <f>IFERROR(VLOOKUP($C815,Tabla_Documentos[],2,FALSE),"")</f>
        <v>46043</v>
      </c>
      <c r="E815" s="34" t="str">
        <f>IFERROR(VLOOKUP($C815,Tabla_Documentos[],3,FALSE),"")</f>
        <v>76862381-3</v>
      </c>
      <c r="F815" s="35" t="str">
        <f>IFERROR(VLOOKUP($C815,Tabla_Documentos[],4,FALSE),"")</f>
        <v>SOCIEDAD COMERCIAL E INDUSTRIAL HYDRO CLEANING VAPOR LIMITADA</v>
      </c>
      <c r="G815" s="38">
        <f>IFERROR(VLOOKUP($C815,Tabla_Documentos[],5,FALSE),"")</f>
        <v>285600</v>
      </c>
      <c r="H815" s="29" t="str">
        <f>IFERROR(VLOOKUP($C815,Tabla_Documentos[],6,FALSE),"")</f>
        <v>PUBLICIDAD</v>
      </c>
      <c r="I815" s="38">
        <f>IFERROR(VLOOKUP($C815,Tabla_Documentos[],5,FALSE),"")</f>
        <v>285600</v>
      </c>
      <c r="J815" s="25">
        <v>46043</v>
      </c>
    </row>
    <row r="816" spans="3:10" ht="21" customHeight="1" x14ac:dyDescent="0.25">
      <c r="C816" s="39">
        <v>1747</v>
      </c>
      <c r="D816" s="28">
        <f>IFERROR(VLOOKUP($C816,Tabla_Documentos[],2,FALSE),"")</f>
        <v>46043</v>
      </c>
      <c r="E816" s="34" t="str">
        <f>IFERROR(VLOOKUP($C816,Tabla_Documentos[],3,FALSE),"")</f>
        <v>76744135-5</v>
      </c>
      <c r="F816" s="35" t="str">
        <f>IFERROR(VLOOKUP($C816,Tabla_Documentos[],4,FALSE),"")</f>
        <v>PATAGONIA SERVICIOS SPA</v>
      </c>
      <c r="G816" s="38">
        <f>IFERROR(VLOOKUP($C816,Tabla_Documentos[],5,FALSE),"")</f>
        <v>6045200</v>
      </c>
      <c r="H816" s="29" t="str">
        <f>IFERROR(VLOOKUP($C816,Tabla_Documentos[],6,FALSE),"")</f>
        <v>PUBLICIDAD</v>
      </c>
      <c r="I816" s="38">
        <f>IFERROR(VLOOKUP($C816,Tabla_Documentos[],5,FALSE),"")</f>
        <v>6045200</v>
      </c>
      <c r="J816" s="25">
        <v>46043</v>
      </c>
    </row>
    <row r="817" spans="3:10" ht="21" customHeight="1" x14ac:dyDescent="0.25">
      <c r="C817" s="39">
        <v>1748</v>
      </c>
      <c r="D817" s="28">
        <f>IFERROR(VLOOKUP($C817,Tabla_Documentos[],2,FALSE),"")</f>
        <v>46044</v>
      </c>
      <c r="E817" s="34" t="str">
        <f>IFERROR(VLOOKUP($C817,Tabla_Documentos[],3,FALSE),"")</f>
        <v>76997670-1</v>
      </c>
      <c r="F817" s="35" t="str">
        <f>IFERROR(VLOOKUP($C817,Tabla_Documentos[],4,FALSE),"")</f>
        <v>MARÃŒA BALLESTERO TARDON Y SERVICIOS E.I.R.L.</v>
      </c>
      <c r="G817" s="38">
        <f>IFERROR(VLOOKUP($C817,Tabla_Documentos[],5,FALSE),"")</f>
        <v>59500</v>
      </c>
      <c r="H817" s="29" t="str">
        <f>IFERROR(VLOOKUP($C817,Tabla_Documentos[],6,FALSE),"")</f>
        <v>PUBLICIDAD</v>
      </c>
      <c r="I817" s="38">
        <f>IFERROR(VLOOKUP($C817,Tabla_Documentos[],5,FALSE),"")</f>
        <v>59500</v>
      </c>
      <c r="J817" s="25">
        <v>46044</v>
      </c>
    </row>
    <row r="818" spans="3:10" ht="21" customHeight="1" x14ac:dyDescent="0.25">
      <c r="C818" s="39">
        <v>1750</v>
      </c>
      <c r="D818" s="28">
        <f>IFERROR(VLOOKUP($C818,Tabla_Documentos[],2,FALSE),"")</f>
        <v>46044</v>
      </c>
      <c r="E818" s="34" t="str">
        <f>IFERROR(VLOOKUP($C818,Tabla_Documentos[],3,FALSE),"")</f>
        <v>15612090-1</v>
      </c>
      <c r="F818" s="35" t="str">
        <f>IFERROR(VLOOKUP($C818,Tabla_Documentos[],4,FALSE),"")</f>
        <v>JEAN MAURICIO OLIVARES TOLEDO</v>
      </c>
      <c r="G818" s="38">
        <f>IFERROR(VLOOKUP($C818,Tabla_Documentos[],5,FALSE),"")</f>
        <v>19002</v>
      </c>
      <c r="H818" s="29" t="str">
        <f>IFERROR(VLOOKUP($C818,Tabla_Documentos[],6,FALSE),"")</f>
        <v>PUBLICIDAD</v>
      </c>
      <c r="I818" s="38">
        <f>IFERROR(VLOOKUP($C818,Tabla_Documentos[],5,FALSE),"")</f>
        <v>19002</v>
      </c>
      <c r="J818" s="25">
        <v>46044</v>
      </c>
    </row>
    <row r="819" spans="3:10" ht="21" customHeight="1" x14ac:dyDescent="0.25">
      <c r="C819" s="39">
        <v>1752</v>
      </c>
      <c r="D819" s="28">
        <f>IFERROR(VLOOKUP($C819,Tabla_Documentos[],2,FALSE),"")</f>
        <v>46045</v>
      </c>
      <c r="E819" s="34" t="str">
        <f>IFERROR(VLOOKUP($C819,Tabla_Documentos[],3,FALSE),"")</f>
        <v>77789862-0</v>
      </c>
      <c r="F819" s="35" t="str">
        <f>IFERROR(VLOOKUP($C819,Tabla_Documentos[],4,FALSE),"")</f>
        <v>MOINCO INGENIERIA SPA</v>
      </c>
      <c r="G819" s="38">
        <f>IFERROR(VLOOKUP($C819,Tabla_Documentos[],5,FALSE),"")</f>
        <v>100000</v>
      </c>
      <c r="H819" s="29" t="str">
        <f>IFERROR(VLOOKUP($C819,Tabla_Documentos[],6,FALSE),"")</f>
        <v>PUBLICIDAD</v>
      </c>
      <c r="I819" s="38">
        <f>IFERROR(VLOOKUP($C819,Tabla_Documentos[],5,FALSE),"")</f>
        <v>100000</v>
      </c>
      <c r="J819" s="25">
        <v>46045</v>
      </c>
    </row>
    <row r="820" spans="3:10" ht="21" customHeight="1" x14ac:dyDescent="0.25">
      <c r="C820" s="39">
        <v>1688</v>
      </c>
      <c r="D820" s="28">
        <f>IFERROR(VLOOKUP($C820,Tabla_Documentos[],2,FALSE),"")</f>
        <v>46022</v>
      </c>
      <c r="E820" s="34" t="str">
        <f>IFERROR(VLOOKUP($C820,Tabla_Documentos[],3,FALSE),"")</f>
        <v>77382153-4</v>
      </c>
      <c r="F820" s="35" t="str">
        <f>IFERROR(VLOOKUP($C820,Tabla_Documentos[],4,FALSE),"")</f>
        <v>AUCAN LOGISTIC SPA</v>
      </c>
      <c r="G820" s="38">
        <f>IFERROR(VLOOKUP($C820,Tabla_Documentos[],5,FALSE),"")</f>
        <v>5429970</v>
      </c>
      <c r="H820" s="29" t="str">
        <f>IFERROR(VLOOKUP($C820,Tabla_Documentos[],6,FALSE),"")</f>
        <v>PUBLICIDAD</v>
      </c>
      <c r="I820" s="38">
        <v>1500000</v>
      </c>
      <c r="J820" s="25">
        <v>46028</v>
      </c>
    </row>
    <row r="821" spans="3:10" ht="21" customHeight="1" x14ac:dyDescent="0.25">
      <c r="C821" s="39">
        <v>1688</v>
      </c>
      <c r="D821" s="28">
        <f>IFERROR(VLOOKUP($C821,Tabla_Documentos[],2,FALSE),"")</f>
        <v>46022</v>
      </c>
      <c r="E821" s="34" t="str">
        <f>IFERROR(VLOOKUP($C821,Tabla_Documentos[],3,FALSE),"")</f>
        <v>77382153-4</v>
      </c>
      <c r="F821" s="35" t="str">
        <f>IFERROR(VLOOKUP($C821,Tabla_Documentos[],4,FALSE),"")</f>
        <v>AUCAN LOGISTIC SPA</v>
      </c>
      <c r="G821" s="38">
        <f>IFERROR(VLOOKUP($C821,Tabla_Documentos[],5,FALSE),"")</f>
        <v>5429970</v>
      </c>
      <c r="H821" s="29" t="str">
        <f>IFERROR(VLOOKUP($C821,Tabla_Documentos[],6,FALSE),"")</f>
        <v>PUBLICIDAD</v>
      </c>
      <c r="I821" s="38">
        <v>2500000</v>
      </c>
      <c r="J821" s="25">
        <v>46034</v>
      </c>
    </row>
    <row r="822" spans="3:10" ht="21" customHeight="1" x14ac:dyDescent="0.25">
      <c r="C822" s="39">
        <v>1759</v>
      </c>
      <c r="D822" s="28">
        <f>IFERROR(VLOOKUP($C822,Tabla_Documentos[],2,FALSE),"")</f>
        <v>46045</v>
      </c>
      <c r="E822" s="34" t="str">
        <f>IFERROR(VLOOKUP($C822,Tabla_Documentos[],3,FALSE),"")</f>
        <v>70344400-8</v>
      </c>
      <c r="F822" s="35" t="str">
        <f>IFERROR(VLOOKUP($C822,Tabla_Documentos[],4,FALSE),"")</f>
        <v>JUNTA DE VIGILANCIA DEL RIO COPIAPO Y SUS AFLUENTES</v>
      </c>
      <c r="G822" s="38">
        <f>IFERROR(VLOOKUP($C822,Tabla_Documentos[],5,FALSE),"")</f>
        <v>226100</v>
      </c>
      <c r="H822" s="29" t="str">
        <f>IFERROR(VLOOKUP($C822,Tabla_Documentos[],6,FALSE),"")</f>
        <v>PUBLICIDAD</v>
      </c>
      <c r="I822" s="38">
        <f>IFERROR(VLOOKUP($C822,Tabla_Documentos[],5,FALSE),"")</f>
        <v>226100</v>
      </c>
      <c r="J822" s="25">
        <v>46045</v>
      </c>
    </row>
    <row r="823" spans="3:10" ht="21" customHeight="1" x14ac:dyDescent="0.25">
      <c r="C823" s="39">
        <v>1762</v>
      </c>
      <c r="D823" s="28">
        <f>IFERROR(VLOOKUP($C823,Tabla_Documentos[],2,FALSE),"")</f>
        <v>46049</v>
      </c>
      <c r="E823" s="34" t="str">
        <f>IFERROR(VLOOKUP($C823,Tabla_Documentos[],3,FALSE),"")</f>
        <v>78330223-3</v>
      </c>
      <c r="F823" s="35" t="str">
        <f>IFERROR(VLOOKUP($C823,Tabla_Documentos[],4,FALSE),"")</f>
        <v>SERVICIOS INTEGRALES GALLARDO SPA</v>
      </c>
      <c r="G823" s="38">
        <f>IFERROR(VLOOKUP($C823,Tabla_Documentos[],5,FALSE),"")</f>
        <v>416500</v>
      </c>
      <c r="H823" s="29" t="str">
        <f>IFERROR(VLOOKUP($C823,Tabla_Documentos[],6,FALSE),"")</f>
        <v>PUBLICIDAD</v>
      </c>
      <c r="I823" s="38">
        <f>IFERROR(VLOOKUP($C823,Tabla_Documentos[],5,FALSE),"")</f>
        <v>416500</v>
      </c>
      <c r="J823" s="25">
        <v>46049</v>
      </c>
    </row>
    <row r="824" spans="3:10" ht="21" customHeight="1" x14ac:dyDescent="0.25">
      <c r="C824" s="39">
        <v>1763</v>
      </c>
      <c r="D824" s="28">
        <f>IFERROR(VLOOKUP($C824,Tabla_Documentos[],2,FALSE),"")</f>
        <v>46049</v>
      </c>
      <c r="E824" s="34" t="str">
        <f>IFERROR(VLOOKUP($C824,Tabla_Documentos[],3,FALSE),"")</f>
        <v>78029033-1</v>
      </c>
      <c r="F824" s="35" t="str">
        <f>IFERROR(VLOOKUP($C824,Tabla_Documentos[],4,FALSE),"")</f>
        <v>INGENIERIA Y SOLUCIONES ELECTRICAS INGINSEL LIMITADA</v>
      </c>
      <c r="G824" s="38">
        <f>IFERROR(VLOOKUP($C824,Tabla_Documentos[],5,FALSE),"")</f>
        <v>208250</v>
      </c>
      <c r="H824" s="29" t="str">
        <f>IFERROR(VLOOKUP($C824,Tabla_Documentos[],6,FALSE),"")</f>
        <v>PUBLICIDAD</v>
      </c>
      <c r="I824" s="38">
        <f>IFERROR(VLOOKUP($C824,Tabla_Documentos[],5,FALSE),"")</f>
        <v>208250</v>
      </c>
      <c r="J824" s="25">
        <v>46049</v>
      </c>
    </row>
    <row r="825" spans="3:10" ht="21" customHeight="1" x14ac:dyDescent="0.25">
      <c r="C825" s="39">
        <v>1764</v>
      </c>
      <c r="D825" s="28">
        <f>IFERROR(VLOOKUP($C825,Tabla_Documentos[],2,FALSE),"")</f>
        <v>46049</v>
      </c>
      <c r="E825" s="34" t="str">
        <f>IFERROR(VLOOKUP($C825,Tabla_Documentos[],3,FALSE),"")</f>
        <v>77549794-7</v>
      </c>
      <c r="F825" s="35" t="str">
        <f>IFERROR(VLOOKUP($C825,Tabla_Documentos[],4,FALSE),"")</f>
        <v>SOCIEDAD COMERCIAL ROMSA SERVICIOS SPA</v>
      </c>
      <c r="G825" s="38">
        <f>IFERROR(VLOOKUP($C825,Tabla_Documentos[],5,FALSE),"")</f>
        <v>484092</v>
      </c>
      <c r="H825" s="29" t="str">
        <f>IFERROR(VLOOKUP($C825,Tabla_Documentos[],6,FALSE),"")</f>
        <v>PUBLICIDAD</v>
      </c>
      <c r="I825" s="38">
        <f>IFERROR(VLOOKUP($C825,Tabla_Documentos[],5,FALSE),"")</f>
        <v>484092</v>
      </c>
      <c r="J825" s="25">
        <v>46049</v>
      </c>
    </row>
    <row r="826" spans="3:10" ht="21" customHeight="1" x14ac:dyDescent="0.25">
      <c r="C826" s="39">
        <v>1765</v>
      </c>
      <c r="D826" s="28">
        <f>IFERROR(VLOOKUP($C826,Tabla_Documentos[],2,FALSE),"")</f>
        <v>46050</v>
      </c>
      <c r="E826" s="34" t="str">
        <f>IFERROR(VLOOKUP($C826,Tabla_Documentos[],3,FALSE),"")</f>
        <v>18968974-8</v>
      </c>
      <c r="F826" s="35" t="str">
        <f>IFERROR(VLOOKUP($C826,Tabla_Documentos[],4,FALSE),"")</f>
        <v>PIETRO GIULIANO DIAZ VITALI</v>
      </c>
      <c r="G826" s="38">
        <f>IFERROR(VLOOKUP($C826,Tabla_Documentos[],5,FALSE),"")</f>
        <v>349000</v>
      </c>
      <c r="H826" s="29" t="str">
        <f>IFERROR(VLOOKUP($C826,Tabla_Documentos[],6,FALSE),"")</f>
        <v>PUBLICIDAD</v>
      </c>
      <c r="I826" s="38">
        <f>IFERROR(VLOOKUP($C826,Tabla_Documentos[],5,FALSE),"")</f>
        <v>349000</v>
      </c>
      <c r="J826" s="25">
        <v>46050</v>
      </c>
    </row>
    <row r="827" spans="3:10" ht="21" customHeight="1" x14ac:dyDescent="0.25">
      <c r="C827" s="39">
        <v>1766</v>
      </c>
      <c r="D827" s="28">
        <f>IFERROR(VLOOKUP($C827,Tabla_Documentos[],2,FALSE),"")</f>
        <v>46051</v>
      </c>
      <c r="E827" s="34" t="str">
        <f>IFERROR(VLOOKUP($C827,Tabla_Documentos[],3,FALSE),"")</f>
        <v>77520219-K</v>
      </c>
      <c r="F827" s="35" t="str">
        <f>IFERROR(VLOOKUP($C827,Tabla_Documentos[],4,FALSE),"")</f>
        <v>AILUV SPA</v>
      </c>
      <c r="G827" s="38">
        <f>IFERROR(VLOOKUP($C827,Tabla_Documentos[],5,FALSE),"")</f>
        <v>23800</v>
      </c>
      <c r="H827" s="29" t="str">
        <f>IFERROR(VLOOKUP($C827,Tabla_Documentos[],6,FALSE),"")</f>
        <v>PUBLICIDAD</v>
      </c>
      <c r="I827" s="38">
        <f>IFERROR(VLOOKUP($C827,Tabla_Documentos[],5,FALSE),"")</f>
        <v>23800</v>
      </c>
      <c r="J827" s="25">
        <v>46051</v>
      </c>
    </row>
    <row r="828" spans="3:10" ht="21" customHeight="1" x14ac:dyDescent="0.25">
      <c r="C828" s="39">
        <v>1768</v>
      </c>
      <c r="D828" s="28">
        <f>IFERROR(VLOOKUP($C828,Tabla_Documentos[],2,FALSE),"")</f>
        <v>46051</v>
      </c>
      <c r="E828" s="34" t="str">
        <f>IFERROR(VLOOKUP($C828,Tabla_Documentos[],3,FALSE),"")</f>
        <v>77549794-7</v>
      </c>
      <c r="F828" s="35" t="str">
        <f>IFERROR(VLOOKUP($C828,Tabla_Documentos[],4,FALSE),"")</f>
        <v>SOCIEDAD COMERCIAL ROMSA SERVICIOS SPA</v>
      </c>
      <c r="G828" s="38">
        <f>IFERROR(VLOOKUP($C828,Tabla_Documentos[],5,FALSE),"")</f>
        <v>102459</v>
      </c>
      <c r="H828" s="29" t="str">
        <f>IFERROR(VLOOKUP($C828,Tabla_Documentos[],6,FALSE),"")</f>
        <v>PUBLICIDAD</v>
      </c>
      <c r="I828" s="38">
        <f>IFERROR(VLOOKUP($C828,Tabla_Documentos[],5,FALSE),"")</f>
        <v>102459</v>
      </c>
      <c r="J828" s="25">
        <v>46051</v>
      </c>
    </row>
    <row r="829" spans="3:10" ht="21" customHeight="1" x14ac:dyDescent="0.25">
      <c r="C829" s="39">
        <v>1707</v>
      </c>
      <c r="D829" s="28">
        <f>IFERROR(VLOOKUP($C829,Tabla_Documentos[],2,FALSE),"")</f>
        <v>46031</v>
      </c>
      <c r="E829" s="34" t="str">
        <f>IFERROR(VLOOKUP($C829,Tabla_Documentos[],3,FALSE),"")</f>
        <v>9246657-4</v>
      </c>
      <c r="F829" s="35" t="str">
        <f>IFERROR(VLOOKUP($C829,Tabla_Documentos[],4,FALSE),"")</f>
        <v>MARIA CRISTINA MOLINA CASTILLO</v>
      </c>
      <c r="G829" s="38">
        <f>IFERROR(VLOOKUP($C829,Tabla_Documentos[],5,FALSE),"")</f>
        <v>1088755</v>
      </c>
      <c r="H829" s="29" t="str">
        <f>IFERROR(VLOOKUP($C829,Tabla_Documentos[],6,FALSE),"")</f>
        <v>PUBLICIDAD</v>
      </c>
      <c r="I829" s="38">
        <f>IFERROR(VLOOKUP($C829,Tabla_Documentos[],5,FALSE),"")</f>
        <v>1088755</v>
      </c>
      <c r="J829" s="25">
        <v>46035</v>
      </c>
    </row>
    <row r="830" spans="3:10" ht="21" customHeight="1" x14ac:dyDescent="0.25">
      <c r="C830" s="39">
        <v>1708</v>
      </c>
      <c r="D830" s="28">
        <f>IFERROR(VLOOKUP($C830,Tabla_Documentos[],2,FALSE),"")</f>
        <v>46031</v>
      </c>
      <c r="E830" s="34" t="str">
        <f>IFERROR(VLOOKUP($C830,Tabla_Documentos[],3,FALSE),"")</f>
        <v>9246657-4</v>
      </c>
      <c r="F830" s="35" t="str">
        <f>IFERROR(VLOOKUP($C830,Tabla_Documentos[],4,FALSE),"")</f>
        <v>MARIA CRISTINA MOLINA CASTILLO</v>
      </c>
      <c r="G830" s="38">
        <f>IFERROR(VLOOKUP($C830,Tabla_Documentos[],5,FALSE),"")</f>
        <v>1044029</v>
      </c>
      <c r="H830" s="29" t="str">
        <f>IFERROR(VLOOKUP($C830,Tabla_Documentos[],6,FALSE),"")</f>
        <v>PUBLICIDAD</v>
      </c>
      <c r="I830" s="38">
        <f>IFERROR(VLOOKUP($C830,Tabla_Documentos[],5,FALSE),"")</f>
        <v>1044029</v>
      </c>
      <c r="J830" s="25">
        <v>46037</v>
      </c>
    </row>
    <row r="831" spans="3:10" ht="21" customHeight="1" x14ac:dyDescent="0.25">
      <c r="C831" s="39">
        <v>1692</v>
      </c>
      <c r="D831" s="28">
        <f>IFERROR(VLOOKUP($C831,Tabla_Documentos[],2,FALSE),"")</f>
        <v>46027</v>
      </c>
      <c r="E831" s="34" t="str">
        <f>IFERROR(VLOOKUP($C831,Tabla_Documentos[],3,FALSE),"")</f>
        <v>76186894-2</v>
      </c>
      <c r="F831" s="35" t="str">
        <f>IFERROR(VLOOKUP($C831,Tabla_Documentos[],4,FALSE),"")</f>
        <v>SAN RAFAEL INGENIERIA Y  SERVICIOS LIMITADA</v>
      </c>
      <c r="G831" s="38">
        <f>IFERROR(VLOOKUP($C831,Tabla_Documentos[],5,FALSE),"")</f>
        <v>891310</v>
      </c>
      <c r="H831" s="29" t="str">
        <f>IFERROR(VLOOKUP($C831,Tabla_Documentos[],6,FALSE),"")</f>
        <v>PUBLICIDAD</v>
      </c>
      <c r="I831" s="38">
        <f>IFERROR(VLOOKUP($C831,Tabla_Documentos[],5,FALSE),"")</f>
        <v>891310</v>
      </c>
      <c r="J831" s="25">
        <v>46058</v>
      </c>
    </row>
    <row r="832" spans="3:10" ht="21" customHeight="1" x14ac:dyDescent="0.25">
      <c r="C832" s="39">
        <v>1698</v>
      </c>
      <c r="D832" s="28">
        <f>IFERROR(VLOOKUP($C832,Tabla_Documentos[],2,FALSE),"")</f>
        <v>46029</v>
      </c>
      <c r="E832" s="34" t="str">
        <f>IFERROR(VLOOKUP($C832,Tabla_Documentos[],3,FALSE),"")</f>
        <v>76446430-3</v>
      </c>
      <c r="F832" s="35" t="str">
        <f>IFERROR(VLOOKUP($C832,Tabla_Documentos[],4,FALSE),"")</f>
        <v>COMERCIALIZADORA TEC RAPOL LIMITADA</v>
      </c>
      <c r="G832" s="38">
        <f>IFERROR(VLOOKUP($C832,Tabla_Documentos[],5,FALSE),"")</f>
        <v>1666000</v>
      </c>
      <c r="H832" s="29" t="str">
        <f>IFERROR(VLOOKUP($C832,Tabla_Documentos[],6,FALSE),"")</f>
        <v>PUBLICIDAD</v>
      </c>
      <c r="I832" s="38">
        <f>IFERROR(VLOOKUP($C832,Tabla_Documentos[],5,FALSE),"")</f>
        <v>1666000</v>
      </c>
      <c r="J832" s="25">
        <v>46058</v>
      </c>
    </row>
    <row r="833" spans="3:10" ht="21" customHeight="1" x14ac:dyDescent="0.25">
      <c r="C833" s="39">
        <v>1740</v>
      </c>
      <c r="D833" s="28">
        <f>IFERROR(VLOOKUP($C833,Tabla_Documentos[],2,FALSE),"")</f>
        <v>46042</v>
      </c>
      <c r="E833" s="34" t="str">
        <f>IFERROR(VLOOKUP($C833,Tabla_Documentos[],3,FALSE),"")</f>
        <v>76186894-2</v>
      </c>
      <c r="F833" s="35" t="str">
        <f>IFERROR(VLOOKUP($C833,Tabla_Documentos[],4,FALSE),"")</f>
        <v>SAN RAFAEL INGENIERIA Y  SERVICIOS LIMITADA</v>
      </c>
      <c r="G833" s="38">
        <f>IFERROR(VLOOKUP($C833,Tabla_Documentos[],5,FALSE),"")</f>
        <v>124950</v>
      </c>
      <c r="H833" s="29" t="str">
        <f>IFERROR(VLOOKUP($C833,Tabla_Documentos[],6,FALSE),"")</f>
        <v>PUBLICIDAD</v>
      </c>
      <c r="I833" s="38">
        <f>IFERROR(VLOOKUP($C833,Tabla_Documentos[],5,FALSE),"")</f>
        <v>124950</v>
      </c>
      <c r="J833" s="25">
        <v>46072</v>
      </c>
    </row>
    <row r="834" spans="3:10" ht="21" customHeight="1" x14ac:dyDescent="0.25">
      <c r="C834" s="39">
        <v>1767</v>
      </c>
      <c r="D834" s="28">
        <f>IFERROR(VLOOKUP($C834,Tabla_Documentos[],2,FALSE),"")</f>
        <v>46051</v>
      </c>
      <c r="E834" s="34" t="str">
        <f>IFERROR(VLOOKUP($C834,Tabla_Documentos[],3,FALSE),"")</f>
        <v>76976580-8</v>
      </c>
      <c r="F834" s="35" t="str">
        <f>IFERROR(VLOOKUP($C834,Tabla_Documentos[],4,FALSE),"")</f>
        <v>GRANDLEASING SPA</v>
      </c>
      <c r="G834" s="38">
        <f>IFERROR(VLOOKUP($C834,Tabla_Documentos[],5,FALSE),"")</f>
        <v>29631</v>
      </c>
      <c r="H834" s="29" t="str">
        <f>IFERROR(VLOOKUP($C834,Tabla_Documentos[],6,FALSE),"")</f>
        <v>PUBLICIDAD</v>
      </c>
      <c r="I834" s="38">
        <f>IFERROR(VLOOKUP($C834,Tabla_Documentos[],5,FALSE),"")</f>
        <v>29631</v>
      </c>
      <c r="J834" s="25">
        <v>46076</v>
      </c>
    </row>
    <row r="835" spans="3:10" ht="21" customHeight="1" x14ac:dyDescent="0.25">
      <c r="C835" s="39">
        <v>1755</v>
      </c>
      <c r="D835" s="28">
        <f>IFERROR(VLOOKUP($C835,Tabla_Documentos[],2,FALSE),"")</f>
        <v>46045</v>
      </c>
      <c r="E835" s="34" t="str">
        <f>IFERROR(VLOOKUP($C835,Tabla_Documentos[],3,FALSE),"")</f>
        <v>76591748-4</v>
      </c>
      <c r="F835" s="35" t="str">
        <f>IFERROR(VLOOKUP($C835,Tabla_Documentos[],4,FALSE),"")</f>
        <v>JAG SERVICIOS CHILE SPA</v>
      </c>
      <c r="G835" s="38">
        <f>IFERROR(VLOOKUP($C835,Tabla_Documentos[],5,FALSE),"")</f>
        <v>853500</v>
      </c>
      <c r="H835" s="29" t="str">
        <f>IFERROR(VLOOKUP($C835,Tabla_Documentos[],6,FALSE),"")</f>
        <v>PUBLICIDAD</v>
      </c>
      <c r="I835" s="38">
        <f>IFERROR(VLOOKUP($C835,Tabla_Documentos[],5,FALSE),"")</f>
        <v>853500</v>
      </c>
      <c r="J835" s="25">
        <v>46044</v>
      </c>
    </row>
    <row r="836" spans="3:10" ht="21" customHeight="1" x14ac:dyDescent="0.25">
      <c r="C836" s="39">
        <v>1721</v>
      </c>
      <c r="D836" s="28">
        <f>IFERROR(VLOOKUP($C836,Tabla_Documentos[],2,FALSE),"")</f>
        <v>46035</v>
      </c>
      <c r="E836" s="34" t="str">
        <f>IFERROR(VLOOKUP($C836,Tabla_Documentos[],3,FALSE),"")</f>
        <v>77723189-8</v>
      </c>
      <c r="F836" s="35" t="str">
        <f>IFERROR(VLOOKUP($C836,Tabla_Documentos[],4,FALSE),"")</f>
        <v>SEMINET SPA</v>
      </c>
      <c r="G836" s="38">
        <f>IFERROR(VLOOKUP($C836,Tabla_Documentos[],5,FALSE),"")</f>
        <v>108528</v>
      </c>
      <c r="H836" s="29" t="str">
        <f>IFERROR(VLOOKUP($C836,Tabla_Documentos[],6,FALSE),"")</f>
        <v>PUBLICIDAD</v>
      </c>
      <c r="I836" s="38">
        <f>IFERROR(VLOOKUP($C836,Tabla_Documentos[],5,FALSE),"")</f>
        <v>108528</v>
      </c>
      <c r="J836" s="25">
        <v>46042</v>
      </c>
    </row>
    <row r="837" spans="3:10" ht="21" customHeight="1" x14ac:dyDescent="0.25">
      <c r="C837" s="39">
        <v>1757</v>
      </c>
      <c r="D837" s="28">
        <f>IFERROR(VLOOKUP($C837,Tabla_Documentos[],2,FALSE),"")</f>
        <v>46045</v>
      </c>
      <c r="E837" s="34" t="str">
        <f>IFERROR(VLOOKUP($C837,Tabla_Documentos[],3,FALSE),"")</f>
        <v>76186894-2</v>
      </c>
      <c r="F837" s="35" t="str">
        <f>IFERROR(VLOOKUP($C837,Tabla_Documentos[],4,FALSE),"")</f>
        <v>SAN RAFAEL INGENIERIA Y  SERVICIOS LIMITADA</v>
      </c>
      <c r="G837" s="38">
        <f>IFERROR(VLOOKUP($C837,Tabla_Documentos[],5,FALSE),"")</f>
        <v>21420</v>
      </c>
      <c r="H837" s="29" t="str">
        <f>IFERROR(VLOOKUP($C837,Tabla_Documentos[],6,FALSE),"")</f>
        <v>PUBLICIDAD</v>
      </c>
      <c r="I837" s="38">
        <f>IFERROR(VLOOKUP($C837,Tabla_Documentos[],5,FALSE),"")</f>
        <v>21420</v>
      </c>
      <c r="J837" s="25">
        <v>46077</v>
      </c>
    </row>
    <row r="838" spans="3:10" ht="21" customHeight="1" x14ac:dyDescent="0.25">
      <c r="C838" s="39">
        <v>1760</v>
      </c>
      <c r="D838" s="28">
        <f>IFERROR(VLOOKUP($C838,Tabla_Documentos[],2,FALSE),"")</f>
        <v>46048</v>
      </c>
      <c r="E838" s="34" t="str">
        <f>IFERROR(VLOOKUP($C838,Tabla_Documentos[],3,FALSE),"")</f>
        <v>76186894-2</v>
      </c>
      <c r="F838" s="35" t="str">
        <f>IFERROR(VLOOKUP($C838,Tabla_Documentos[],4,FALSE),"")</f>
        <v>SAN RAFAEL INGENIERIA Y  SERVICIOS LIMITADA</v>
      </c>
      <c r="G838" s="38">
        <f>IFERROR(VLOOKUP($C838,Tabla_Documentos[],5,FALSE),"")</f>
        <v>26180</v>
      </c>
      <c r="H838" s="29" t="str">
        <f>IFERROR(VLOOKUP($C838,Tabla_Documentos[],6,FALSE),"")</f>
        <v>PUBLICIDAD</v>
      </c>
      <c r="I838" s="38">
        <f>IFERROR(VLOOKUP($C838,Tabla_Documentos[],5,FALSE),"")</f>
        <v>26180</v>
      </c>
      <c r="J838" s="25">
        <v>46077</v>
      </c>
    </row>
    <row r="839" spans="3:10" ht="21" customHeight="1" x14ac:dyDescent="0.25">
      <c r="C839" s="39">
        <v>1820</v>
      </c>
      <c r="D839" s="28">
        <f>IFERROR(VLOOKUP($C839,Tabla_Documentos[],2,FALSE),"")</f>
        <v>46073</v>
      </c>
      <c r="E839" s="34" t="str">
        <f>IFERROR(VLOOKUP($C839,Tabla_Documentos[],3,FALSE),"")</f>
        <v>76006514-5</v>
      </c>
      <c r="F839" s="35" t="str">
        <f>IFERROR(VLOOKUP($C839,Tabla_Documentos[],4,FALSE),"")</f>
        <v>SOCIEDAD GALLEGOS Y RIOS LIMITADA</v>
      </c>
      <c r="G839" s="38">
        <f>IFERROR(VLOOKUP($C839,Tabla_Documentos[],5,FALSE),"")</f>
        <v>678300</v>
      </c>
      <c r="H839" s="29" t="str">
        <f>IFERROR(VLOOKUP($C839,Tabla_Documentos[],6,FALSE),"")</f>
        <v>PUBLICIDAD</v>
      </c>
      <c r="I839" s="38">
        <f>IFERROR(VLOOKUP($C839,Tabla_Documentos[],5,FALSE),"")</f>
        <v>678300</v>
      </c>
      <c r="J839" s="25">
        <v>46073</v>
      </c>
    </row>
    <row r="840" spans="3:10" ht="21" customHeight="1" x14ac:dyDescent="0.25">
      <c r="C840" s="39">
        <v>1773</v>
      </c>
      <c r="D840" s="28">
        <f>IFERROR(VLOOKUP($C840,Tabla_Documentos[],2,FALSE),"")</f>
        <v>46055</v>
      </c>
      <c r="E840" s="34" t="str">
        <f>IFERROR(VLOOKUP($C840,Tabla_Documentos[],3,FALSE),"")</f>
        <v>78808300-9</v>
      </c>
      <c r="F840" s="35" t="str">
        <f>IFERROR(VLOOKUP($C840,Tabla_Documentos[],4,FALSE),"")</f>
        <v>EDWIN HOLVOET Y COMPANIA LIMITADA</v>
      </c>
      <c r="G840" s="38">
        <f>IFERROR(VLOOKUP($C840,Tabla_Documentos[],5,FALSE),"")</f>
        <v>128520</v>
      </c>
      <c r="H840" s="29" t="str">
        <f>IFERROR(VLOOKUP($C840,Tabla_Documentos[],6,FALSE),"")</f>
        <v>PUBLICIDAD</v>
      </c>
      <c r="I840" s="38">
        <f>IFERROR(VLOOKUP($C840,Tabla_Documentos[],5,FALSE),"")</f>
        <v>128520</v>
      </c>
      <c r="J840" s="25">
        <v>46055</v>
      </c>
    </row>
    <row r="841" spans="3:10" ht="21" customHeight="1" x14ac:dyDescent="0.25">
      <c r="C841" s="39">
        <v>1774</v>
      </c>
      <c r="D841" s="28">
        <f>IFERROR(VLOOKUP($C841,Tabla_Documentos[],2,FALSE),"")</f>
        <v>46056</v>
      </c>
      <c r="E841" s="34" t="str">
        <f>IFERROR(VLOOKUP($C841,Tabla_Documentos[],3,FALSE),"")</f>
        <v>76942022-3</v>
      </c>
      <c r="F841" s="35" t="str">
        <f>IFERROR(VLOOKUP($C841,Tabla_Documentos[],4,FALSE),"")</f>
        <v>ARAYA CORTÃ‰S SOLUCIONES EMPRESARIALES SINÃ‰RGICAS SPA</v>
      </c>
      <c r="G841" s="38">
        <f>IFERROR(VLOOKUP($C841,Tabla_Documentos[],5,FALSE),"")</f>
        <v>160000</v>
      </c>
      <c r="H841" s="29" t="str">
        <f>IFERROR(VLOOKUP($C841,Tabla_Documentos[],6,FALSE),"")</f>
        <v>PUBLICIDAD</v>
      </c>
      <c r="I841" s="38">
        <f>IFERROR(VLOOKUP($C841,Tabla_Documentos[],5,FALSE),"")</f>
        <v>160000</v>
      </c>
      <c r="J841" s="25">
        <v>46056</v>
      </c>
    </row>
    <row r="842" spans="3:10" ht="21" customHeight="1" x14ac:dyDescent="0.25">
      <c r="C842" s="39">
        <v>1775</v>
      </c>
      <c r="D842" s="28">
        <f>IFERROR(VLOOKUP($C842,Tabla_Documentos[],2,FALSE),"")</f>
        <v>46056</v>
      </c>
      <c r="E842" s="34" t="str">
        <f>IFERROR(VLOOKUP($C842,Tabla_Documentos[],3,FALSE),"")</f>
        <v>76118728-7</v>
      </c>
      <c r="F842" s="35" t="str">
        <f>IFERROR(VLOOKUP($C842,Tabla_Documentos[],4,FALSE),"")</f>
        <v>INGENIERIA HIDRAULICA LIMITADA</v>
      </c>
      <c r="G842" s="38">
        <f>IFERROR(VLOOKUP($C842,Tabla_Documentos[],5,FALSE),"")</f>
        <v>226100</v>
      </c>
      <c r="H842" s="29" t="str">
        <f>IFERROR(VLOOKUP($C842,Tabla_Documentos[],6,FALSE),"")</f>
        <v>PUBLICIDAD</v>
      </c>
      <c r="I842" s="38">
        <f>IFERROR(VLOOKUP($C842,Tabla_Documentos[],5,FALSE),"")</f>
        <v>226100</v>
      </c>
      <c r="J842" s="25">
        <v>46056</v>
      </c>
    </row>
    <row r="843" spans="3:10" ht="21" customHeight="1" x14ac:dyDescent="0.25">
      <c r="C843" s="39">
        <v>1776</v>
      </c>
      <c r="D843" s="28">
        <f>IFERROR(VLOOKUP($C843,Tabla_Documentos[],2,FALSE),"")</f>
        <v>46057</v>
      </c>
      <c r="E843" s="34" t="str">
        <f>IFERROR(VLOOKUP($C843,Tabla_Documentos[],3,FALSE),"")</f>
        <v>76587344-4</v>
      </c>
      <c r="F843" s="35" t="str">
        <f>IFERROR(VLOOKUP($C843,Tabla_Documentos[],4,FALSE),"")</f>
        <v>SOCIEDAD COMERCIAL GALLEGUILLOS Y GALLEGUILLOS REPUESTOS LIMITADA</v>
      </c>
      <c r="G843" s="38">
        <f>IFERROR(VLOOKUP($C843,Tabla_Documentos[],5,FALSE),"")</f>
        <v>63999</v>
      </c>
      <c r="H843" s="29" t="str">
        <f>IFERROR(VLOOKUP($C843,Tabla_Documentos[],6,FALSE),"")</f>
        <v>PUBLICIDAD</v>
      </c>
      <c r="I843" s="38">
        <f>IFERROR(VLOOKUP($C843,Tabla_Documentos[],5,FALSE),"")</f>
        <v>63999</v>
      </c>
      <c r="J843" s="25">
        <v>46057</v>
      </c>
    </row>
    <row r="844" spans="3:10" ht="21" customHeight="1" x14ac:dyDescent="0.25">
      <c r="C844" s="39">
        <v>1777</v>
      </c>
      <c r="D844" s="28">
        <f>IFERROR(VLOOKUP($C844,Tabla_Documentos[],2,FALSE),"")</f>
        <v>46058</v>
      </c>
      <c r="E844" s="34" t="str">
        <f>IFERROR(VLOOKUP($C844,Tabla_Documentos[],3,FALSE),"")</f>
        <v>77549794-7</v>
      </c>
      <c r="F844" s="35" t="str">
        <f>IFERROR(VLOOKUP($C844,Tabla_Documentos[],4,FALSE),"")</f>
        <v>SOCIEDAD COMERCIAL ROMSA SERVICIOS SPA</v>
      </c>
      <c r="G844" s="38">
        <f>IFERROR(VLOOKUP($C844,Tabla_Documentos[],5,FALSE),"")</f>
        <v>222530</v>
      </c>
      <c r="H844" s="29" t="str">
        <f>IFERROR(VLOOKUP($C844,Tabla_Documentos[],6,FALSE),"")</f>
        <v>PUBLICIDAD</v>
      </c>
      <c r="I844" s="38">
        <f>IFERROR(VLOOKUP($C844,Tabla_Documentos[],5,FALSE),"")</f>
        <v>222530</v>
      </c>
      <c r="J844" s="25">
        <v>46058</v>
      </c>
    </row>
    <row r="845" spans="3:10" ht="21" customHeight="1" x14ac:dyDescent="0.25">
      <c r="C845" s="39">
        <v>1778</v>
      </c>
      <c r="D845" s="28">
        <f>IFERROR(VLOOKUP($C845,Tabla_Documentos[],2,FALSE),"")</f>
        <v>46058</v>
      </c>
      <c r="E845" s="34" t="str">
        <f>IFERROR(VLOOKUP($C845,Tabla_Documentos[],3,FALSE),"")</f>
        <v>9051431-8</v>
      </c>
      <c r="F845" s="35" t="str">
        <f>IFERROR(VLOOKUP($C845,Tabla_Documentos[],4,FALSE),"")</f>
        <v>RAMON ANGEL RIQUELME OLIVARES</v>
      </c>
      <c r="G845" s="38">
        <f>IFERROR(VLOOKUP($C845,Tabla_Documentos[],5,FALSE),"")</f>
        <v>179690</v>
      </c>
      <c r="H845" s="29" t="str">
        <f>IFERROR(VLOOKUP($C845,Tabla_Documentos[],6,FALSE),"")</f>
        <v>PUBLICIDAD</v>
      </c>
      <c r="I845" s="38">
        <f>IFERROR(VLOOKUP($C845,Tabla_Documentos[],5,FALSE),"")</f>
        <v>179690</v>
      </c>
      <c r="J845" s="25">
        <v>46058</v>
      </c>
    </row>
    <row r="846" spans="3:10" ht="21" customHeight="1" x14ac:dyDescent="0.25">
      <c r="C846" s="39">
        <v>1781</v>
      </c>
      <c r="D846" s="28">
        <f>IFERROR(VLOOKUP($C846,Tabla_Documentos[],2,FALSE),"")</f>
        <v>46058</v>
      </c>
      <c r="E846" s="34" t="str">
        <f>IFERROR(VLOOKUP($C846,Tabla_Documentos[],3,FALSE),"")</f>
        <v>76311879-7</v>
      </c>
      <c r="F846" s="35" t="str">
        <f>IFERROR(VLOOKUP($C846,Tabla_Documentos[],4,FALSE),"")</f>
        <v>SOCIEDAD DE INVERSIONES SAN ALONSO SPA</v>
      </c>
      <c r="G846" s="38">
        <f>IFERROR(VLOOKUP($C846,Tabla_Documentos[],5,FALSE),"")</f>
        <v>416500</v>
      </c>
      <c r="H846" s="29" t="str">
        <f>IFERROR(VLOOKUP($C846,Tabla_Documentos[],6,FALSE),"")</f>
        <v>PUBLICIDAD</v>
      </c>
      <c r="I846" s="38">
        <f>IFERROR(VLOOKUP($C846,Tabla_Documentos[],5,FALSE),"")</f>
        <v>416500</v>
      </c>
      <c r="J846" s="25">
        <v>46058</v>
      </c>
    </row>
    <row r="847" spans="3:10" ht="21" customHeight="1" x14ac:dyDescent="0.25">
      <c r="C847" s="39">
        <v>1782</v>
      </c>
      <c r="D847" s="28">
        <f>IFERROR(VLOOKUP($C847,Tabla_Documentos[],2,FALSE),"")</f>
        <v>46059</v>
      </c>
      <c r="E847" s="34" t="str">
        <f>IFERROR(VLOOKUP($C847,Tabla_Documentos[],3,FALSE),"")</f>
        <v>76300628-K</v>
      </c>
      <c r="F847" s="35" t="str">
        <f>IFERROR(VLOOKUP($C847,Tabla_Documentos[],4,FALSE),"")</f>
        <v>ATACAMA TECH SPA</v>
      </c>
      <c r="G847" s="38">
        <f>IFERROR(VLOOKUP($C847,Tabla_Documentos[],5,FALSE),"")</f>
        <v>41650</v>
      </c>
      <c r="H847" s="29" t="str">
        <f>IFERROR(VLOOKUP($C847,Tabla_Documentos[],6,FALSE),"")</f>
        <v>PUBLICIDAD</v>
      </c>
      <c r="I847" s="38">
        <f>IFERROR(VLOOKUP($C847,Tabla_Documentos[],5,FALSE),"")</f>
        <v>41650</v>
      </c>
      <c r="J847" s="25">
        <v>46059</v>
      </c>
    </row>
    <row r="848" spans="3:10" ht="21" customHeight="1" x14ac:dyDescent="0.25">
      <c r="C848" s="39">
        <v>1783</v>
      </c>
      <c r="D848" s="28">
        <f>IFERROR(VLOOKUP($C848,Tabla_Documentos[],2,FALSE),"")</f>
        <v>46059</v>
      </c>
      <c r="E848" s="34" t="str">
        <f>IFERROR(VLOOKUP($C848,Tabla_Documentos[],3,FALSE),"")</f>
        <v>77850528-2</v>
      </c>
      <c r="F848" s="35" t="str">
        <f>IFERROR(VLOOKUP($C848,Tabla_Documentos[],4,FALSE),"")</f>
        <v>SERVICIOS DE INGENIERÃA Y CONSTRUCCIÃ“N PIÃ‘ONES  LIMITADA</v>
      </c>
      <c r="G848" s="38">
        <f>IFERROR(VLOOKUP($C848,Tabla_Documentos[],5,FALSE),"")</f>
        <v>345100</v>
      </c>
      <c r="H848" s="29" t="str">
        <f>IFERROR(VLOOKUP($C848,Tabla_Documentos[],6,FALSE),"")</f>
        <v>PUBLICIDAD</v>
      </c>
      <c r="I848" s="38">
        <f>IFERROR(VLOOKUP($C848,Tabla_Documentos[],5,FALSE),"")</f>
        <v>345100</v>
      </c>
      <c r="J848" s="25">
        <v>46059</v>
      </c>
    </row>
    <row r="849" spans="3:10" ht="21" customHeight="1" x14ac:dyDescent="0.25">
      <c r="C849" s="39">
        <v>1784</v>
      </c>
      <c r="D849" s="28">
        <f>IFERROR(VLOOKUP($C849,Tabla_Documentos[],2,FALSE),"")</f>
        <v>46062</v>
      </c>
      <c r="E849" s="34" t="str">
        <f>IFERROR(VLOOKUP($C849,Tabla_Documentos[],3,FALSE),"")</f>
        <v>76515035-3</v>
      </c>
      <c r="F849" s="35" t="str">
        <f>IFERROR(VLOOKUP($C849,Tabla_Documentos[],4,FALSE),"")</f>
        <v>INGENIERIA PD GROUP LIMITADA</v>
      </c>
      <c r="G849" s="38">
        <f>IFERROR(VLOOKUP($C849,Tabla_Documentos[],5,FALSE),"")</f>
        <v>17850</v>
      </c>
      <c r="H849" s="29" t="str">
        <f>IFERROR(VLOOKUP($C849,Tabla_Documentos[],6,FALSE),"")</f>
        <v>PUBLICIDAD</v>
      </c>
      <c r="I849" s="38">
        <f>IFERROR(VLOOKUP($C849,Tabla_Documentos[],5,FALSE),"")</f>
        <v>17850</v>
      </c>
      <c r="J849" s="25">
        <v>46062</v>
      </c>
    </row>
    <row r="850" spans="3:10" ht="21" customHeight="1" x14ac:dyDescent="0.25">
      <c r="C850" s="39">
        <v>1785</v>
      </c>
      <c r="D850" s="28">
        <f>IFERROR(VLOOKUP($C850,Tabla_Documentos[],2,FALSE),"")</f>
        <v>46062</v>
      </c>
      <c r="E850" s="34" t="str">
        <f>IFERROR(VLOOKUP($C850,Tabla_Documentos[],3,FALSE),"")</f>
        <v>76625089-0</v>
      </c>
      <c r="F850" s="35" t="str">
        <f>IFERROR(VLOOKUP($C850,Tabla_Documentos[],4,FALSE),"")</f>
        <v>BESALCO CONSTRUCCIONES S.A.</v>
      </c>
      <c r="G850" s="38">
        <f>IFERROR(VLOOKUP($C850,Tabla_Documentos[],5,FALSE),"")</f>
        <v>523600</v>
      </c>
      <c r="H850" s="29" t="str">
        <f>IFERROR(VLOOKUP($C850,Tabla_Documentos[],6,FALSE),"")</f>
        <v>PUBLICIDAD</v>
      </c>
      <c r="I850" s="38">
        <f>IFERROR(VLOOKUP($C850,Tabla_Documentos[],5,FALSE),"")</f>
        <v>523600</v>
      </c>
      <c r="J850" s="25">
        <v>46062</v>
      </c>
    </row>
    <row r="851" spans="3:10" ht="21" customHeight="1" x14ac:dyDescent="0.25">
      <c r="C851" s="39">
        <v>1786</v>
      </c>
      <c r="D851" s="28">
        <f>IFERROR(VLOOKUP($C851,Tabla_Documentos[],2,FALSE),"")</f>
        <v>46062</v>
      </c>
      <c r="E851" s="34" t="str">
        <f>IFERROR(VLOOKUP($C851,Tabla_Documentos[],3,FALSE),"")</f>
        <v>76625089-0</v>
      </c>
      <c r="F851" s="35" t="str">
        <f>IFERROR(VLOOKUP($C851,Tabla_Documentos[],4,FALSE),"")</f>
        <v>BESALCO CONSTRUCCIONES S.A.</v>
      </c>
      <c r="G851" s="38">
        <f>IFERROR(VLOOKUP($C851,Tabla_Documentos[],5,FALSE),"")</f>
        <v>523600</v>
      </c>
      <c r="H851" s="29" t="str">
        <f>IFERROR(VLOOKUP($C851,Tabla_Documentos[],6,FALSE),"")</f>
        <v>PUBLICIDAD</v>
      </c>
      <c r="I851" s="38">
        <f>IFERROR(VLOOKUP($C851,Tabla_Documentos[],5,FALSE),"")</f>
        <v>523600</v>
      </c>
      <c r="J851" s="25">
        <v>46062</v>
      </c>
    </row>
    <row r="852" spans="3:10" ht="21" customHeight="1" x14ac:dyDescent="0.25">
      <c r="C852" s="39">
        <v>1787</v>
      </c>
      <c r="D852" s="28">
        <f>IFERROR(VLOOKUP($C852,Tabla_Documentos[],2,FALSE),"")</f>
        <v>46062</v>
      </c>
      <c r="E852" s="34" t="str">
        <f>IFERROR(VLOOKUP($C852,Tabla_Documentos[],3,FALSE),"")</f>
        <v>76625089-0</v>
      </c>
      <c r="F852" s="35" t="str">
        <f>IFERROR(VLOOKUP($C852,Tabla_Documentos[],4,FALSE),"")</f>
        <v>BESALCO CONSTRUCCIONES S.A.</v>
      </c>
      <c r="G852" s="38">
        <f>IFERROR(VLOOKUP($C852,Tabla_Documentos[],5,FALSE),"")</f>
        <v>130900</v>
      </c>
      <c r="H852" s="29" t="str">
        <f>IFERROR(VLOOKUP($C852,Tabla_Documentos[],6,FALSE),"")</f>
        <v>PUBLICIDAD</v>
      </c>
      <c r="I852" s="38">
        <f>IFERROR(VLOOKUP($C852,Tabla_Documentos[],5,FALSE),"")</f>
        <v>130900</v>
      </c>
      <c r="J852" s="25">
        <v>46062</v>
      </c>
    </row>
    <row r="853" spans="3:10" ht="21" customHeight="1" x14ac:dyDescent="0.25">
      <c r="C853" s="39">
        <v>1789</v>
      </c>
      <c r="D853" s="28">
        <f>IFERROR(VLOOKUP($C853,Tabla_Documentos[],2,FALSE),"")</f>
        <v>46062</v>
      </c>
      <c r="E853" s="34" t="str">
        <f>IFERROR(VLOOKUP($C853,Tabla_Documentos[],3,FALSE),"")</f>
        <v>77147537-K</v>
      </c>
      <c r="F853" s="35" t="str">
        <f>IFERROR(VLOOKUP($C853,Tabla_Documentos[],4,FALSE),"")</f>
        <v>SOLYSERV SPA</v>
      </c>
      <c r="G853" s="38">
        <f>IFERROR(VLOOKUP($C853,Tabla_Documentos[],5,FALSE),"")</f>
        <v>17850</v>
      </c>
      <c r="H853" s="29" t="str">
        <f>IFERROR(VLOOKUP($C853,Tabla_Documentos[],6,FALSE),"")</f>
        <v>PUBLICIDAD</v>
      </c>
      <c r="I853" s="38">
        <f>IFERROR(VLOOKUP($C853,Tabla_Documentos[],5,FALSE),"")</f>
        <v>17850</v>
      </c>
      <c r="J853" s="25">
        <v>46062</v>
      </c>
    </row>
    <row r="854" spans="3:10" ht="21" customHeight="1" x14ac:dyDescent="0.25">
      <c r="C854" s="39">
        <v>1790</v>
      </c>
      <c r="D854" s="28">
        <f>IFERROR(VLOOKUP($C854,Tabla_Documentos[],2,FALSE),"")</f>
        <v>46063</v>
      </c>
      <c r="E854" s="34" t="str">
        <f>IFERROR(VLOOKUP($C854,Tabla_Documentos[],3,FALSE),"")</f>
        <v>78201362-9</v>
      </c>
      <c r="F854" s="35" t="str">
        <f>IFERROR(VLOOKUP($C854,Tabla_Documentos[],4,FALSE),"")</f>
        <v>BLAST TRUCK INGENIERÃA Y MANTENIMIENTO SPA</v>
      </c>
      <c r="G854" s="38">
        <f>IFERROR(VLOOKUP($C854,Tabla_Documentos[],5,FALSE),"")</f>
        <v>71400</v>
      </c>
      <c r="H854" s="29" t="str">
        <f>IFERROR(VLOOKUP($C854,Tabla_Documentos[],6,FALSE),"")</f>
        <v>PUBLICIDAD</v>
      </c>
      <c r="I854" s="38">
        <f>IFERROR(VLOOKUP($C854,Tabla_Documentos[],5,FALSE),"")</f>
        <v>71400</v>
      </c>
      <c r="J854" s="25">
        <v>46063</v>
      </c>
    </row>
    <row r="855" spans="3:10" ht="21" customHeight="1" x14ac:dyDescent="0.25">
      <c r="C855" s="39">
        <v>1791</v>
      </c>
      <c r="D855" s="28">
        <f>IFERROR(VLOOKUP($C855,Tabla_Documentos[],2,FALSE),"")</f>
        <v>46063</v>
      </c>
      <c r="E855" s="34" t="str">
        <f>IFERROR(VLOOKUP($C855,Tabla_Documentos[],3,FALSE),"")</f>
        <v>8834702-1</v>
      </c>
      <c r="F855" s="35" t="str">
        <f>IFERROR(VLOOKUP($C855,Tabla_Documentos[],4,FALSE),"")</f>
        <v>MANUEL ANTONIO ROJAS ORDENES</v>
      </c>
      <c r="G855" s="38">
        <f>IFERROR(VLOOKUP($C855,Tabla_Documentos[],5,FALSE),"")</f>
        <v>65450</v>
      </c>
      <c r="H855" s="29" t="str">
        <f>IFERROR(VLOOKUP($C855,Tabla_Documentos[],6,FALSE),"")</f>
        <v>PUBLICIDAD</v>
      </c>
      <c r="I855" s="38">
        <f>IFERROR(VLOOKUP($C855,Tabla_Documentos[],5,FALSE),"")</f>
        <v>65450</v>
      </c>
      <c r="J855" s="25">
        <v>46063</v>
      </c>
    </row>
    <row r="856" spans="3:10" ht="21" customHeight="1" x14ac:dyDescent="0.25">
      <c r="C856" s="39">
        <v>1795</v>
      </c>
      <c r="D856" s="28">
        <f>IFERROR(VLOOKUP($C856,Tabla_Documentos[],2,FALSE),"")</f>
        <v>46065</v>
      </c>
      <c r="E856" s="34" t="str">
        <f>IFERROR(VLOOKUP($C856,Tabla_Documentos[],3,FALSE),"")</f>
        <v>76380941-2</v>
      </c>
      <c r="F856" s="35" t="str">
        <f>IFERROR(VLOOKUP($C856,Tabla_Documentos[],4,FALSE),"")</f>
        <v>TILSECO SERVICIOS ELECTRICOS CHILE SPA</v>
      </c>
      <c r="G856" s="38">
        <f>IFERROR(VLOOKUP($C856,Tabla_Documentos[],5,FALSE),"")</f>
        <v>836570</v>
      </c>
      <c r="H856" s="29" t="str">
        <f>IFERROR(VLOOKUP($C856,Tabla_Documentos[],6,FALSE),"")</f>
        <v>PUBLICIDAD</v>
      </c>
      <c r="I856" s="38">
        <f>IFERROR(VLOOKUP($C856,Tabla_Documentos[],5,FALSE),"")</f>
        <v>836570</v>
      </c>
      <c r="J856" s="25">
        <v>46065</v>
      </c>
    </row>
    <row r="857" spans="3:10" ht="21" customHeight="1" x14ac:dyDescent="0.25">
      <c r="C857" s="39">
        <v>1797</v>
      </c>
      <c r="D857" s="28">
        <f>IFERROR(VLOOKUP($C857,Tabla_Documentos[],2,FALSE),"")</f>
        <v>46066</v>
      </c>
      <c r="E857" s="34" t="str">
        <f>IFERROR(VLOOKUP($C857,Tabla_Documentos[],3,FALSE),"")</f>
        <v>76506336-1</v>
      </c>
      <c r="F857" s="35" t="str">
        <f>IFERROR(VLOOKUP($C857,Tabla_Documentos[],4,FALSE),"")</f>
        <v>KRADE SPA</v>
      </c>
      <c r="G857" s="38">
        <f>IFERROR(VLOOKUP($C857,Tabla_Documentos[],5,FALSE),"")</f>
        <v>42840</v>
      </c>
      <c r="H857" s="29" t="str">
        <f>IFERROR(VLOOKUP($C857,Tabla_Documentos[],6,FALSE),"")</f>
        <v>PUBLICIDAD</v>
      </c>
      <c r="I857" s="38">
        <f>IFERROR(VLOOKUP($C857,Tabla_Documentos[],5,FALSE),"")</f>
        <v>42840</v>
      </c>
      <c r="J857" s="25">
        <v>46066</v>
      </c>
    </row>
    <row r="858" spans="3:10" ht="21" customHeight="1" x14ac:dyDescent="0.25">
      <c r="C858" s="39">
        <v>1798</v>
      </c>
      <c r="D858" s="28">
        <f>IFERROR(VLOOKUP($C858,Tabla_Documentos[],2,FALSE),"")</f>
        <v>46066</v>
      </c>
      <c r="E858" s="34" t="str">
        <f>IFERROR(VLOOKUP($C858,Tabla_Documentos[],3,FALSE),"")</f>
        <v>77549794-7</v>
      </c>
      <c r="F858" s="35" t="str">
        <f>IFERROR(VLOOKUP($C858,Tabla_Documentos[],4,FALSE),"")</f>
        <v>SOCIEDAD COMERCIAL ROMSA SERVICIOS SPA</v>
      </c>
      <c r="G858" s="38">
        <f>IFERROR(VLOOKUP($C858,Tabla_Documentos[],5,FALSE),"")</f>
        <v>160650</v>
      </c>
      <c r="H858" s="29" t="str">
        <f>IFERROR(VLOOKUP($C858,Tabla_Documentos[],6,FALSE),"")</f>
        <v>PUBLICIDAD</v>
      </c>
      <c r="I858" s="38">
        <f>IFERROR(VLOOKUP($C858,Tabla_Documentos[],5,FALSE),"")</f>
        <v>160650</v>
      </c>
      <c r="J858" s="25">
        <v>46066</v>
      </c>
    </row>
    <row r="859" spans="3:10" ht="21" customHeight="1" x14ac:dyDescent="0.25">
      <c r="C859" s="39">
        <v>1800</v>
      </c>
      <c r="D859" s="28">
        <f>IFERROR(VLOOKUP($C859,Tabla_Documentos[],2,FALSE),"")</f>
        <v>46066</v>
      </c>
      <c r="E859" s="34" t="str">
        <f>IFERROR(VLOOKUP($C859,Tabla_Documentos[],3,FALSE),"")</f>
        <v>76245525-0</v>
      </c>
      <c r="F859" s="35" t="str">
        <f>IFERROR(VLOOKUP($C859,Tabla_Documentos[],4,FALSE),"")</f>
        <v>ARANDA PAREDES E HIJOS LIMITADA</v>
      </c>
      <c r="G859" s="38">
        <f>IFERROR(VLOOKUP($C859,Tabla_Documentos[],5,FALSE),"")</f>
        <v>150000</v>
      </c>
      <c r="H859" s="29" t="str">
        <f>IFERROR(VLOOKUP($C859,Tabla_Documentos[],6,FALSE),"")</f>
        <v>PUBLICIDAD</v>
      </c>
      <c r="I859" s="38">
        <f>IFERROR(VLOOKUP($C859,Tabla_Documentos[],5,FALSE),"")</f>
        <v>150000</v>
      </c>
      <c r="J859" s="25">
        <v>46066</v>
      </c>
    </row>
    <row r="860" spans="3:10" ht="21" customHeight="1" x14ac:dyDescent="0.25">
      <c r="C860" s="39">
        <v>1809</v>
      </c>
      <c r="D860" s="28">
        <f>IFERROR(VLOOKUP($C860,Tabla_Documentos[],2,FALSE),"")</f>
        <v>46067</v>
      </c>
      <c r="E860" s="34" t="str">
        <f>IFERROR(VLOOKUP($C860,Tabla_Documentos[],3,FALSE),"")</f>
        <v>77748910-0</v>
      </c>
      <c r="F860" s="35" t="str">
        <f>IFERROR(VLOOKUP($C860,Tabla_Documentos[],4,FALSE),"")</f>
        <v>TRANSPORTES OSSA LIMITADA</v>
      </c>
      <c r="G860" s="38">
        <f>IFERROR(VLOOKUP($C860,Tabla_Documentos[],5,FALSE),"")</f>
        <v>59500</v>
      </c>
      <c r="H860" s="29" t="str">
        <f>IFERROR(VLOOKUP($C860,Tabla_Documentos[],6,FALSE),"")</f>
        <v>PUBLICIDAD</v>
      </c>
      <c r="I860" s="38">
        <f>IFERROR(VLOOKUP($C860,Tabla_Documentos[],5,FALSE),"")</f>
        <v>59500</v>
      </c>
      <c r="J860" s="25">
        <v>46067</v>
      </c>
    </row>
    <row r="861" spans="3:10" ht="21" customHeight="1" x14ac:dyDescent="0.25">
      <c r="C861" s="39">
        <v>1810</v>
      </c>
      <c r="D861" s="28">
        <f>IFERROR(VLOOKUP($C861,Tabla_Documentos[],2,FALSE),"")</f>
        <v>46067</v>
      </c>
      <c r="E861" s="34" t="str">
        <f>IFERROR(VLOOKUP($C861,Tabla_Documentos[],3,FALSE),"")</f>
        <v>76779803-2</v>
      </c>
      <c r="F861" s="35" t="str">
        <f>IFERROR(VLOOKUP($C861,Tabla_Documentos[],4,FALSE),"")</f>
        <v>TRANSPORTES Y SERVICIOS ATACAMA SPA</v>
      </c>
      <c r="G861" s="38">
        <f>IFERROR(VLOOKUP($C861,Tabla_Documentos[],5,FALSE),"")</f>
        <v>23800</v>
      </c>
      <c r="H861" s="29" t="str">
        <f>IFERROR(VLOOKUP($C861,Tabla_Documentos[],6,FALSE),"")</f>
        <v>PUBLICIDAD</v>
      </c>
      <c r="I861" s="38">
        <f>IFERROR(VLOOKUP($C861,Tabla_Documentos[],5,FALSE),"")</f>
        <v>23800</v>
      </c>
      <c r="J861" s="25">
        <v>46067</v>
      </c>
    </row>
    <row r="862" spans="3:10" ht="21" customHeight="1" x14ac:dyDescent="0.25">
      <c r="C862" s="39">
        <v>1811</v>
      </c>
      <c r="D862" s="28">
        <f>IFERROR(VLOOKUP($C862,Tabla_Documentos[],2,FALSE),"")</f>
        <v>46069</v>
      </c>
      <c r="E862" s="34" t="str">
        <f>IFERROR(VLOOKUP($C862,Tabla_Documentos[],3,FALSE),"")</f>
        <v>77764798-9</v>
      </c>
      <c r="F862" s="35" t="str">
        <f>IFERROR(VLOOKUP($C862,Tabla_Documentos[],4,FALSE),"")</f>
        <v>PIRQA SPA</v>
      </c>
      <c r="G862" s="38">
        <f>IFERROR(VLOOKUP($C862,Tabla_Documentos[],5,FALSE),"")</f>
        <v>71400</v>
      </c>
      <c r="H862" s="29" t="str">
        <f>IFERROR(VLOOKUP($C862,Tabla_Documentos[],6,FALSE),"")</f>
        <v>PUBLICIDAD</v>
      </c>
      <c r="I862" s="38">
        <f>IFERROR(VLOOKUP($C862,Tabla_Documentos[],5,FALSE),"")</f>
        <v>71400</v>
      </c>
      <c r="J862" s="25">
        <v>46069</v>
      </c>
    </row>
    <row r="863" spans="3:10" ht="21" customHeight="1" x14ac:dyDescent="0.25">
      <c r="C863" s="39">
        <v>1812</v>
      </c>
      <c r="D863" s="28">
        <f>IFERROR(VLOOKUP($C863,Tabla_Documentos[],2,FALSE),"")</f>
        <v>46069</v>
      </c>
      <c r="E863" s="34" t="str">
        <f>IFERROR(VLOOKUP($C863,Tabla_Documentos[],3,FALSE),"")</f>
        <v>76512246-5</v>
      </c>
      <c r="F863" s="35" t="str">
        <f>IFERROR(VLOOKUP($C863,Tabla_Documentos[],4,FALSE),"")</f>
        <v>ESLABÃ“N CAPACITACIÃ“N MAURICIO CASTRO LÃ“PEZ E.I.R.L.</v>
      </c>
      <c r="G863" s="38">
        <f>IFERROR(VLOOKUP($C863,Tabla_Documentos[],5,FALSE),"")</f>
        <v>355810</v>
      </c>
      <c r="H863" s="29" t="str">
        <f>IFERROR(VLOOKUP($C863,Tabla_Documentos[],6,FALSE),"")</f>
        <v>PUBLICIDAD</v>
      </c>
      <c r="I863" s="38">
        <f>IFERROR(VLOOKUP($C863,Tabla_Documentos[],5,FALSE),"")</f>
        <v>355810</v>
      </c>
      <c r="J863" s="25">
        <v>46069</v>
      </c>
    </row>
    <row r="864" spans="3:10" ht="21" customHeight="1" x14ac:dyDescent="0.25">
      <c r="C864" s="39">
        <v>1813</v>
      </c>
      <c r="D864" s="28">
        <f>IFERROR(VLOOKUP($C864,Tabla_Documentos[],2,FALSE),"")</f>
        <v>46070</v>
      </c>
      <c r="E864" s="34" t="str">
        <f>IFERROR(VLOOKUP($C864,Tabla_Documentos[],3,FALSE),"")</f>
        <v>77520219-K</v>
      </c>
      <c r="F864" s="35" t="str">
        <f>IFERROR(VLOOKUP($C864,Tabla_Documentos[],4,FALSE),"")</f>
        <v>AILUV SPA</v>
      </c>
      <c r="G864" s="38">
        <f>IFERROR(VLOOKUP($C864,Tabla_Documentos[],5,FALSE),"")</f>
        <v>28560</v>
      </c>
      <c r="H864" s="29" t="str">
        <f>IFERROR(VLOOKUP($C864,Tabla_Documentos[],6,FALSE),"")</f>
        <v>PUBLICIDAD</v>
      </c>
      <c r="I864" s="38">
        <f>IFERROR(VLOOKUP($C864,Tabla_Documentos[],5,FALSE),"")</f>
        <v>28560</v>
      </c>
      <c r="J864" s="25">
        <v>46070</v>
      </c>
    </row>
    <row r="865" spans="3:10" ht="21" customHeight="1" x14ac:dyDescent="0.25">
      <c r="C865" s="39">
        <v>1814</v>
      </c>
      <c r="D865" s="28">
        <f>IFERROR(VLOOKUP($C865,Tabla_Documentos[],2,FALSE),"")</f>
        <v>46070</v>
      </c>
      <c r="E865" s="34" t="str">
        <f>IFERROR(VLOOKUP($C865,Tabla_Documentos[],3,FALSE),"")</f>
        <v>76953805-4</v>
      </c>
      <c r="F865" s="35" t="str">
        <f>IFERROR(VLOOKUP($C865,Tabla_Documentos[],4,FALSE),"")</f>
        <v>SERVICIOS MONTENEGRO SPA</v>
      </c>
      <c r="G865" s="38">
        <f>IFERROR(VLOOKUP($C865,Tabla_Documentos[],5,FALSE),"")</f>
        <v>1428000</v>
      </c>
      <c r="H865" s="29" t="str">
        <f>IFERROR(VLOOKUP($C865,Tabla_Documentos[],6,FALSE),"")</f>
        <v>PUBLICIDAD</v>
      </c>
      <c r="I865" s="38">
        <f>IFERROR(VLOOKUP($C865,Tabla_Documentos[],5,FALSE),"")</f>
        <v>1428000</v>
      </c>
      <c r="J865" s="25">
        <v>46070</v>
      </c>
    </row>
    <row r="866" spans="3:10" ht="21" customHeight="1" x14ac:dyDescent="0.25">
      <c r="C866" s="39">
        <v>1815</v>
      </c>
      <c r="D866" s="28">
        <f>IFERROR(VLOOKUP($C866,Tabla_Documentos[],2,FALSE),"")</f>
        <v>46070</v>
      </c>
      <c r="E866" s="34" t="str">
        <f>IFERROR(VLOOKUP($C866,Tabla_Documentos[],3,FALSE),"")</f>
        <v>18403693-2</v>
      </c>
      <c r="F866" s="35" t="str">
        <f>IFERROR(VLOOKUP($C866,Tabla_Documentos[],4,FALSE),"")</f>
        <v>CAROLINA ANDREA BARRERA QUINELEN</v>
      </c>
      <c r="G866" s="38">
        <f>IFERROR(VLOOKUP($C866,Tabla_Documentos[],5,FALSE),"")</f>
        <v>190400</v>
      </c>
      <c r="H866" s="29" t="str">
        <f>IFERROR(VLOOKUP($C866,Tabla_Documentos[],6,FALSE),"")</f>
        <v>PUBLICIDAD</v>
      </c>
      <c r="I866" s="38">
        <f>IFERROR(VLOOKUP($C866,Tabla_Documentos[],5,FALSE),"")</f>
        <v>190400</v>
      </c>
      <c r="J866" s="25">
        <v>46070</v>
      </c>
    </row>
    <row r="867" spans="3:10" ht="21" customHeight="1" x14ac:dyDescent="0.25">
      <c r="C867" s="39">
        <v>1816</v>
      </c>
      <c r="D867" s="28">
        <f>IFERROR(VLOOKUP($C867,Tabla_Documentos[],2,FALSE),"")</f>
        <v>46070</v>
      </c>
      <c r="E867" s="34" t="str">
        <f>IFERROR(VLOOKUP($C867,Tabla_Documentos[],3,FALSE),"")</f>
        <v>77917754-8</v>
      </c>
      <c r="F867" s="35" t="str">
        <f>IFERROR(VLOOKUP($C867,Tabla_Documentos[],4,FALSE),"")</f>
        <v>CONSTRUCTORA, REPARACIONES, APLICACIONES E INSTALACIONES GRUPO ATADURA</v>
      </c>
      <c r="G867" s="38">
        <f>IFERROR(VLOOKUP($C867,Tabla_Documentos[],5,FALSE),"")</f>
        <v>297500</v>
      </c>
      <c r="H867" s="29" t="str">
        <f>IFERROR(VLOOKUP($C867,Tabla_Documentos[],6,FALSE),"")</f>
        <v>PUBLICIDAD</v>
      </c>
      <c r="I867" s="38">
        <f>IFERROR(VLOOKUP($C867,Tabla_Documentos[],5,FALSE),"")</f>
        <v>297500</v>
      </c>
      <c r="J867" s="25">
        <v>46070</v>
      </c>
    </row>
    <row r="868" spans="3:10" ht="21" customHeight="1" x14ac:dyDescent="0.25">
      <c r="C868" s="39">
        <v>1818</v>
      </c>
      <c r="D868" s="28">
        <f>IFERROR(VLOOKUP($C868,Tabla_Documentos[],2,FALSE),"")</f>
        <v>46071</v>
      </c>
      <c r="E868" s="34" t="str">
        <f>IFERROR(VLOOKUP($C868,Tabla_Documentos[],3,FALSE),"")</f>
        <v>76496563-9</v>
      </c>
      <c r="F868" s="35" t="str">
        <f>IFERROR(VLOOKUP($C868,Tabla_Documentos[],4,FALSE),"")</f>
        <v>INGENIERIA Y CONSTRUCCION GONZALO PATRICIO BENAVENTE ARIAS E.I.R.L.</v>
      </c>
      <c r="G868" s="38">
        <f>IFERROR(VLOOKUP($C868,Tabla_Documentos[],5,FALSE),"")</f>
        <v>178500</v>
      </c>
      <c r="H868" s="29" t="str">
        <f>IFERROR(VLOOKUP($C868,Tabla_Documentos[],6,FALSE),"")</f>
        <v>PUBLICIDAD</v>
      </c>
      <c r="I868" s="38">
        <f>IFERROR(VLOOKUP($C868,Tabla_Documentos[],5,FALSE),"")</f>
        <v>178500</v>
      </c>
      <c r="J868" s="25">
        <v>46071</v>
      </c>
    </row>
    <row r="869" spans="3:10" ht="21" customHeight="1" x14ac:dyDescent="0.25">
      <c r="C869" s="39">
        <v>1819</v>
      </c>
      <c r="D869" s="28">
        <f>IFERROR(VLOOKUP($C869,Tabla_Documentos[],2,FALSE),"")</f>
        <v>46072</v>
      </c>
      <c r="E869" s="34" t="str">
        <f>IFERROR(VLOOKUP($C869,Tabla_Documentos[],3,FALSE),"")</f>
        <v>76496563-9</v>
      </c>
      <c r="F869" s="35" t="str">
        <f>IFERROR(VLOOKUP($C869,Tabla_Documentos[],4,FALSE),"")</f>
        <v>INGENIERIA Y CONSTRUCCION GONZALO PATRICIO BENAVENTE ARIAS E.I.R.L.</v>
      </c>
      <c r="G869" s="38">
        <f>IFERROR(VLOOKUP($C869,Tabla_Documentos[],5,FALSE),"")</f>
        <v>337960</v>
      </c>
      <c r="H869" s="29" t="str">
        <f>IFERROR(VLOOKUP($C869,Tabla_Documentos[],6,FALSE),"")</f>
        <v>PUBLICIDAD</v>
      </c>
      <c r="I869" s="38">
        <f>IFERROR(VLOOKUP($C869,Tabla_Documentos[],5,FALSE),"")</f>
        <v>337960</v>
      </c>
      <c r="J869" s="25">
        <v>46072</v>
      </c>
    </row>
    <row r="870" spans="3:10" ht="21" customHeight="1" x14ac:dyDescent="0.25">
      <c r="C870" s="39">
        <v>1821</v>
      </c>
      <c r="D870" s="28">
        <f>IFERROR(VLOOKUP($C870,Tabla_Documentos[],2,FALSE),"")</f>
        <v>46073</v>
      </c>
      <c r="E870" s="34" t="str">
        <f>IFERROR(VLOOKUP($C870,Tabla_Documentos[],3,FALSE),"")</f>
        <v>78943670-3</v>
      </c>
      <c r="F870" s="35" t="str">
        <f>IFERROR(VLOOKUP($C870,Tabla_Documentos[],4,FALSE),"")</f>
        <v>ZEPOL INDUSTRIAL LIMITADA</v>
      </c>
      <c r="G870" s="38">
        <f>IFERROR(VLOOKUP($C870,Tabla_Documentos[],5,FALSE),"")</f>
        <v>41650</v>
      </c>
      <c r="H870" s="29" t="str">
        <f>IFERROR(VLOOKUP($C870,Tabla_Documentos[],6,FALSE),"")</f>
        <v>PUBLICIDAD</v>
      </c>
      <c r="I870" s="38">
        <f>IFERROR(VLOOKUP($C870,Tabla_Documentos[],5,FALSE),"")</f>
        <v>41650</v>
      </c>
      <c r="J870" s="25">
        <v>46073</v>
      </c>
    </row>
    <row r="871" spans="3:10" ht="21" customHeight="1" x14ac:dyDescent="0.25">
      <c r="C871" s="39">
        <v>1754</v>
      </c>
      <c r="D871" s="28">
        <f>IFERROR(VLOOKUP($C871,Tabla_Documentos[],2,FALSE),"")</f>
        <v>46045</v>
      </c>
      <c r="E871" s="34" t="str">
        <f>IFERROR(VLOOKUP($C871,Tabla_Documentos[],3,FALSE),"")</f>
        <v>77437999-1</v>
      </c>
      <c r="F871" s="35" t="str">
        <f>IFERROR(VLOOKUP($C871,Tabla_Documentos[],4,FALSE),"")</f>
        <v>INVERSIONES SAFUMAR LIMITADA</v>
      </c>
      <c r="G871" s="38">
        <f>IFERROR(VLOOKUP($C871,Tabla_Documentos[],5,FALSE),"")</f>
        <v>167433</v>
      </c>
      <c r="H871" s="29" t="str">
        <f>IFERROR(VLOOKUP($C871,Tabla_Documentos[],6,FALSE),"")</f>
        <v>PUBLICIDAD</v>
      </c>
      <c r="I871" s="38">
        <f>IFERROR(VLOOKUP($C871,Tabla_Documentos[],5,FALSE),"")</f>
        <v>167433</v>
      </c>
      <c r="J871" s="25">
        <v>46078</v>
      </c>
    </row>
    <row r="872" spans="3:10" ht="21" customHeight="1" x14ac:dyDescent="0.25">
      <c r="C872" s="39">
        <v>1756</v>
      </c>
      <c r="D872" s="28">
        <f>IFERROR(VLOOKUP($C872,Tabla_Documentos[],2,FALSE),"")</f>
        <v>46045</v>
      </c>
      <c r="E872" s="34" t="str">
        <f>IFERROR(VLOOKUP($C872,Tabla_Documentos[],3,FALSE),"")</f>
        <v>77437999-1</v>
      </c>
      <c r="F872" s="35" t="str">
        <f>IFERROR(VLOOKUP($C872,Tabla_Documentos[],4,FALSE),"")</f>
        <v>INVERSIONES SAFUMAR LIMITADA</v>
      </c>
      <c r="G872" s="38">
        <f>IFERROR(VLOOKUP($C872,Tabla_Documentos[],5,FALSE),"")</f>
        <v>260610</v>
      </c>
      <c r="H872" s="29" t="str">
        <f>IFERROR(VLOOKUP($C872,Tabla_Documentos[],6,FALSE),"")</f>
        <v>PUBLICIDAD</v>
      </c>
      <c r="I872" s="38">
        <f>IFERROR(VLOOKUP($C872,Tabla_Documentos[],5,FALSE),"")</f>
        <v>260610</v>
      </c>
      <c r="J872" s="25">
        <v>46078</v>
      </c>
    </row>
    <row r="873" spans="3:10" ht="21" customHeight="1" x14ac:dyDescent="0.25">
      <c r="C873" s="39">
        <v>1758</v>
      </c>
      <c r="D873" s="28">
        <f>IFERROR(VLOOKUP($C873,Tabla_Documentos[],2,FALSE),"")</f>
        <v>46045</v>
      </c>
      <c r="E873" s="34" t="str">
        <f>IFERROR(VLOOKUP($C873,Tabla_Documentos[],3,FALSE),"")</f>
        <v>76346498-9</v>
      </c>
      <c r="F873" s="35" t="str">
        <f>IFERROR(VLOOKUP($C873,Tabla_Documentos[],4,FALSE),"")</f>
        <v>CONSTRUCTORA CARLOS ALBERTO ANDRES ALBISTUR REYES E.I.R.L.</v>
      </c>
      <c r="G873" s="38">
        <f>IFERROR(VLOOKUP($C873,Tabla_Documentos[],5,FALSE),"")</f>
        <v>74375</v>
      </c>
      <c r="H873" s="29" t="str">
        <f>IFERROR(VLOOKUP($C873,Tabla_Documentos[],6,FALSE),"")</f>
        <v>PUBLICIDAD</v>
      </c>
      <c r="I873" s="38">
        <f>IFERROR(VLOOKUP($C873,Tabla_Documentos[],5,FALSE),"")</f>
        <v>74375</v>
      </c>
      <c r="J873" s="25">
        <v>46073</v>
      </c>
    </row>
    <row r="874" spans="3:10" ht="21" customHeight="1" x14ac:dyDescent="0.25">
      <c r="C874" s="39">
        <v>1714</v>
      </c>
      <c r="D874" s="28">
        <f>IFERROR(VLOOKUP($C874,Tabla_Documentos[],2,FALSE),"")</f>
        <v>46034</v>
      </c>
      <c r="E874" s="34" t="str">
        <f>IFERROR(VLOOKUP($C874,Tabla_Documentos[],3,FALSE),"")</f>
        <v>77313060-4</v>
      </c>
      <c r="F874" s="35" t="str">
        <f>IFERROR(VLOOKUP($C874,Tabla_Documentos[],4,FALSE),"")</f>
        <v>COMERCIAL SERPAN SPA</v>
      </c>
      <c r="G874" s="38">
        <f>IFERROR(VLOOKUP($C874,Tabla_Documentos[],5,FALSE),"")</f>
        <v>98056</v>
      </c>
      <c r="H874" s="29" t="str">
        <f>IFERROR(VLOOKUP($C874,Tabla_Documentos[],6,FALSE),"")</f>
        <v>PUBLICIDAD</v>
      </c>
      <c r="I874" s="38">
        <f>IFERROR(VLOOKUP($C874,Tabla_Documentos[],5,FALSE),"")</f>
        <v>98056</v>
      </c>
      <c r="J874" s="25">
        <v>46066</v>
      </c>
    </row>
    <row r="875" spans="3:10" ht="21" customHeight="1" x14ac:dyDescent="0.25">
      <c r="C875" s="39">
        <v>1715</v>
      </c>
      <c r="D875" s="28">
        <f>IFERROR(VLOOKUP($C875,Tabla_Documentos[],2,FALSE),"")</f>
        <v>46034</v>
      </c>
      <c r="E875" s="34" t="str">
        <f>IFERROR(VLOOKUP($C875,Tabla_Documentos[],3,FALSE),"")</f>
        <v>77313060-4</v>
      </c>
      <c r="F875" s="35" t="str">
        <f>IFERROR(VLOOKUP($C875,Tabla_Documentos[],4,FALSE),"")</f>
        <v>COMERCIAL SERPAN SPA</v>
      </c>
      <c r="G875" s="38">
        <f>IFERROR(VLOOKUP($C875,Tabla_Documentos[],5,FALSE),"")</f>
        <v>98056</v>
      </c>
      <c r="H875" s="29" t="str">
        <f>IFERROR(VLOOKUP($C875,Tabla_Documentos[],6,FALSE),"")</f>
        <v>PUBLICIDAD</v>
      </c>
      <c r="I875" s="38">
        <f>IFERROR(VLOOKUP($C875,Tabla_Documentos[],5,FALSE),"")</f>
        <v>98056</v>
      </c>
      <c r="J875" s="25">
        <v>46066</v>
      </c>
    </row>
    <row r="876" spans="3:10" ht="21" customHeight="1" x14ac:dyDescent="0.25">
      <c r="C876" s="39">
        <v>1716</v>
      </c>
      <c r="D876" s="28">
        <f>IFERROR(VLOOKUP($C876,Tabla_Documentos[],2,FALSE),"")</f>
        <v>46034</v>
      </c>
      <c r="E876" s="34" t="str">
        <f>IFERROR(VLOOKUP($C876,Tabla_Documentos[],3,FALSE),"")</f>
        <v>77313060-4</v>
      </c>
      <c r="F876" s="35" t="str">
        <f>IFERROR(VLOOKUP($C876,Tabla_Documentos[],4,FALSE),"")</f>
        <v>COMERCIAL SERPAN SPA</v>
      </c>
      <c r="G876" s="38">
        <f>IFERROR(VLOOKUP($C876,Tabla_Documentos[],5,FALSE),"")</f>
        <v>98056</v>
      </c>
      <c r="H876" s="29" t="str">
        <f>IFERROR(VLOOKUP($C876,Tabla_Documentos[],6,FALSE),"")</f>
        <v>PUBLICIDAD</v>
      </c>
      <c r="I876" s="38">
        <f>IFERROR(VLOOKUP($C876,Tabla_Documentos[],5,FALSE),"")</f>
        <v>98056</v>
      </c>
      <c r="J876" s="25">
        <v>46066</v>
      </c>
    </row>
    <row r="877" spans="3:10" ht="21" customHeight="1" x14ac:dyDescent="0.25">
      <c r="C877" s="39">
        <v>1717</v>
      </c>
      <c r="D877" s="28">
        <f>IFERROR(VLOOKUP($C877,Tabla_Documentos[],2,FALSE),"")</f>
        <v>46034</v>
      </c>
      <c r="E877" s="34" t="str">
        <f>IFERROR(VLOOKUP($C877,Tabla_Documentos[],3,FALSE),"")</f>
        <v>92475000-6</v>
      </c>
      <c r="F877" s="35" t="str">
        <f>IFERROR(VLOOKUP($C877,Tabla_Documentos[],4,FALSE),"")</f>
        <v>KAUFMANN SA VEHICULOS MOTORIZADOS</v>
      </c>
      <c r="G877" s="38">
        <f>IFERROR(VLOOKUP($C877,Tabla_Documentos[],5,FALSE),"")</f>
        <v>190400</v>
      </c>
      <c r="H877" s="29" t="str">
        <f>IFERROR(VLOOKUP($C877,Tabla_Documentos[],6,FALSE),"")</f>
        <v>PUBLICIDAD</v>
      </c>
      <c r="I877" s="38">
        <f>IFERROR(VLOOKUP($C877,Tabla_Documentos[],5,FALSE),"")</f>
        <v>190400</v>
      </c>
      <c r="J877" s="25">
        <v>46066</v>
      </c>
    </row>
    <row r="878" spans="3:10" ht="21" customHeight="1" x14ac:dyDescent="0.25">
      <c r="C878" s="39">
        <v>1770</v>
      </c>
      <c r="D878" s="28">
        <f>IFERROR(VLOOKUP($C878,Tabla_Documentos[],2,FALSE),"")</f>
        <v>46051</v>
      </c>
      <c r="E878" s="34" t="str">
        <f>IFERROR(VLOOKUP($C878,Tabla_Documentos[],3,FALSE),"")</f>
        <v>76186894-2</v>
      </c>
      <c r="F878" s="35" t="str">
        <f>IFERROR(VLOOKUP($C878,Tabla_Documentos[],4,FALSE),"")</f>
        <v>SAN RAFAEL INGENIERIA Y  SERVICIOS LIMITADA</v>
      </c>
      <c r="G878" s="38">
        <f>IFERROR(VLOOKUP($C878,Tabla_Documentos[],5,FALSE),"")</f>
        <v>349622</v>
      </c>
      <c r="H878" s="29" t="str">
        <f>IFERROR(VLOOKUP($C878,Tabla_Documentos[],6,FALSE),"")</f>
        <v>PUBLICIDAD</v>
      </c>
      <c r="I878" s="38">
        <f>IFERROR(VLOOKUP($C878,Tabla_Documentos[],5,FALSE),"")</f>
        <v>349622</v>
      </c>
      <c r="J878" s="25">
        <v>46086</v>
      </c>
    </row>
    <row r="879" spans="3:10" ht="21" customHeight="1" x14ac:dyDescent="0.25">
      <c r="C879" s="39">
        <v>1772</v>
      </c>
      <c r="D879" s="28">
        <v>46052</v>
      </c>
      <c r="E879" s="34" t="str">
        <f>IFERROR(VLOOKUP($C879,Tabla_Documentos[],3,FALSE),"")</f>
        <v>76186894-2</v>
      </c>
      <c r="F879" s="35" t="str">
        <f>IFERROR(VLOOKUP($C879,Tabla_Documentos[],4,FALSE),"")</f>
        <v>SAN RAFAEL INGENIERIA Y  SERVICIOS LIMITADA</v>
      </c>
      <c r="G879" s="38">
        <f>IFERROR(VLOOKUP($C879,Tabla_Documentos[],5,FALSE),"")</f>
        <v>237000</v>
      </c>
      <c r="H879" s="29" t="str">
        <f>IFERROR(VLOOKUP($C879,Tabla_Documentos[],6,FALSE),"")</f>
        <v>PUBLICIDAD</v>
      </c>
      <c r="I879" s="38">
        <f>IFERROR(VLOOKUP($C879,Tabla_Documentos[],5,FALSE),"")</f>
        <v>237000</v>
      </c>
      <c r="J879" s="25">
        <v>46086</v>
      </c>
    </row>
    <row r="880" spans="3:10" ht="21" customHeight="1" x14ac:dyDescent="0.25">
      <c r="C880" s="39">
        <v>1769</v>
      </c>
      <c r="D880" s="28">
        <f>IFERROR(VLOOKUP($C880,Tabla_Documentos[],2,FALSE),"")</f>
        <v>46051</v>
      </c>
      <c r="E880" s="34" t="str">
        <f>IFERROR(VLOOKUP($C880,Tabla_Documentos[],3,FALSE),"")</f>
        <v>76186894-2</v>
      </c>
      <c r="F880" s="35" t="str">
        <f>IFERROR(VLOOKUP($C880,Tabla_Documentos[],4,FALSE),"")</f>
        <v>SAN RAFAEL INGENIERIA Y  SERVICIOS LIMITADA</v>
      </c>
      <c r="G880" s="38">
        <f>IFERROR(VLOOKUP($C880,Tabla_Documentos[],5,FALSE),"")</f>
        <v>399840</v>
      </c>
      <c r="H880" s="29" t="str">
        <f>IFERROR(VLOOKUP($C880,Tabla_Documentos[],6,FALSE),"")</f>
        <v>PUBLICIDAD</v>
      </c>
      <c r="I880" s="38">
        <v>378420</v>
      </c>
      <c r="J880" s="25">
        <v>46086</v>
      </c>
    </row>
    <row r="881" spans="3:10" ht="21" customHeight="1" x14ac:dyDescent="0.25">
      <c r="C881" s="39">
        <v>1749</v>
      </c>
      <c r="D881" s="28">
        <f>IFERROR(VLOOKUP($C881,Tabla_Documentos[],2,FALSE),"")</f>
        <v>46044</v>
      </c>
      <c r="E881" s="34" t="str">
        <f>IFERROR(VLOOKUP($C881,Tabla_Documentos[],3,FALSE),"")</f>
        <v>76186894-2</v>
      </c>
      <c r="F881" s="35" t="str">
        <f>IFERROR(VLOOKUP($C881,Tabla_Documentos[],4,FALSE),"")</f>
        <v>SAN RAFAEL INGENIERIA Y  SERVICIOS LIMITADA</v>
      </c>
      <c r="G881" s="38">
        <f>IFERROR(VLOOKUP($C881,Tabla_Documentos[],5,FALSE),"")</f>
        <v>21420</v>
      </c>
      <c r="H881" s="29" t="str">
        <f>IFERROR(VLOOKUP($C881,Tabla_Documentos[],6,FALSE),"")</f>
        <v>PUBLICIDAD</v>
      </c>
      <c r="I881" s="38">
        <f>IFERROR(VLOOKUP($C881,Tabla_Documentos[],5,FALSE),"")</f>
        <v>21420</v>
      </c>
      <c r="J881" s="25">
        <v>46073</v>
      </c>
    </row>
    <row r="882" spans="3:10" ht="21" customHeight="1" x14ac:dyDescent="0.25">
      <c r="C882" s="39">
        <v>1769</v>
      </c>
      <c r="D882" s="28">
        <f>IFERROR(VLOOKUP($C882,Tabla_Documentos[],2,FALSE),"")</f>
        <v>46051</v>
      </c>
      <c r="E882" s="34" t="str">
        <f>IFERROR(VLOOKUP($C882,Tabla_Documentos[],3,FALSE),"")</f>
        <v>76186894-2</v>
      </c>
      <c r="F882" s="35" t="str">
        <f>IFERROR(VLOOKUP($C882,Tabla_Documentos[],4,FALSE),"")</f>
        <v>SAN RAFAEL INGENIERIA Y  SERVICIOS LIMITADA</v>
      </c>
      <c r="G882" s="38">
        <f>IFERROR(VLOOKUP($C882,Tabla_Documentos[],5,FALSE),"")</f>
        <v>399840</v>
      </c>
      <c r="H882" s="29" t="str">
        <f>IFERROR(VLOOKUP($C882,Tabla_Documentos[],6,FALSE),"")</f>
        <v>PUBLICIDAD</v>
      </c>
      <c r="I882" s="38">
        <v>21420</v>
      </c>
      <c r="J882" s="25">
        <v>46080</v>
      </c>
    </row>
    <row r="883" spans="3:10" ht="21" customHeight="1" x14ac:dyDescent="0.25">
      <c r="C883" s="39">
        <v>1779</v>
      </c>
      <c r="D883" s="28">
        <f>IFERROR(VLOOKUP($C883,Tabla_Documentos[],2,FALSE),"")</f>
        <v>46058</v>
      </c>
      <c r="E883" s="34" t="str">
        <f>IFERROR(VLOOKUP($C883,Tabla_Documentos[],3,FALSE),"")</f>
        <v>85840100-3</v>
      </c>
      <c r="F883" s="35" t="str">
        <f>IFERROR(VLOOKUP($C883,Tabla_Documentos[],4,FALSE),"")</f>
        <v>COMPANIA DE SERVICIOS INDUSTRIALES LIMITADA</v>
      </c>
      <c r="G883" s="38">
        <f>IFERROR(VLOOKUP($C883,Tabla_Documentos[],5,FALSE),"")</f>
        <v>696150</v>
      </c>
      <c r="H883" s="29" t="str">
        <f>IFERROR(VLOOKUP($C883,Tabla_Documentos[],6,FALSE),"")</f>
        <v>PUBLICIDAD</v>
      </c>
      <c r="I883" s="38">
        <f>IFERROR(VLOOKUP($C883,Tabla_Documentos[],5,FALSE),"")</f>
        <v>696150</v>
      </c>
      <c r="J883" s="25">
        <v>46087</v>
      </c>
    </row>
    <row r="884" spans="3:10" ht="21" customHeight="1" x14ac:dyDescent="0.25">
      <c r="C884" s="39">
        <v>1780</v>
      </c>
      <c r="D884" s="28">
        <f>IFERROR(VLOOKUP($C884,Tabla_Documentos[],2,FALSE),"")</f>
        <v>46058</v>
      </c>
      <c r="E884" s="34" t="str">
        <f>IFERROR(VLOOKUP($C884,Tabla_Documentos[],3,FALSE),"")</f>
        <v>85840100-3</v>
      </c>
      <c r="F884" s="35" t="str">
        <f>IFERROR(VLOOKUP($C884,Tabla_Documentos[],4,FALSE),"")</f>
        <v>COMPANIA DE SERVICIOS INDUSTRIALES LIMITADA</v>
      </c>
      <c r="G884" s="38">
        <f>IFERROR(VLOOKUP($C884,Tabla_Documentos[],5,FALSE),"")</f>
        <v>3145170</v>
      </c>
      <c r="H884" s="29" t="str">
        <f>IFERROR(VLOOKUP($C884,Tabla_Documentos[],6,FALSE),"")</f>
        <v>PUBLICIDAD</v>
      </c>
      <c r="I884" s="38">
        <f>IFERROR(VLOOKUP($C884,Tabla_Documentos[],5,FALSE),"")</f>
        <v>3145170</v>
      </c>
      <c r="J884" s="25">
        <v>46087</v>
      </c>
    </row>
    <row r="885" spans="3:10" ht="21" customHeight="1" x14ac:dyDescent="0.25">
      <c r="C885" s="39">
        <v>1792</v>
      </c>
      <c r="D885" s="28">
        <f>IFERROR(VLOOKUP($C885,Tabla_Documentos[],2,FALSE),"")</f>
        <v>46063</v>
      </c>
      <c r="E885" s="34" t="str">
        <f>IFERROR(VLOOKUP($C885,Tabla_Documentos[],3,FALSE),"")</f>
        <v>76186894-2</v>
      </c>
      <c r="F885" s="35" t="str">
        <f>IFERROR(VLOOKUP($C885,Tabla_Documentos[],4,FALSE),"")</f>
        <v>SAN RAFAEL INGENIERIA Y  SERVICIOS LIMITADA</v>
      </c>
      <c r="G885" s="38">
        <f>IFERROR(VLOOKUP($C885,Tabla_Documentos[],5,FALSE),"")</f>
        <v>618324</v>
      </c>
      <c r="H885" s="29" t="str">
        <f>IFERROR(VLOOKUP($C885,Tabla_Documentos[],6,FALSE),"")</f>
        <v>PUBLICIDAD</v>
      </c>
      <c r="I885" s="38">
        <f>IFERROR(VLOOKUP($C885,Tabla_Documentos[],5,FALSE),"")</f>
        <v>618324</v>
      </c>
      <c r="J885" s="25">
        <v>46093</v>
      </c>
    </row>
    <row r="886" spans="3:10" ht="21" customHeight="1" x14ac:dyDescent="0.25">
      <c r="C886" s="39">
        <v>1799</v>
      </c>
      <c r="D886" s="28">
        <f>IFERROR(VLOOKUP($C886,Tabla_Documentos[],2,FALSE),"")</f>
        <v>46066</v>
      </c>
      <c r="E886" s="34" t="str">
        <f>IFERROR(VLOOKUP($C886,Tabla_Documentos[],3,FALSE),"")</f>
        <v>76186894-2</v>
      </c>
      <c r="F886" s="35" t="str">
        <f>IFERROR(VLOOKUP($C886,Tabla_Documentos[],4,FALSE),"")</f>
        <v>SAN RAFAEL INGENIERIA Y  SERVICIOS LIMITADA</v>
      </c>
      <c r="G886" s="38">
        <f>IFERROR(VLOOKUP($C886,Tabla_Documentos[],5,FALSE),"")</f>
        <v>119000</v>
      </c>
      <c r="H886" s="29" t="str">
        <f>IFERROR(VLOOKUP($C886,Tabla_Documentos[],6,FALSE),"")</f>
        <v>PUBLICIDAD</v>
      </c>
      <c r="I886" s="38">
        <f>IFERROR(VLOOKUP($C886,Tabla_Documentos[],5,FALSE),"")</f>
        <v>119000</v>
      </c>
      <c r="J886" s="25">
        <v>46093</v>
      </c>
    </row>
    <row r="887" spans="3:10" ht="21" customHeight="1" x14ac:dyDescent="0.25">
      <c r="C887" s="39">
        <v>1823</v>
      </c>
      <c r="D887" s="28">
        <f>IFERROR(VLOOKUP($C887,Tabla_Documentos[],2,FALSE),"")</f>
        <v>46073</v>
      </c>
      <c r="E887" s="34" t="str">
        <f>IFERROR(VLOOKUP($C887,Tabla_Documentos[],3,FALSE),"")</f>
        <v>76606960-6</v>
      </c>
      <c r="F887" s="35" t="str">
        <f>IFERROR(VLOOKUP($C887,Tabla_Documentos[],4,FALSE),"")</f>
        <v>ETYCA PROFESIONALES CAPACITACION LIMITADA</v>
      </c>
      <c r="G887" s="38">
        <f>IFERROR(VLOOKUP($C887,Tabla_Documentos[],5,FALSE),"")</f>
        <v>321300</v>
      </c>
      <c r="H887" s="29" t="str">
        <f>IFERROR(VLOOKUP($C887,Tabla_Documentos[],6,FALSE),"")</f>
        <v>PUBLICIDAD</v>
      </c>
      <c r="I887" s="38">
        <f>IFERROR(VLOOKUP($C887,Tabla_Documentos[],5,FALSE),"")</f>
        <v>321300</v>
      </c>
      <c r="J887" s="25">
        <v>46073</v>
      </c>
    </row>
    <row r="888" spans="3:10" ht="21" customHeight="1" x14ac:dyDescent="0.25">
      <c r="C888" s="39">
        <v>1824</v>
      </c>
      <c r="D888" s="28">
        <f>IFERROR(VLOOKUP($C888,Tabla_Documentos[],2,FALSE),"")</f>
        <v>46073</v>
      </c>
      <c r="E888" s="34" t="str">
        <f>IFERROR(VLOOKUP($C888,Tabla_Documentos[],3,FALSE),"")</f>
        <v>76624716-4</v>
      </c>
      <c r="F888" s="35" t="str">
        <f>IFERROR(VLOOKUP($C888,Tabla_Documentos[],4,FALSE),"")</f>
        <v>EQUIPMENT  SOLUTIONS CHILE SPA</v>
      </c>
      <c r="G888" s="38">
        <f>IFERROR(VLOOKUP($C888,Tabla_Documentos[],5,FALSE),"")</f>
        <v>226100</v>
      </c>
      <c r="H888" s="29" t="str">
        <f>IFERROR(VLOOKUP($C888,Tabla_Documentos[],6,FALSE),"")</f>
        <v>PUBLICIDAD</v>
      </c>
      <c r="I888" s="38">
        <f>IFERROR(VLOOKUP($C888,Tabla_Documentos[],5,FALSE),"")</f>
        <v>226100</v>
      </c>
      <c r="J888" s="25">
        <v>46073</v>
      </c>
    </row>
    <row r="889" spans="3:10" ht="21" customHeight="1" x14ac:dyDescent="0.25">
      <c r="C889" s="39">
        <v>1825</v>
      </c>
      <c r="D889" s="28">
        <f>IFERROR(VLOOKUP($C889,Tabla_Documentos[],2,FALSE),"")</f>
        <v>46076</v>
      </c>
      <c r="E889" s="34" t="str">
        <f>IFERROR(VLOOKUP($C889,Tabla_Documentos[],3,FALSE),"")</f>
        <v>76506336-1</v>
      </c>
      <c r="F889" s="35" t="str">
        <f>IFERROR(VLOOKUP($C889,Tabla_Documentos[],4,FALSE),"")</f>
        <v>KRADE SPA</v>
      </c>
      <c r="G889" s="38">
        <f>IFERROR(VLOOKUP($C889,Tabla_Documentos[],5,FALSE),"")</f>
        <v>22610</v>
      </c>
      <c r="H889" s="29" t="str">
        <f>IFERROR(VLOOKUP($C889,Tabla_Documentos[],6,FALSE),"")</f>
        <v>PUBLICIDAD</v>
      </c>
      <c r="I889" s="38">
        <f>IFERROR(VLOOKUP($C889,Tabla_Documentos[],5,FALSE),"")</f>
        <v>22610</v>
      </c>
      <c r="J889" s="25">
        <v>46076</v>
      </c>
    </row>
    <row r="890" spans="3:10" ht="21" customHeight="1" x14ac:dyDescent="0.25">
      <c r="C890" s="39">
        <v>1828</v>
      </c>
      <c r="D890" s="28">
        <f>IFERROR(VLOOKUP($C890,Tabla_Documentos[],2,FALSE),"")</f>
        <v>46077</v>
      </c>
      <c r="E890" s="34" t="str">
        <f>IFERROR(VLOOKUP($C890,Tabla_Documentos[],3,FALSE),"")</f>
        <v>78055616-1</v>
      </c>
      <c r="F890" s="35" t="str">
        <f>IFERROR(VLOOKUP($C890,Tabla_Documentos[],4,FALSE),"")</f>
        <v>SERVICIOS INTEGRALES LA RIVERA SPA</v>
      </c>
      <c r="G890" s="38">
        <f>IFERROR(VLOOKUP($C890,Tabla_Documentos[],5,FALSE),"")</f>
        <v>106029</v>
      </c>
      <c r="H890" s="29" t="str">
        <f>IFERROR(VLOOKUP($C890,Tabla_Documentos[],6,FALSE),"")</f>
        <v>PUBLICIDAD</v>
      </c>
      <c r="I890" s="38">
        <f>IFERROR(VLOOKUP($C890,Tabla_Documentos[],5,FALSE),"")</f>
        <v>106029</v>
      </c>
      <c r="J890" s="25">
        <v>46077</v>
      </c>
    </row>
    <row r="891" spans="3:10" ht="21" customHeight="1" x14ac:dyDescent="0.25">
      <c r="C891" s="39">
        <v>1829</v>
      </c>
      <c r="D891" s="28">
        <f>IFERROR(VLOOKUP($C891,Tabla_Documentos[],2,FALSE),"")</f>
        <v>46062</v>
      </c>
      <c r="E891" s="34" t="str">
        <f>IFERROR(VLOOKUP($C891,Tabla_Documentos[],3,FALSE),"")</f>
        <v>76625089-0</v>
      </c>
      <c r="F891" s="35" t="str">
        <f>IFERROR(VLOOKUP($C891,Tabla_Documentos[],4,FALSE),"")</f>
        <v>BESALCO CONSTRUCCIONES S.A.</v>
      </c>
      <c r="G891" s="38">
        <f>IFERROR(VLOOKUP($C891,Tabla_Documentos[],5,FALSE),"")</f>
        <v>130900</v>
      </c>
      <c r="H891" s="29" t="str">
        <f>IFERROR(VLOOKUP($C891,Tabla_Documentos[],6,FALSE),"")</f>
        <v>PUBLICIDAD</v>
      </c>
      <c r="I891" s="38">
        <f>IFERROR(VLOOKUP($C891,Tabla_Documentos[],5,FALSE),"")</f>
        <v>130900</v>
      </c>
      <c r="J891" s="25">
        <v>46062</v>
      </c>
    </row>
    <row r="892" spans="3:10" ht="21" customHeight="1" x14ac:dyDescent="0.25">
      <c r="C892" s="39">
        <v>1830</v>
      </c>
      <c r="D892" s="28">
        <f>IFERROR(VLOOKUP($C892,Tabla_Documentos[],2,FALSE),"")</f>
        <v>46077</v>
      </c>
      <c r="E892" s="34" t="str">
        <f>IFERROR(VLOOKUP($C892,Tabla_Documentos[],3,FALSE),"")</f>
        <v>19538716-8</v>
      </c>
      <c r="F892" s="35" t="str">
        <f>IFERROR(VLOOKUP($C892,Tabla_Documentos[],4,FALSE),"")</f>
        <v>CAMILA ANDREA ALVAREZ GONZALEZ</v>
      </c>
      <c r="G892" s="38">
        <f>IFERROR(VLOOKUP($C892,Tabla_Documentos[],5,FALSE),"")</f>
        <v>20000</v>
      </c>
      <c r="H892" s="29" t="str">
        <f>IFERROR(VLOOKUP($C892,Tabla_Documentos[],6,FALSE),"")</f>
        <v>PUBLICIDAD</v>
      </c>
      <c r="I892" s="38">
        <f>IFERROR(VLOOKUP($C892,Tabla_Documentos[],5,FALSE),"")</f>
        <v>20000</v>
      </c>
      <c r="J892" s="25">
        <v>46077</v>
      </c>
    </row>
    <row r="893" spans="3:10" ht="21" customHeight="1" x14ac:dyDescent="0.25">
      <c r="C893" s="39">
        <v>1831</v>
      </c>
      <c r="D893" s="28">
        <f>IFERROR(VLOOKUP($C893,Tabla_Documentos[],2,FALSE),"")</f>
        <v>46078</v>
      </c>
      <c r="E893" s="34" t="str">
        <f>IFERROR(VLOOKUP($C893,Tabla_Documentos[],3,FALSE),"")</f>
        <v>78029033-1</v>
      </c>
      <c r="F893" s="35" t="str">
        <f>IFERROR(VLOOKUP($C893,Tabla_Documentos[],4,FALSE),"")</f>
        <v>INGENIERIA Y SOLUCIONES ELECTRICAS INGINSEL LIMITADA</v>
      </c>
      <c r="G893" s="38">
        <f>IFERROR(VLOOKUP($C893,Tabla_Documentos[],5,FALSE),"")</f>
        <v>291550</v>
      </c>
      <c r="H893" s="29" t="str">
        <f>IFERROR(VLOOKUP($C893,Tabla_Documentos[],6,FALSE),"")</f>
        <v>PUBLICIDAD</v>
      </c>
      <c r="I893" s="38">
        <f>IFERROR(VLOOKUP($C893,Tabla_Documentos[],5,FALSE),"")</f>
        <v>291550</v>
      </c>
      <c r="J893" s="25">
        <v>46078</v>
      </c>
    </row>
    <row r="894" spans="3:10" ht="21" customHeight="1" x14ac:dyDescent="0.25">
      <c r="C894" s="39">
        <v>1832</v>
      </c>
      <c r="D894" s="28">
        <f>IFERROR(VLOOKUP($C894,Tabla_Documentos[],2,FALSE),"")</f>
        <v>46078</v>
      </c>
      <c r="E894" s="34" t="str">
        <f>IFERROR(VLOOKUP($C894,Tabla_Documentos[],3,FALSE),"")</f>
        <v>77158216-8</v>
      </c>
      <c r="F894" s="35" t="str">
        <f>IFERROR(VLOOKUP($C894,Tabla_Documentos[],4,FALSE),"")</f>
        <v>MPF INGENIERÃA CIVIL SPA</v>
      </c>
      <c r="G894" s="38">
        <f>IFERROR(VLOOKUP($C894,Tabla_Documentos[],5,FALSE),"")</f>
        <v>47600</v>
      </c>
      <c r="H894" s="29" t="str">
        <f>IFERROR(VLOOKUP($C894,Tabla_Documentos[],6,FALSE),"")</f>
        <v>PUBLICIDAD</v>
      </c>
      <c r="I894" s="38">
        <f>IFERROR(VLOOKUP($C894,Tabla_Documentos[],5,FALSE),"")</f>
        <v>47600</v>
      </c>
      <c r="J894" s="25">
        <v>46078</v>
      </c>
    </row>
    <row r="895" spans="3:10" ht="21" customHeight="1" x14ac:dyDescent="0.25">
      <c r="C895" s="39">
        <v>1833</v>
      </c>
      <c r="D895" s="28">
        <f>IFERROR(VLOOKUP($C895,Tabla_Documentos[],2,FALSE),"")</f>
        <v>46078</v>
      </c>
      <c r="E895" s="34" t="str">
        <f>IFERROR(VLOOKUP($C895,Tabla_Documentos[],3,FALSE),"")</f>
        <v>78202569-4</v>
      </c>
      <c r="F895" s="35" t="str">
        <f>IFERROR(VLOOKUP($C895,Tabla_Documentos[],4,FALSE),"")</f>
        <v>ARRIENDO DE MAQUINARIAS Y SERVICIOS SERMAK SPA</v>
      </c>
      <c r="G895" s="38">
        <f>IFERROR(VLOOKUP($C895,Tabla_Documentos[],5,FALSE),"")</f>
        <v>11900</v>
      </c>
      <c r="H895" s="29" t="str">
        <f>IFERROR(VLOOKUP($C895,Tabla_Documentos[],6,FALSE),"")</f>
        <v>PUBLICIDAD</v>
      </c>
      <c r="I895" s="38">
        <f>IFERROR(VLOOKUP($C895,Tabla_Documentos[],5,FALSE),"")</f>
        <v>11900</v>
      </c>
      <c r="J895" s="25">
        <v>46078</v>
      </c>
    </row>
    <row r="896" spans="3:10" ht="21" customHeight="1" x14ac:dyDescent="0.25">
      <c r="C896" s="39">
        <v>1834</v>
      </c>
      <c r="D896" s="28">
        <f>IFERROR(VLOOKUP($C896,Tabla_Documentos[],2,FALSE),"")</f>
        <v>46078</v>
      </c>
      <c r="E896" s="34" t="str">
        <f>IFERROR(VLOOKUP($C896,Tabla_Documentos[],3,FALSE),"")</f>
        <v>76638730-6</v>
      </c>
      <c r="F896" s="35" t="str">
        <f>IFERROR(VLOOKUP($C896,Tabla_Documentos[],4,FALSE),"")</f>
        <v>CONSTRUCCIONES METALICAS JOSE EDUARDO SOTO NAVEA E.I.R.L</v>
      </c>
      <c r="G896" s="38">
        <f>IFERROR(VLOOKUP($C896,Tabla_Documentos[],5,FALSE),"")</f>
        <v>416500</v>
      </c>
      <c r="H896" s="29" t="str">
        <f>IFERROR(VLOOKUP($C896,Tabla_Documentos[],6,FALSE),"")</f>
        <v>PUBLICIDAD</v>
      </c>
      <c r="I896" s="38">
        <f>IFERROR(VLOOKUP($C896,Tabla_Documentos[],5,FALSE),"")</f>
        <v>416500</v>
      </c>
      <c r="J896" s="25">
        <v>46078</v>
      </c>
    </row>
    <row r="897" spans="3:10" ht="21" customHeight="1" x14ac:dyDescent="0.25">
      <c r="C897" s="39">
        <v>1837</v>
      </c>
      <c r="D897" s="28">
        <f>IFERROR(VLOOKUP($C897,Tabla_Documentos[],2,FALSE),"")</f>
        <v>46079</v>
      </c>
      <c r="E897" s="34" t="str">
        <f>IFERROR(VLOOKUP($C897,Tabla_Documentos[],3,FALSE),"")</f>
        <v>76428128-4</v>
      </c>
      <c r="F897" s="35" t="str">
        <f>IFERROR(VLOOKUP($C897,Tabla_Documentos[],4,FALSE),"")</f>
        <v>OBRAS CIVILES ARRIENDO Y REPARACION DE MAQUINARIAS Y EQUIPOS LTDA</v>
      </c>
      <c r="G897" s="38">
        <f>IFERROR(VLOOKUP($C897,Tabla_Documentos[],5,FALSE),"")</f>
        <v>107100</v>
      </c>
      <c r="H897" s="29" t="str">
        <f>IFERROR(VLOOKUP($C897,Tabla_Documentos[],6,FALSE),"")</f>
        <v>PUBLICIDAD</v>
      </c>
      <c r="I897" s="38">
        <f>IFERROR(VLOOKUP($C897,Tabla_Documentos[],5,FALSE),"")</f>
        <v>107100</v>
      </c>
      <c r="J897" s="25">
        <v>46079</v>
      </c>
    </row>
    <row r="898" spans="3:10" ht="21" customHeight="1" x14ac:dyDescent="0.25">
      <c r="C898" s="39">
        <v>1838</v>
      </c>
      <c r="D898" s="28">
        <f>IFERROR(VLOOKUP($C898,Tabla_Documentos[],2,FALSE),"")</f>
        <v>46081</v>
      </c>
      <c r="E898" s="34" t="str">
        <f>IFERROR(VLOOKUP($C898,Tabla_Documentos[],3,FALSE),"")</f>
        <v>77664604-0</v>
      </c>
      <c r="F898" s="35" t="str">
        <f>IFERROR(VLOOKUP($C898,Tabla_Documentos[],4,FALSE),"")</f>
        <v>TRANSPORTES PUELLES SPA</v>
      </c>
      <c r="G898" s="38">
        <f>IFERROR(VLOOKUP($C898,Tabla_Documentos[],5,FALSE),"")</f>
        <v>20000</v>
      </c>
      <c r="H898" s="29" t="str">
        <f>IFERROR(VLOOKUP($C898,Tabla_Documentos[],6,FALSE),"")</f>
        <v>PUBLICIDAD</v>
      </c>
      <c r="I898" s="38">
        <f>IFERROR(VLOOKUP($C898,Tabla_Documentos[],5,FALSE),"")</f>
        <v>20000</v>
      </c>
      <c r="J898" s="25">
        <v>46081</v>
      </c>
    </row>
    <row r="899" spans="3:10" ht="21" customHeight="1" x14ac:dyDescent="0.25">
      <c r="C899" s="39">
        <v>1839</v>
      </c>
      <c r="D899" s="28">
        <f>IFERROR(VLOOKUP($C899,Tabla_Documentos[],2,FALSE),"")</f>
        <v>46083</v>
      </c>
      <c r="E899" s="34" t="str">
        <f>IFERROR(VLOOKUP($C899,Tabla_Documentos[],3,FALSE),"")</f>
        <v>78172191-3</v>
      </c>
      <c r="F899" s="35" t="str">
        <f>IFERROR(VLOOKUP($C899,Tabla_Documentos[],4,FALSE),"")</f>
        <v>RIVERA COMPANY SPA</v>
      </c>
      <c r="G899" s="38">
        <f>IFERROR(VLOOKUP($C899,Tabla_Documentos[],5,FALSE),"")</f>
        <v>148691</v>
      </c>
      <c r="H899" s="29" t="str">
        <f>IFERROR(VLOOKUP($C899,Tabla_Documentos[],6,FALSE),"")</f>
        <v>PUBLICIDAD</v>
      </c>
      <c r="I899" s="38">
        <f>IFERROR(VLOOKUP($C899,Tabla_Documentos[],5,FALSE),"")</f>
        <v>148691</v>
      </c>
      <c r="J899" s="25">
        <v>46083</v>
      </c>
    </row>
    <row r="900" spans="3:10" ht="21" customHeight="1" x14ac:dyDescent="0.25">
      <c r="C900" s="39">
        <v>1840</v>
      </c>
      <c r="D900" s="28">
        <f>IFERROR(VLOOKUP($C900,Tabla_Documentos[],2,FALSE),"")</f>
        <v>46083</v>
      </c>
      <c r="E900" s="34" t="str">
        <f>IFERROR(VLOOKUP($C900,Tabla_Documentos[],3,FALSE),"")</f>
        <v>15612090-1</v>
      </c>
      <c r="F900" s="35" t="str">
        <f>IFERROR(VLOOKUP($C900,Tabla_Documentos[],4,FALSE),"")</f>
        <v>JEAN MAURICIO OLIVARES TOLEDO</v>
      </c>
      <c r="G900" s="38">
        <f>IFERROR(VLOOKUP($C900,Tabla_Documentos[],5,FALSE),"")</f>
        <v>5950</v>
      </c>
      <c r="H900" s="29" t="str">
        <f>IFERROR(VLOOKUP($C900,Tabla_Documentos[],6,FALSE),"")</f>
        <v>PUBLICIDAD</v>
      </c>
      <c r="I900" s="38">
        <f>IFERROR(VLOOKUP($C900,Tabla_Documentos[],5,FALSE),"")</f>
        <v>5950</v>
      </c>
      <c r="J900" s="25">
        <v>46083</v>
      </c>
    </row>
    <row r="901" spans="3:10" ht="21" customHeight="1" x14ac:dyDescent="0.25">
      <c r="C901" s="39">
        <v>1847</v>
      </c>
      <c r="D901" s="28">
        <f>IFERROR(VLOOKUP($C901,Tabla_Documentos[],2,FALSE),"")</f>
        <v>46083</v>
      </c>
      <c r="E901" s="34" t="str">
        <f>IFERROR(VLOOKUP($C901,Tabla_Documentos[],3,FALSE),"")</f>
        <v>77935323-0</v>
      </c>
      <c r="F901" s="35" t="str">
        <f>IFERROR(VLOOKUP($C901,Tabla_Documentos[],4,FALSE),"")</f>
        <v>SM TERMOFUSIONES SPA</v>
      </c>
      <c r="G901" s="38">
        <f>IFERROR(VLOOKUP($C901,Tabla_Documentos[],5,FALSE),"")</f>
        <v>297500</v>
      </c>
      <c r="H901" s="29" t="str">
        <f>IFERROR(VLOOKUP($C901,Tabla_Documentos[],6,FALSE),"")</f>
        <v>PUBLICIDAD</v>
      </c>
      <c r="I901" s="38">
        <f>IFERROR(VLOOKUP($C901,Tabla_Documentos[],5,FALSE),"")</f>
        <v>297500</v>
      </c>
      <c r="J901" s="25">
        <v>46083</v>
      </c>
    </row>
    <row r="902" spans="3:10" ht="21" customHeight="1" x14ac:dyDescent="0.25">
      <c r="C902" s="39">
        <v>1848</v>
      </c>
      <c r="D902" s="28">
        <f>IFERROR(VLOOKUP($C902,Tabla_Documentos[],2,FALSE),"")</f>
        <v>46083</v>
      </c>
      <c r="E902" s="34" t="str">
        <f>IFERROR(VLOOKUP($C902,Tabla_Documentos[],3,FALSE),"")</f>
        <v>77917754-8</v>
      </c>
      <c r="F902" s="35" t="str">
        <f>IFERROR(VLOOKUP($C902,Tabla_Documentos[],4,FALSE),"")</f>
        <v>CONSTRUCTORA, REPARACIONES, APLICACIONES E INSTALACIONES GRUPO ATADURA</v>
      </c>
      <c r="G902" s="38">
        <f>IFERROR(VLOOKUP($C902,Tabla_Documentos[],5,FALSE),"")</f>
        <v>91035</v>
      </c>
      <c r="H902" s="29" t="str">
        <f>IFERROR(VLOOKUP($C902,Tabla_Documentos[],6,FALSE),"")</f>
        <v>PUBLICIDAD</v>
      </c>
      <c r="I902" s="38">
        <f>IFERROR(VLOOKUP($C902,Tabla_Documentos[],5,FALSE),"")</f>
        <v>91035</v>
      </c>
      <c r="J902" s="25">
        <v>46083</v>
      </c>
    </row>
    <row r="903" spans="3:10" ht="21" customHeight="1" x14ac:dyDescent="0.25">
      <c r="C903" s="39">
        <v>1850</v>
      </c>
      <c r="D903" s="28">
        <f>IFERROR(VLOOKUP($C903,Tabla_Documentos[],2,FALSE),"")</f>
        <v>46084</v>
      </c>
      <c r="E903" s="34" t="str">
        <f>IFERROR(VLOOKUP($C903,Tabla_Documentos[],3,FALSE),"")</f>
        <v>78003369-K</v>
      </c>
      <c r="F903" s="35" t="str">
        <f>IFERROR(VLOOKUP($C903,Tabla_Documentos[],4,FALSE),"")</f>
        <v>EMPRESA DE TRANSPORTES DE PASAJEROS NUEVA COPIAPO 1 SPA</v>
      </c>
      <c r="G903" s="38">
        <f>IFERROR(VLOOKUP($C903,Tabla_Documentos[],5,FALSE),"")</f>
        <v>648193</v>
      </c>
      <c r="H903" s="29" t="str">
        <f>IFERROR(VLOOKUP($C903,Tabla_Documentos[],6,FALSE),"")</f>
        <v>PUBLICIDAD</v>
      </c>
      <c r="I903" s="38">
        <f>IFERROR(VLOOKUP($C903,Tabla_Documentos[],5,FALSE),"")</f>
        <v>648193</v>
      </c>
      <c r="J903" s="25">
        <v>46084</v>
      </c>
    </row>
    <row r="904" spans="3:10" ht="21" customHeight="1" x14ac:dyDescent="0.25">
      <c r="C904" s="39">
        <v>1853</v>
      </c>
      <c r="D904" s="28">
        <f>IFERROR(VLOOKUP($C904,Tabla_Documentos[],2,FALSE),"")</f>
        <v>46085</v>
      </c>
      <c r="E904" s="34" t="str">
        <f>IFERROR(VLOOKUP($C904,Tabla_Documentos[],3,FALSE),"")</f>
        <v>77363286-3</v>
      </c>
      <c r="F904" s="35" t="str">
        <f>IFERROR(VLOOKUP($C904,Tabla_Documentos[],4,FALSE),"")</f>
        <v>BASSI E HIJOS SPA</v>
      </c>
      <c r="G904" s="38">
        <f>IFERROR(VLOOKUP($C904,Tabla_Documentos[],5,FALSE),"")</f>
        <v>19999</v>
      </c>
      <c r="H904" s="29" t="str">
        <f>IFERROR(VLOOKUP($C904,Tabla_Documentos[],6,FALSE),"")</f>
        <v>PUBLICIDAD</v>
      </c>
      <c r="I904" s="38">
        <f>IFERROR(VLOOKUP($C904,Tabla_Documentos[],5,FALSE),"")</f>
        <v>19999</v>
      </c>
      <c r="J904" s="25">
        <v>46085</v>
      </c>
    </row>
    <row r="905" spans="3:10" ht="21" customHeight="1" x14ac:dyDescent="0.25">
      <c r="C905" s="39">
        <v>1854</v>
      </c>
      <c r="D905" s="28">
        <f>IFERROR(VLOOKUP($C905,Tabla_Documentos[],2,FALSE),"")</f>
        <v>46085</v>
      </c>
      <c r="E905" s="34" t="str">
        <f>IFERROR(VLOOKUP($C905,Tabla_Documentos[],3,FALSE),"")</f>
        <v>76369338-4</v>
      </c>
      <c r="F905" s="35" t="str">
        <f>IFERROR(VLOOKUP($C905,Tabla_Documentos[],4,FALSE),"")</f>
        <v>IACOP INGENIERIA SPA</v>
      </c>
      <c r="G905" s="38">
        <f>IFERROR(VLOOKUP($C905,Tabla_Documentos[],5,FALSE),"")</f>
        <v>202300</v>
      </c>
      <c r="H905" s="29" t="str">
        <f>IFERROR(VLOOKUP($C905,Tabla_Documentos[],6,FALSE),"")</f>
        <v>PUBLICIDAD</v>
      </c>
      <c r="I905" s="38">
        <f>IFERROR(VLOOKUP($C905,Tabla_Documentos[],5,FALSE),"")</f>
        <v>202300</v>
      </c>
      <c r="J905" s="25">
        <v>46085</v>
      </c>
    </row>
    <row r="906" spans="3:10" ht="21" customHeight="1" x14ac:dyDescent="0.25">
      <c r="C906" s="39">
        <v>1855</v>
      </c>
      <c r="D906" s="28">
        <f>IFERROR(VLOOKUP($C906,Tabla_Documentos[],2,FALSE),"")</f>
        <v>46085</v>
      </c>
      <c r="E906" s="34" t="str">
        <f>IFERROR(VLOOKUP($C906,Tabla_Documentos[],3,FALSE),"")</f>
        <v>76744135-5</v>
      </c>
      <c r="F906" s="35" t="str">
        <f>IFERROR(VLOOKUP($C906,Tabla_Documentos[],4,FALSE),"")</f>
        <v>PATAGONIA SERVICIOS SPA</v>
      </c>
      <c r="G906" s="38">
        <f>IFERROR(VLOOKUP($C906,Tabla_Documentos[],5,FALSE),"")</f>
        <v>4760000</v>
      </c>
      <c r="H906" s="29" t="str">
        <f>IFERROR(VLOOKUP($C906,Tabla_Documentos[],6,FALSE),"")</f>
        <v>PUBLICIDAD</v>
      </c>
      <c r="I906" s="38">
        <f>IFERROR(VLOOKUP($C906,Tabla_Documentos[],5,FALSE),"")</f>
        <v>4760000</v>
      </c>
      <c r="J906" s="25">
        <v>46085</v>
      </c>
    </row>
    <row r="907" spans="3:10" ht="21" customHeight="1" x14ac:dyDescent="0.25">
      <c r="C907" s="39">
        <v>1857</v>
      </c>
      <c r="D907" s="28">
        <f>IFERROR(VLOOKUP($C907,Tabla_Documentos[],2,FALSE),"")</f>
        <v>46086</v>
      </c>
      <c r="E907" s="34" t="str">
        <f>IFERROR(VLOOKUP($C907,Tabla_Documentos[],3,FALSE),"")</f>
        <v>76057911-4</v>
      </c>
      <c r="F907" s="35" t="str">
        <f>IFERROR(VLOOKUP($C907,Tabla_Documentos[],4,FALSE),"")</f>
        <v>INVERSIONES CORTES BUSTOS LIMITADA</v>
      </c>
      <c r="G907" s="38">
        <f>IFERROR(VLOOKUP($C907,Tabla_Documentos[],5,FALSE),"")</f>
        <v>47600</v>
      </c>
      <c r="H907" s="29" t="str">
        <f>IFERROR(VLOOKUP($C907,Tabla_Documentos[],6,FALSE),"")</f>
        <v>PUBLICIDAD</v>
      </c>
      <c r="I907" s="38">
        <f>IFERROR(VLOOKUP($C907,Tabla_Documentos[],5,FALSE),"")</f>
        <v>47600</v>
      </c>
      <c r="J907" s="25">
        <v>46086</v>
      </c>
    </row>
    <row r="908" spans="3:10" ht="21" customHeight="1" x14ac:dyDescent="0.25">
      <c r="C908" s="39">
        <v>1858</v>
      </c>
      <c r="D908" s="28">
        <f>IFERROR(VLOOKUP($C908,Tabla_Documentos[],2,FALSE),"")</f>
        <v>46086</v>
      </c>
      <c r="E908" s="34" t="str">
        <f>IFERROR(VLOOKUP($C908,Tabla_Documentos[],3,FALSE),"")</f>
        <v>77187395-2</v>
      </c>
      <c r="F908" s="35" t="str">
        <f>IFERROR(VLOOKUP($C908,Tabla_Documentos[],4,FALSE),"")</f>
        <v>RGP COMPRA Y VENTA DE EXCEDENTES SPA</v>
      </c>
      <c r="G908" s="38">
        <f>IFERROR(VLOOKUP($C908,Tabla_Documentos[],5,FALSE),"")</f>
        <v>40460</v>
      </c>
      <c r="H908" s="29" t="str">
        <f>IFERROR(VLOOKUP($C908,Tabla_Documentos[],6,FALSE),"")</f>
        <v>PUBLICIDAD</v>
      </c>
      <c r="I908" s="38">
        <f>IFERROR(VLOOKUP($C908,Tabla_Documentos[],5,FALSE),"")</f>
        <v>40460</v>
      </c>
      <c r="J908" s="25">
        <v>46086</v>
      </c>
    </row>
    <row r="909" spans="3:10" ht="21" customHeight="1" x14ac:dyDescent="0.25">
      <c r="C909" s="39">
        <v>1859</v>
      </c>
      <c r="D909" s="28">
        <f>IFERROR(VLOOKUP($C909,Tabla_Documentos[],2,FALSE),"")</f>
        <v>46086</v>
      </c>
      <c r="E909" s="34" t="str">
        <f>IFERROR(VLOOKUP($C909,Tabla_Documentos[],3,FALSE),"")</f>
        <v>77549794-7</v>
      </c>
      <c r="F909" s="35" t="str">
        <f>IFERROR(VLOOKUP($C909,Tabla_Documentos[],4,FALSE),"")</f>
        <v>SOCIEDAD COMERCIAL ROMSA SERVICIOS SPA</v>
      </c>
      <c r="G909" s="38">
        <f>IFERROR(VLOOKUP($C909,Tabla_Documentos[],5,FALSE),"")</f>
        <v>34272</v>
      </c>
      <c r="H909" s="29" t="str">
        <f>IFERROR(VLOOKUP($C909,Tabla_Documentos[],6,FALSE),"")</f>
        <v>PUBLICIDAD</v>
      </c>
      <c r="I909" s="38">
        <f>IFERROR(VLOOKUP($C909,Tabla_Documentos[],5,FALSE),"")</f>
        <v>34272</v>
      </c>
      <c r="J909" s="25">
        <v>46086</v>
      </c>
    </row>
    <row r="910" spans="3:10" ht="21" customHeight="1" x14ac:dyDescent="0.25">
      <c r="C910" s="39">
        <v>1860</v>
      </c>
      <c r="D910" s="28">
        <f>IFERROR(VLOOKUP($C910,Tabla_Documentos[],2,FALSE),"")</f>
        <v>46086</v>
      </c>
      <c r="E910" s="34" t="str">
        <f>IFERROR(VLOOKUP($C910,Tabla_Documentos[],3,FALSE),"")</f>
        <v>76227269-5</v>
      </c>
      <c r="F910" s="35" t="str">
        <f>IFERROR(VLOOKUP($C910,Tabla_Documentos[],4,FALSE),"")</f>
        <v>FVP MINING  INDUSTRY SPA</v>
      </c>
      <c r="G910" s="38">
        <f>IFERROR(VLOOKUP($C910,Tabla_Documentos[],5,FALSE),"")</f>
        <v>1453328</v>
      </c>
      <c r="H910" s="29" t="str">
        <f>IFERROR(VLOOKUP($C910,Tabla_Documentos[],6,FALSE),"")</f>
        <v>PUBLICIDAD</v>
      </c>
      <c r="I910" s="38">
        <f>IFERROR(VLOOKUP($C910,Tabla_Documentos[],5,FALSE),"")</f>
        <v>1453328</v>
      </c>
      <c r="J910" s="25">
        <v>46086</v>
      </c>
    </row>
    <row r="911" spans="3:10" ht="21" customHeight="1" x14ac:dyDescent="0.25">
      <c r="C911" s="39">
        <v>1861</v>
      </c>
      <c r="D911" s="28">
        <f>IFERROR(VLOOKUP($C911,Tabla_Documentos[],2,FALSE),"")</f>
        <v>46087</v>
      </c>
      <c r="E911" s="34" t="str">
        <f>IFERROR(VLOOKUP($C911,Tabla_Documentos[],3,FALSE),"")</f>
        <v>76346498-9</v>
      </c>
      <c r="F911" s="35" t="str">
        <f>IFERROR(VLOOKUP($C911,Tabla_Documentos[],4,FALSE),"")</f>
        <v>CONSTRUCTORA CARLOS ALBERTO ANDRES ALBISTUR REYES E.I.R.L.</v>
      </c>
      <c r="G911" s="38">
        <f>IFERROR(VLOOKUP($C911,Tabla_Documentos[],5,FALSE),"")</f>
        <v>171360</v>
      </c>
      <c r="H911" s="29" t="str">
        <f>IFERROR(VLOOKUP($C911,Tabla_Documentos[],6,FALSE),"")</f>
        <v>PUBLICIDAD</v>
      </c>
      <c r="I911" s="38">
        <f>IFERROR(VLOOKUP($C911,Tabla_Documentos[],5,FALSE),"")</f>
        <v>171360</v>
      </c>
      <c r="J911" s="25">
        <v>46087</v>
      </c>
    </row>
    <row r="912" spans="3:10" ht="21" customHeight="1" x14ac:dyDescent="0.25">
      <c r="C912" s="39">
        <v>1862</v>
      </c>
      <c r="D912" s="28">
        <f>IFERROR(VLOOKUP($C912,Tabla_Documentos[],2,FALSE),"")</f>
        <v>46087</v>
      </c>
      <c r="E912" s="34" t="str">
        <f>IFERROR(VLOOKUP($C912,Tabla_Documentos[],3,FALSE),"")</f>
        <v>78139819-5</v>
      </c>
      <c r="F912" s="35" t="str">
        <f>IFERROR(VLOOKUP($C912,Tabla_Documentos[],4,FALSE),"")</f>
        <v>ADIXION SPA</v>
      </c>
      <c r="G912" s="38">
        <f>IFERROR(VLOOKUP($C912,Tabla_Documentos[],5,FALSE),"")</f>
        <v>164220</v>
      </c>
      <c r="H912" s="29" t="str">
        <f>IFERROR(VLOOKUP($C912,Tabla_Documentos[],6,FALSE),"")</f>
        <v>PUBLICIDAD</v>
      </c>
      <c r="I912" s="38">
        <f>IFERROR(VLOOKUP($C912,Tabla_Documentos[],5,FALSE),"")</f>
        <v>164220</v>
      </c>
      <c r="J912" s="25">
        <v>46087</v>
      </c>
    </row>
    <row r="913" spans="3:10" ht="21" customHeight="1" x14ac:dyDescent="0.25">
      <c r="C913" s="39">
        <v>1863</v>
      </c>
      <c r="D913" s="28">
        <f>IFERROR(VLOOKUP($C913,Tabla_Documentos[],2,FALSE),"")</f>
        <v>46087</v>
      </c>
      <c r="E913" s="34" t="str">
        <f>IFERROR(VLOOKUP($C913,Tabla_Documentos[],3,FALSE),"")</f>
        <v>76160003-6</v>
      </c>
      <c r="F913" s="35" t="str">
        <f>IFERROR(VLOOKUP($C913,Tabla_Documentos[],4,FALSE),"")</f>
        <v>VALENZUELA Y VALENZUELA LIMITADA,</v>
      </c>
      <c r="G913" s="38">
        <f>IFERROR(VLOOKUP($C913,Tabla_Documentos[],5,FALSE),"")</f>
        <v>107100</v>
      </c>
      <c r="H913" s="29" t="str">
        <f>IFERROR(VLOOKUP($C913,Tabla_Documentos[],6,FALSE),"")</f>
        <v>PUBLICIDAD</v>
      </c>
      <c r="I913" s="38">
        <f>IFERROR(VLOOKUP($C913,Tabla_Documentos[],5,FALSE),"")</f>
        <v>107100</v>
      </c>
      <c r="J913" s="25">
        <v>46087</v>
      </c>
    </row>
    <row r="914" spans="3:10" ht="21" customHeight="1" x14ac:dyDescent="0.25">
      <c r="C914" s="39">
        <v>1864</v>
      </c>
      <c r="D914" s="28">
        <f>IFERROR(VLOOKUP($C914,Tabla_Documentos[],2,FALSE),"")</f>
        <v>46087</v>
      </c>
      <c r="E914" s="34" t="str">
        <f>IFERROR(VLOOKUP($C914,Tabla_Documentos[],3,FALSE),"")</f>
        <v>76953805-4</v>
      </c>
      <c r="F914" s="35" t="str">
        <f>IFERROR(VLOOKUP($C914,Tabla_Documentos[],4,FALSE),"")</f>
        <v>SERVICIOS MONTENEGRO SPA</v>
      </c>
      <c r="G914" s="38">
        <f>IFERROR(VLOOKUP($C914,Tabla_Documentos[],5,FALSE),"")</f>
        <v>71400</v>
      </c>
      <c r="H914" s="29" t="str">
        <f>IFERROR(VLOOKUP($C914,Tabla_Documentos[],6,FALSE),"")</f>
        <v>PUBLICIDAD</v>
      </c>
      <c r="I914" s="38">
        <f>IFERROR(VLOOKUP($C914,Tabla_Documentos[],5,FALSE),"")</f>
        <v>71400</v>
      </c>
      <c r="J914" s="25">
        <v>46087</v>
      </c>
    </row>
    <row r="915" spans="3:10" ht="21" customHeight="1" x14ac:dyDescent="0.25">
      <c r="C915" s="39">
        <v>1868</v>
      </c>
      <c r="D915" s="28">
        <f>IFERROR(VLOOKUP($C915,Tabla_Documentos[],2,FALSE),"")</f>
        <v>46087</v>
      </c>
      <c r="E915" s="34" t="str">
        <f>IFERROR(VLOOKUP($C915,Tabla_Documentos[],3,FALSE),"")</f>
        <v>77672701-6</v>
      </c>
      <c r="F915" s="35" t="str">
        <f>IFERROR(VLOOKUP($C915,Tabla_Documentos[],4,FALSE),"")</f>
        <v>INGENIO SPA</v>
      </c>
      <c r="G915" s="38">
        <f>IFERROR(VLOOKUP($C915,Tabla_Documentos[],5,FALSE),"")</f>
        <v>107814</v>
      </c>
      <c r="H915" s="29" t="str">
        <f>IFERROR(VLOOKUP($C915,Tabla_Documentos[],6,FALSE),"")</f>
        <v>PUBLICIDAD</v>
      </c>
      <c r="I915" s="38">
        <f>IFERROR(VLOOKUP($C915,Tabla_Documentos[],5,FALSE),"")</f>
        <v>107814</v>
      </c>
      <c r="J915" s="25">
        <v>46087</v>
      </c>
    </row>
    <row r="916" spans="3:10" ht="21" customHeight="1" x14ac:dyDescent="0.25">
      <c r="C916" s="39">
        <v>1869</v>
      </c>
      <c r="D916" s="28">
        <f>IFERROR(VLOOKUP($C916,Tabla_Documentos[],2,FALSE),"")</f>
        <v>46087</v>
      </c>
      <c r="E916" s="34" t="str">
        <f>IFERROR(VLOOKUP($C916,Tabla_Documentos[],3,FALSE),"")</f>
        <v>77758444-8</v>
      </c>
      <c r="F916" s="35" t="str">
        <f>IFERROR(VLOOKUP($C916,Tabla_Documentos[],4,FALSE),"")</f>
        <v>TRANSPORTE DOBLE C SPA</v>
      </c>
      <c r="G916" s="38">
        <f>IFERROR(VLOOKUP($C916,Tabla_Documentos[],5,FALSE),"")</f>
        <v>442680</v>
      </c>
      <c r="H916" s="29" t="str">
        <f>IFERROR(VLOOKUP($C916,Tabla_Documentos[],6,FALSE),"")</f>
        <v>PUBLICIDAD</v>
      </c>
      <c r="I916" s="38">
        <f>IFERROR(VLOOKUP($C916,Tabla_Documentos[],5,FALSE),"")</f>
        <v>442680</v>
      </c>
      <c r="J916" s="25">
        <v>46087</v>
      </c>
    </row>
    <row r="917" spans="3:10" ht="21" customHeight="1" x14ac:dyDescent="0.25">
      <c r="C917" s="39">
        <v>1871</v>
      </c>
      <c r="D917" s="28">
        <f>IFERROR(VLOOKUP($C917,Tabla_Documentos[],2,FALSE),"")</f>
        <v>46090</v>
      </c>
      <c r="E917" s="34" t="str">
        <f>IFERROR(VLOOKUP($C917,Tabla_Documentos[],3,FALSE),"")</f>
        <v>76369338-4</v>
      </c>
      <c r="F917" s="35" t="str">
        <f>IFERROR(VLOOKUP($C917,Tabla_Documentos[],4,FALSE),"")</f>
        <v>IACOP INGENIERIA SPA</v>
      </c>
      <c r="G917" s="38">
        <f>IFERROR(VLOOKUP($C917,Tabla_Documentos[],5,FALSE),"")</f>
        <v>404600</v>
      </c>
      <c r="H917" s="29" t="str">
        <f>IFERROR(VLOOKUP($C917,Tabla_Documentos[],6,FALSE),"")</f>
        <v>PUBLICIDAD</v>
      </c>
      <c r="I917" s="38">
        <f>IFERROR(VLOOKUP($C917,Tabla_Documentos[],5,FALSE),"")</f>
        <v>404600</v>
      </c>
      <c r="J917" s="25">
        <v>46090</v>
      </c>
    </row>
    <row r="918" spans="3:10" ht="21" customHeight="1" x14ac:dyDescent="0.25">
      <c r="C918" s="39">
        <v>1872</v>
      </c>
      <c r="D918" s="28">
        <f>IFERROR(VLOOKUP($C918,Tabla_Documentos[],2,FALSE),"")</f>
        <v>46090</v>
      </c>
      <c r="E918" s="34" t="str">
        <f>IFERROR(VLOOKUP($C918,Tabla_Documentos[],3,FALSE),"")</f>
        <v>77126836-6</v>
      </c>
      <c r="F918" s="35" t="str">
        <f>IFERROR(VLOOKUP($C918,Tabla_Documentos[],4,FALSE),"")</f>
        <v>CONSTRUCCIÃ“N Y SERVICIOS VARACE SPA</v>
      </c>
      <c r="G918" s="38">
        <f>IFERROR(VLOOKUP($C918,Tabla_Documentos[],5,FALSE),"")</f>
        <v>142800</v>
      </c>
      <c r="H918" s="29" t="str">
        <f>IFERROR(VLOOKUP($C918,Tabla_Documentos[],6,FALSE),"")</f>
        <v>PUBLICIDAD</v>
      </c>
      <c r="I918" s="38">
        <f>IFERROR(VLOOKUP($C918,Tabla_Documentos[],5,FALSE),"")</f>
        <v>142800</v>
      </c>
      <c r="J918" s="25">
        <v>46090</v>
      </c>
    </row>
    <row r="919" spans="3:10" ht="21" customHeight="1" x14ac:dyDescent="0.25">
      <c r="C919" s="39">
        <v>1873</v>
      </c>
      <c r="D919" s="28">
        <f>IFERROR(VLOOKUP($C919,Tabla_Documentos[],2,FALSE),"")</f>
        <v>46090</v>
      </c>
      <c r="E919" s="34" t="str">
        <f>IFERROR(VLOOKUP($C919,Tabla_Documentos[],3,FALSE),"")</f>
        <v>78153465-K</v>
      </c>
      <c r="F919" s="35" t="str">
        <f>IFERROR(VLOOKUP($C919,Tabla_Documentos[],4,FALSE),"")</f>
        <v>POLARI SPA</v>
      </c>
      <c r="G919" s="38">
        <f>IFERROR(VLOOKUP($C919,Tabla_Documentos[],5,FALSE),"")</f>
        <v>649999</v>
      </c>
      <c r="H919" s="29" t="str">
        <f>IFERROR(VLOOKUP($C919,Tabla_Documentos[],6,FALSE),"")</f>
        <v>PUBLICIDAD</v>
      </c>
      <c r="I919" s="38">
        <f>IFERROR(VLOOKUP($C919,Tabla_Documentos[],5,FALSE),"")</f>
        <v>649999</v>
      </c>
      <c r="J919" s="25">
        <v>46090</v>
      </c>
    </row>
    <row r="920" spans="3:10" ht="21" customHeight="1" x14ac:dyDescent="0.25">
      <c r="C920" s="39">
        <v>1874</v>
      </c>
      <c r="D920" s="28">
        <f>IFERROR(VLOOKUP($C920,Tabla_Documentos[],2,FALSE),"")</f>
        <v>46091</v>
      </c>
      <c r="E920" s="34" t="str">
        <f>IFERROR(VLOOKUP($C920,Tabla_Documentos[],3,FALSE),"")</f>
        <v>77672701-6</v>
      </c>
      <c r="F920" s="35" t="str">
        <f>IFERROR(VLOOKUP($C920,Tabla_Documentos[],4,FALSE),"")</f>
        <v>INGENIO SPA</v>
      </c>
      <c r="G920" s="38">
        <f>IFERROR(VLOOKUP($C920,Tabla_Documentos[],5,FALSE),"")</f>
        <v>49266</v>
      </c>
      <c r="H920" s="29" t="str">
        <f>IFERROR(VLOOKUP($C920,Tabla_Documentos[],6,FALSE),"")</f>
        <v>PUBLICIDAD</v>
      </c>
      <c r="I920" s="38">
        <f>IFERROR(VLOOKUP($C920,Tabla_Documentos[],5,FALSE),"")</f>
        <v>49266</v>
      </c>
      <c r="J920" s="25">
        <v>46091</v>
      </c>
    </row>
    <row r="921" spans="3:10" ht="21" customHeight="1" x14ac:dyDescent="0.25">
      <c r="C921" s="39">
        <v>1875</v>
      </c>
      <c r="D921" s="28">
        <f>IFERROR(VLOOKUP($C921,Tabla_Documentos[],2,FALSE),"")</f>
        <v>46091</v>
      </c>
      <c r="E921" s="34" t="str">
        <f>IFERROR(VLOOKUP($C921,Tabla_Documentos[],3,FALSE),"")</f>
        <v>77672701-6</v>
      </c>
      <c r="F921" s="35" t="str">
        <f>IFERROR(VLOOKUP($C921,Tabla_Documentos[],4,FALSE),"")</f>
        <v>INGENIO SPA</v>
      </c>
      <c r="G921" s="38">
        <f>IFERROR(VLOOKUP($C921,Tabla_Documentos[],5,FALSE),"")</f>
        <v>95200</v>
      </c>
      <c r="H921" s="29" t="str">
        <f>IFERROR(VLOOKUP($C921,Tabla_Documentos[],6,FALSE),"")</f>
        <v>PUBLICIDAD</v>
      </c>
      <c r="I921" s="38">
        <f>IFERROR(VLOOKUP($C921,Tabla_Documentos[],5,FALSE),"")</f>
        <v>95200</v>
      </c>
      <c r="J921" s="25">
        <v>46091</v>
      </c>
    </row>
    <row r="922" spans="3:10" ht="21" customHeight="1" x14ac:dyDescent="0.25">
      <c r="C922" s="39">
        <v>1876</v>
      </c>
      <c r="D922" s="28">
        <f>IFERROR(VLOOKUP($C922,Tabla_Documentos[],2,FALSE),"")</f>
        <v>46091</v>
      </c>
      <c r="E922" s="34" t="str">
        <f>IFERROR(VLOOKUP($C922,Tabla_Documentos[],3,FALSE),"")</f>
        <v>78038686-K</v>
      </c>
      <c r="F922" s="35" t="str">
        <f>IFERROR(VLOOKUP($C922,Tabla_Documentos[],4,FALSE),"")</f>
        <v>SERVICIOS INTEGRALES DEL VALLE SPA</v>
      </c>
      <c r="G922" s="38">
        <f>IFERROR(VLOOKUP($C922,Tabla_Documentos[],5,FALSE),"")</f>
        <v>142800</v>
      </c>
      <c r="H922" s="29" t="str">
        <f>IFERROR(VLOOKUP($C922,Tabla_Documentos[],6,FALSE),"")</f>
        <v>PUBLICIDAD</v>
      </c>
      <c r="I922" s="38">
        <f>IFERROR(VLOOKUP($C922,Tabla_Documentos[],5,FALSE),"")</f>
        <v>142800</v>
      </c>
      <c r="J922" s="25">
        <v>46091</v>
      </c>
    </row>
    <row r="923" spans="3:10" ht="21" customHeight="1" x14ac:dyDescent="0.25">
      <c r="C923" s="39">
        <v>1878</v>
      </c>
      <c r="D923" s="28">
        <f>IFERROR(VLOOKUP($C923,Tabla_Documentos[],2,FALSE),"")</f>
        <v>46091</v>
      </c>
      <c r="E923" s="34" t="str">
        <f>IFERROR(VLOOKUP($C923,Tabla_Documentos[],3,FALSE),"")</f>
        <v>77158633-3</v>
      </c>
      <c r="F923" s="35" t="str">
        <f>IFERROR(VLOOKUP($C923,Tabla_Documentos[],4,FALSE),"")</f>
        <v>PEREIRA RENTAL Y SERVICIOS INDUSTRIALES SPA</v>
      </c>
      <c r="G923" s="38">
        <f>IFERROR(VLOOKUP($C923,Tabla_Documentos[],5,FALSE),"")</f>
        <v>71400</v>
      </c>
      <c r="H923" s="29" t="str">
        <f>IFERROR(VLOOKUP($C923,Tabla_Documentos[],6,FALSE),"")</f>
        <v>PUBLICIDAD</v>
      </c>
      <c r="I923" s="38">
        <f>IFERROR(VLOOKUP($C923,Tabla_Documentos[],5,FALSE),"")</f>
        <v>71400</v>
      </c>
      <c r="J923" s="25">
        <v>46091</v>
      </c>
    </row>
    <row r="924" spans="3:10" ht="21" customHeight="1" x14ac:dyDescent="0.25">
      <c r="C924" s="39">
        <v>1880</v>
      </c>
      <c r="D924" s="28">
        <f>IFERROR(VLOOKUP($C924,Tabla_Documentos[],2,FALSE),"")</f>
        <v>46092</v>
      </c>
      <c r="E924" s="34" t="str">
        <f>IFERROR(VLOOKUP($C924,Tabla_Documentos[],3,FALSE),"")</f>
        <v>8849558-6</v>
      </c>
      <c r="F924" s="35" t="str">
        <f>IFERROR(VLOOKUP($C924,Tabla_Documentos[],4,FALSE),"")</f>
        <v>MARIELA ELIZABETH ALVAREZ MORENO</v>
      </c>
      <c r="G924" s="38">
        <f>IFERROR(VLOOKUP($C924,Tabla_Documentos[],5,FALSE),"")</f>
        <v>23800</v>
      </c>
      <c r="H924" s="29" t="str">
        <f>IFERROR(VLOOKUP($C924,Tabla_Documentos[],6,FALSE),"")</f>
        <v>PUBLICIDAD</v>
      </c>
      <c r="I924" s="38">
        <f>IFERROR(VLOOKUP($C924,Tabla_Documentos[],5,FALSE),"")</f>
        <v>23800</v>
      </c>
      <c r="J924" s="25">
        <v>46092</v>
      </c>
    </row>
    <row r="925" spans="3:10" ht="21" customHeight="1" x14ac:dyDescent="0.25">
      <c r="C925" s="39">
        <v>1881</v>
      </c>
      <c r="D925" s="28">
        <f>IFERROR(VLOOKUP($C925,Tabla_Documentos[],2,FALSE),"")</f>
        <v>46092</v>
      </c>
      <c r="E925" s="34" t="str">
        <f>IFERROR(VLOOKUP($C925,Tabla_Documentos[],3,FALSE),"")</f>
        <v>77511008-2</v>
      </c>
      <c r="F925" s="35" t="str">
        <f>IFERROR(VLOOKUP($C925,Tabla_Documentos[],4,FALSE),"")</f>
        <v>MULTISERVICIOS SANABRIA SPA</v>
      </c>
      <c r="G925" s="38">
        <f>IFERROR(VLOOKUP($C925,Tabla_Documentos[],5,FALSE),"")</f>
        <v>131719</v>
      </c>
      <c r="H925" s="29" t="str">
        <f>IFERROR(VLOOKUP($C925,Tabla_Documentos[],6,FALSE),"")</f>
        <v>PUBLICIDAD</v>
      </c>
      <c r="I925" s="38">
        <f>IFERROR(VLOOKUP($C925,Tabla_Documentos[],5,FALSE),"")</f>
        <v>131719</v>
      </c>
      <c r="J925" s="25">
        <v>46092</v>
      </c>
    </row>
    <row r="926" spans="3:10" ht="21" customHeight="1" x14ac:dyDescent="0.25">
      <c r="C926" s="39">
        <v>1882</v>
      </c>
      <c r="D926" s="28">
        <f>IFERROR(VLOOKUP($C926,Tabla_Documentos[],2,FALSE),"")</f>
        <v>46092</v>
      </c>
      <c r="E926" s="34" t="str">
        <f>IFERROR(VLOOKUP($C926,Tabla_Documentos[],3,FALSE),"")</f>
        <v>77549794-7</v>
      </c>
      <c r="F926" s="35" t="str">
        <f>IFERROR(VLOOKUP($C926,Tabla_Documentos[],4,FALSE),"")</f>
        <v>SOCIEDAD COMERCIAL ROMSA SERVICIOS SPA</v>
      </c>
      <c r="G926" s="38">
        <f>IFERROR(VLOOKUP($C926,Tabla_Documentos[],5,FALSE),"")</f>
        <v>102578</v>
      </c>
      <c r="H926" s="29" t="str">
        <f>IFERROR(VLOOKUP($C926,Tabla_Documentos[],6,FALSE),"")</f>
        <v>PUBLICIDAD</v>
      </c>
      <c r="I926" s="38">
        <f>IFERROR(VLOOKUP($C926,Tabla_Documentos[],5,FALSE),"")</f>
        <v>102578</v>
      </c>
      <c r="J926" s="25">
        <v>46092</v>
      </c>
    </row>
    <row r="927" spans="3:10" ht="21" customHeight="1" x14ac:dyDescent="0.25">
      <c r="C927" s="39">
        <v>1883</v>
      </c>
      <c r="D927" s="28">
        <f>IFERROR(VLOOKUP($C927,Tabla_Documentos[],2,FALSE),"")</f>
        <v>46093</v>
      </c>
      <c r="E927" s="34" t="str">
        <f>IFERROR(VLOOKUP($C927,Tabla_Documentos[],3,FALSE),"")</f>
        <v>78028700-4</v>
      </c>
      <c r="F927" s="35" t="str">
        <f>IFERROR(VLOOKUP($C927,Tabla_Documentos[],4,FALSE),"")</f>
        <v>INGENIERIA, PROYECTOS Y MONTAJES PROPAMAT SPA</v>
      </c>
      <c r="G927" s="38">
        <f>IFERROR(VLOOKUP($C927,Tabla_Documentos[],5,FALSE),"")</f>
        <v>123760</v>
      </c>
      <c r="H927" s="29" t="str">
        <f>IFERROR(VLOOKUP($C927,Tabla_Documentos[],6,FALSE),"")</f>
        <v>PUBLICIDAD</v>
      </c>
      <c r="I927" s="38">
        <f>IFERROR(VLOOKUP($C927,Tabla_Documentos[],5,FALSE),"")</f>
        <v>123760</v>
      </c>
      <c r="J927" s="25">
        <v>46093</v>
      </c>
    </row>
    <row r="928" spans="3:10" ht="21" customHeight="1" x14ac:dyDescent="0.25">
      <c r="C928" s="39">
        <v>1884</v>
      </c>
      <c r="D928" s="28">
        <f>IFERROR(VLOOKUP($C928,Tabla_Documentos[],2,FALSE),"")</f>
        <v>46093</v>
      </c>
      <c r="E928" s="34" t="str">
        <f>IFERROR(VLOOKUP($C928,Tabla_Documentos[],3,FALSE),"")</f>
        <v>77549794-7</v>
      </c>
      <c r="F928" s="35" t="str">
        <f>IFERROR(VLOOKUP($C928,Tabla_Documentos[],4,FALSE),"")</f>
        <v>SOCIEDAD COMERCIAL ROMSA SERVICIOS SPA</v>
      </c>
      <c r="G928" s="38">
        <f>IFERROR(VLOOKUP($C928,Tabla_Documentos[],5,FALSE),"")</f>
        <v>61404</v>
      </c>
      <c r="H928" s="29" t="str">
        <f>IFERROR(VLOOKUP($C928,Tabla_Documentos[],6,FALSE),"")</f>
        <v>PUBLICIDAD</v>
      </c>
      <c r="I928" s="38">
        <f>IFERROR(VLOOKUP($C928,Tabla_Documentos[],5,FALSE),"")</f>
        <v>61404</v>
      </c>
      <c r="J928" s="25">
        <v>46093</v>
      </c>
    </row>
    <row r="929" spans="3:10" ht="21" customHeight="1" x14ac:dyDescent="0.25">
      <c r="C929" s="39">
        <v>1886</v>
      </c>
      <c r="D929" s="28">
        <f>IFERROR(VLOOKUP($C929,Tabla_Documentos[],2,FALSE),"")</f>
        <v>46094</v>
      </c>
      <c r="E929" s="34" t="str">
        <f>IFERROR(VLOOKUP($C929,Tabla_Documentos[],3,FALSE),"")</f>
        <v>78028700-4</v>
      </c>
      <c r="F929" s="35" t="str">
        <f>IFERROR(VLOOKUP($C929,Tabla_Documentos[],4,FALSE),"")</f>
        <v>INGENIERIA, PROYECTOS Y MONTAJES PROPAMAT SPA</v>
      </c>
      <c r="G929" s="38">
        <f>IFERROR(VLOOKUP($C929,Tabla_Documentos[],5,FALSE),"")</f>
        <v>29750</v>
      </c>
      <c r="H929" s="29" t="str">
        <f>IFERROR(VLOOKUP($C929,Tabla_Documentos[],6,FALSE),"")</f>
        <v>PUBLICIDAD</v>
      </c>
      <c r="I929" s="38">
        <f>IFERROR(VLOOKUP($C929,Tabla_Documentos[],5,FALSE),"")</f>
        <v>29750</v>
      </c>
      <c r="J929" s="25">
        <v>46094</v>
      </c>
    </row>
    <row r="930" spans="3:10" ht="21" customHeight="1" x14ac:dyDescent="0.25">
      <c r="C930" s="39">
        <v>1887</v>
      </c>
      <c r="D930" s="28">
        <f>IFERROR(VLOOKUP($C930,Tabla_Documentos[],2,FALSE),"")</f>
        <v>46095</v>
      </c>
      <c r="E930" s="34" t="str">
        <f>IFERROR(VLOOKUP($C930,Tabla_Documentos[],3,FALSE),"")</f>
        <v>78028700-4</v>
      </c>
      <c r="F930" s="35" t="str">
        <f>IFERROR(VLOOKUP($C930,Tabla_Documentos[],4,FALSE),"")</f>
        <v>INGENIERIA, PROYECTOS Y MONTAJES PROPAMAT SPA</v>
      </c>
      <c r="G930" s="38">
        <f>IFERROR(VLOOKUP($C930,Tabla_Documentos[],5,FALSE),"")</f>
        <v>29750</v>
      </c>
      <c r="H930" s="29" t="str">
        <f>IFERROR(VLOOKUP($C930,Tabla_Documentos[],6,FALSE),"")</f>
        <v>PUBLICIDAD</v>
      </c>
      <c r="I930" s="38">
        <f>IFERROR(VLOOKUP($C930,Tabla_Documentos[],5,FALSE),"")</f>
        <v>29750</v>
      </c>
      <c r="J930" s="25">
        <v>46095</v>
      </c>
    </row>
    <row r="931" spans="3:10" ht="21" customHeight="1" x14ac:dyDescent="0.25">
      <c r="C931" s="39">
        <v>1688</v>
      </c>
      <c r="D931" s="28">
        <f>IFERROR(VLOOKUP($C931,Tabla_Documentos[],2,FALSE),"")</f>
        <v>46022</v>
      </c>
      <c r="E931" s="34" t="str">
        <f>IFERROR(VLOOKUP($C931,Tabla_Documentos[],3,FALSE),"")</f>
        <v>77382153-4</v>
      </c>
      <c r="F931" s="35" t="str">
        <f>IFERROR(VLOOKUP($C931,Tabla_Documentos[],4,FALSE),"")</f>
        <v>AUCAN LOGISTIC SPA</v>
      </c>
      <c r="G931" s="38">
        <f>IFERROR(VLOOKUP($C931,Tabla_Documentos[],5,FALSE),"")</f>
        <v>5429970</v>
      </c>
      <c r="H931" s="29" t="str">
        <f>IFERROR(VLOOKUP($C931,Tabla_Documentos[],6,FALSE),"")</f>
        <v>PUBLICIDAD</v>
      </c>
      <c r="I931" s="38">
        <f>IFERROR(VLOOKUP($C931,Tabla_Documentos[],5,FALSE),"")</f>
        <v>5429970</v>
      </c>
      <c r="J931" s="25">
        <v>46022</v>
      </c>
    </row>
    <row r="932" spans="3:10" ht="21" customHeight="1" x14ac:dyDescent="0.25">
      <c r="C932" s="39">
        <v>1889</v>
      </c>
      <c r="D932" s="28">
        <f>IFERROR(VLOOKUP($C932,Tabla_Documentos[],2,FALSE),"")</f>
        <v>46097</v>
      </c>
      <c r="E932" s="34" t="str">
        <f>IFERROR(VLOOKUP($C932,Tabla_Documentos[],3,FALSE),"")</f>
        <v>8264829-1</v>
      </c>
      <c r="F932" s="35" t="str">
        <f>IFERROR(VLOOKUP($C932,Tabla_Documentos[],4,FALSE),"")</f>
        <v>RODOLFO HUMBERTO TAMBLAY CAMPILLAY</v>
      </c>
      <c r="G932" s="38">
        <f>IFERROR(VLOOKUP($C932,Tabla_Documentos[],5,FALSE),"")</f>
        <v>428400</v>
      </c>
      <c r="H932" s="29" t="str">
        <f>IFERROR(VLOOKUP($C932,Tabla_Documentos[],6,FALSE),"")</f>
        <v>PUBLICIDAD</v>
      </c>
      <c r="I932" s="38">
        <f>IFERROR(VLOOKUP($C932,Tabla_Documentos[],5,FALSE),"")</f>
        <v>428400</v>
      </c>
      <c r="J932" s="25">
        <v>46097</v>
      </c>
    </row>
    <row r="933" spans="3:10" ht="21" customHeight="1" x14ac:dyDescent="0.25">
      <c r="C933" s="39">
        <v>1898</v>
      </c>
      <c r="D933" s="28">
        <f>IFERROR(VLOOKUP($C933,Tabla_Documentos[],2,FALSE),"")</f>
        <v>46097</v>
      </c>
      <c r="E933" s="34" t="str">
        <f>IFERROR(VLOOKUP($C933,Tabla_Documentos[],3,FALSE),"")</f>
        <v>11189165-6</v>
      </c>
      <c r="F933" s="35" t="str">
        <f>IFERROR(VLOOKUP($C933,Tabla_Documentos[],4,FALSE),"")</f>
        <v>PATRICIO ORLANDO OSORIO RIVERA</v>
      </c>
      <c r="G933" s="38">
        <f>IFERROR(VLOOKUP($C933,Tabla_Documentos[],5,FALSE),"")</f>
        <v>142800</v>
      </c>
      <c r="H933" s="29" t="str">
        <f>IFERROR(VLOOKUP($C933,Tabla_Documentos[],6,FALSE),"")</f>
        <v>PUBLICIDAD</v>
      </c>
      <c r="I933" s="38">
        <f>IFERROR(VLOOKUP($C933,Tabla_Documentos[],5,FALSE),"")</f>
        <v>142800</v>
      </c>
      <c r="J933" s="25">
        <v>46097</v>
      </c>
    </row>
    <row r="934" spans="3:10" ht="21" customHeight="1" x14ac:dyDescent="0.25">
      <c r="C934" s="39">
        <v>1899</v>
      </c>
      <c r="D934" s="28">
        <f>IFERROR(VLOOKUP($C934,Tabla_Documentos[],2,FALSE),"")</f>
        <v>46098</v>
      </c>
      <c r="E934" s="34" t="str">
        <f>IFERROR(VLOOKUP($C934,Tabla_Documentos[],3,FALSE),"")</f>
        <v>76380941-2</v>
      </c>
      <c r="F934" s="35" t="str">
        <f>IFERROR(VLOOKUP($C934,Tabla_Documentos[],4,FALSE),"")</f>
        <v>TILSECO SERVICIOS ELECTRICOS CHILE SPA</v>
      </c>
      <c r="G934" s="38">
        <f>IFERROR(VLOOKUP($C934,Tabla_Documentos[],5,FALSE),"")</f>
        <v>1244740</v>
      </c>
      <c r="H934" s="29" t="str">
        <f>IFERROR(VLOOKUP($C934,Tabla_Documentos[],6,FALSE),"")</f>
        <v>PUBLICIDAD</v>
      </c>
      <c r="I934" s="38">
        <f>IFERROR(VLOOKUP($C934,Tabla_Documentos[],5,FALSE),"")</f>
        <v>1244740</v>
      </c>
      <c r="J934" s="25">
        <v>46098</v>
      </c>
    </row>
    <row r="935" spans="3:10" ht="21" customHeight="1" x14ac:dyDescent="0.25">
      <c r="C935" s="39">
        <v>1902</v>
      </c>
      <c r="D935" s="28">
        <f>IFERROR(VLOOKUP($C935,Tabla_Documentos[],2,FALSE),"")</f>
        <v>46099</v>
      </c>
      <c r="E935" s="34" t="str">
        <f>IFERROR(VLOOKUP($C935,Tabla_Documentos[],3,FALSE),"")</f>
        <v>15017794-4</v>
      </c>
      <c r="F935" s="35" t="str">
        <f>IFERROR(VLOOKUP($C935,Tabla_Documentos[],4,FALSE),"")</f>
        <v>LESLY PATRICIA ALVAREZ ZEPEDA</v>
      </c>
      <c r="G935" s="38">
        <f>IFERROR(VLOOKUP($C935,Tabla_Documentos[],5,FALSE),"")</f>
        <v>200000</v>
      </c>
      <c r="H935" s="29" t="str">
        <f>IFERROR(VLOOKUP($C935,Tabla_Documentos[],6,FALSE),"")</f>
        <v>PUBLICIDAD</v>
      </c>
      <c r="I935" s="38">
        <f>IFERROR(VLOOKUP($C935,Tabla_Documentos[],5,FALSE),"")</f>
        <v>200000</v>
      </c>
      <c r="J935" s="25">
        <v>46099</v>
      </c>
    </row>
    <row r="936" spans="3:10" ht="21" customHeight="1" x14ac:dyDescent="0.25">
      <c r="C936" s="39">
        <v>1903</v>
      </c>
      <c r="D936" s="28">
        <f>IFERROR(VLOOKUP($C936,Tabla_Documentos[],2,FALSE),"")</f>
        <v>46099</v>
      </c>
      <c r="E936" s="34" t="str">
        <f>IFERROR(VLOOKUP($C936,Tabla_Documentos[],3,FALSE),"")</f>
        <v>77520219-K</v>
      </c>
      <c r="F936" s="35" t="str">
        <f>IFERROR(VLOOKUP($C936,Tabla_Documentos[],4,FALSE),"")</f>
        <v>AILUV SPA</v>
      </c>
      <c r="G936" s="38">
        <f>IFERROR(VLOOKUP($C936,Tabla_Documentos[],5,FALSE),"")</f>
        <v>249900</v>
      </c>
      <c r="H936" s="29" t="str">
        <f>IFERROR(VLOOKUP($C936,Tabla_Documentos[],6,FALSE),"")</f>
        <v>PUBLICIDAD</v>
      </c>
      <c r="I936" s="38">
        <f>IFERROR(VLOOKUP($C936,Tabla_Documentos[],5,FALSE),"")</f>
        <v>249900</v>
      </c>
      <c r="J936" s="25">
        <v>46099</v>
      </c>
    </row>
    <row r="937" spans="3:10" ht="21" customHeight="1" x14ac:dyDescent="0.25">
      <c r="C937" s="39">
        <v>1904</v>
      </c>
      <c r="D937" s="28">
        <f>IFERROR(VLOOKUP($C937,Tabla_Documentos[],2,FALSE),"")</f>
        <v>46100</v>
      </c>
      <c r="E937" s="34" t="str">
        <f>IFERROR(VLOOKUP($C937,Tabla_Documentos[],3,FALSE),"")</f>
        <v>76680253-2</v>
      </c>
      <c r="F937" s="35" t="str">
        <f>IFERROR(VLOOKUP($C937,Tabla_Documentos[],4,FALSE),"")</f>
        <v>NORTHFITT SPA</v>
      </c>
      <c r="G937" s="38">
        <f>IFERROR(VLOOKUP($C937,Tabla_Documentos[],5,FALSE),"")</f>
        <v>428400</v>
      </c>
      <c r="H937" s="29" t="str">
        <f>IFERROR(VLOOKUP($C937,Tabla_Documentos[],6,FALSE),"")</f>
        <v>PUBLICIDAD</v>
      </c>
      <c r="I937" s="38">
        <f>IFERROR(VLOOKUP($C937,Tabla_Documentos[],5,FALSE),"")</f>
        <v>428400</v>
      </c>
      <c r="J937" s="25">
        <v>46100</v>
      </c>
    </row>
    <row r="938" spans="3:10" ht="21" customHeight="1" x14ac:dyDescent="0.25">
      <c r="C938" s="39">
        <v>1905</v>
      </c>
      <c r="D938" s="28">
        <f>IFERROR(VLOOKUP($C938,Tabla_Documentos[],2,FALSE),"")</f>
        <v>46100</v>
      </c>
      <c r="E938" s="34" t="str">
        <f>IFERROR(VLOOKUP($C938,Tabla_Documentos[],3,FALSE),"")</f>
        <v>78003369-K</v>
      </c>
      <c r="F938" s="35" t="str">
        <f>IFERROR(VLOOKUP($C938,Tabla_Documentos[],4,FALSE),"")</f>
        <v>EMPRESA DE TRANSPORTES DE PASAJEROS NUEVA COPIAPO 1 SPA</v>
      </c>
      <c r="G938" s="38">
        <f>IFERROR(VLOOKUP($C938,Tabla_Documentos[],5,FALSE),"")</f>
        <v>317582</v>
      </c>
      <c r="H938" s="29" t="str">
        <f>IFERROR(VLOOKUP($C938,Tabla_Documentos[],6,FALSE),"")</f>
        <v>PUBLICIDAD</v>
      </c>
      <c r="I938" s="38">
        <f>IFERROR(VLOOKUP($C938,Tabla_Documentos[],5,FALSE),"")</f>
        <v>317582</v>
      </c>
      <c r="J938" s="25">
        <v>46100</v>
      </c>
    </row>
    <row r="939" spans="3:10" ht="21" customHeight="1" x14ac:dyDescent="0.25">
      <c r="C939" s="39">
        <v>1906</v>
      </c>
      <c r="D939" s="28">
        <f>IFERROR(VLOOKUP($C939,Tabla_Documentos[],2,FALSE),"")</f>
        <v>46100</v>
      </c>
      <c r="E939" s="34" t="str">
        <f>IFERROR(VLOOKUP($C939,Tabla_Documentos[],3,FALSE),"")</f>
        <v>77126836-6</v>
      </c>
      <c r="F939" s="35" t="str">
        <f>IFERROR(VLOOKUP($C939,Tabla_Documentos[],4,FALSE),"")</f>
        <v>CONSTRUCCIÃ“N Y SERVICIOS VARACE SPA</v>
      </c>
      <c r="G939" s="38">
        <f>IFERROR(VLOOKUP($C939,Tabla_Documentos[],5,FALSE),"")</f>
        <v>35700</v>
      </c>
      <c r="H939" s="29" t="str">
        <f>IFERROR(VLOOKUP($C939,Tabla_Documentos[],6,FALSE),"")</f>
        <v>PUBLICIDAD</v>
      </c>
      <c r="I939" s="38">
        <f>IFERROR(VLOOKUP($C939,Tabla_Documentos[],5,FALSE),"")</f>
        <v>35700</v>
      </c>
      <c r="J939" s="25">
        <v>46100</v>
      </c>
    </row>
    <row r="940" spans="3:10" ht="21" customHeight="1" x14ac:dyDescent="0.25">
      <c r="C940" s="39">
        <v>1908</v>
      </c>
      <c r="D940" s="28">
        <f>IFERROR(VLOOKUP($C940,Tabla_Documentos[],2,FALSE),"")</f>
        <v>46100</v>
      </c>
      <c r="E940" s="34" t="str">
        <f>IFERROR(VLOOKUP($C940,Tabla_Documentos[],3,FALSE),"")</f>
        <v>76813809-5</v>
      </c>
      <c r="F940" s="35" t="str">
        <f>IFERROR(VLOOKUP($C940,Tabla_Documentos[],4,FALSE),"")</f>
        <v>AUTOMOTRIZ MMG SPA</v>
      </c>
      <c r="G940" s="38">
        <f>IFERROR(VLOOKUP($C940,Tabla_Documentos[],5,FALSE),"")</f>
        <v>370000</v>
      </c>
      <c r="H940" s="29" t="str">
        <f>IFERROR(VLOOKUP($C940,Tabla_Documentos[],6,FALSE),"")</f>
        <v>PUBLICIDAD</v>
      </c>
      <c r="I940" s="38">
        <f>IFERROR(VLOOKUP($C940,Tabla_Documentos[],5,FALSE),"")</f>
        <v>370000</v>
      </c>
      <c r="J940" s="25">
        <v>46100</v>
      </c>
    </row>
    <row r="941" spans="3:10" ht="21" customHeight="1" x14ac:dyDescent="0.25">
      <c r="C941" s="39">
        <v>1912</v>
      </c>
      <c r="D941" s="28">
        <f>IFERROR(VLOOKUP($C941,Tabla_Documentos[],2,FALSE),"")</f>
        <v>46101</v>
      </c>
      <c r="E941" s="34" t="str">
        <f>IFERROR(VLOOKUP($C941,Tabla_Documentos[],3,FALSE),"")</f>
        <v>76845043-9</v>
      </c>
      <c r="F941" s="35" t="str">
        <f>IFERROR(VLOOKUP($C941,Tabla_Documentos[],4,FALSE),"")</f>
        <v>SERVICIOS EN ACCIONAMIENTO Y CONTROL AUTOMATICO SPA</v>
      </c>
      <c r="G941" s="38">
        <f>IFERROR(VLOOKUP($C941,Tabla_Documentos[],5,FALSE),"")</f>
        <v>452200</v>
      </c>
      <c r="H941" s="29" t="str">
        <f>IFERROR(VLOOKUP($C941,Tabla_Documentos[],6,FALSE),"")</f>
        <v>PUBLICIDAD</v>
      </c>
      <c r="I941" s="38">
        <f>IFERROR(VLOOKUP($C941,Tabla_Documentos[],5,FALSE),"")</f>
        <v>452200</v>
      </c>
      <c r="J941" s="25">
        <v>46101</v>
      </c>
    </row>
    <row r="942" spans="3:10" ht="21" customHeight="1" x14ac:dyDescent="0.25">
      <c r="C942" s="39">
        <v>1913</v>
      </c>
      <c r="D942" s="28">
        <f>IFERROR(VLOOKUP($C942,Tabla_Documentos[],2,FALSE),"")</f>
        <v>46102</v>
      </c>
      <c r="E942" s="34" t="str">
        <f>IFERROR(VLOOKUP($C942,Tabla_Documentos[],3,FALSE),"")</f>
        <v>77154334-0</v>
      </c>
      <c r="F942" s="35" t="str">
        <f>IFERROR(VLOOKUP($C942,Tabla_Documentos[],4,FALSE),"")</f>
        <v>INVERSIONES RÃO BIO BIO SPA</v>
      </c>
      <c r="G942" s="38">
        <f>IFERROR(VLOOKUP($C942,Tabla_Documentos[],5,FALSE),"")</f>
        <v>1035300</v>
      </c>
      <c r="H942" s="29" t="str">
        <f>IFERROR(VLOOKUP($C942,Tabla_Documentos[],6,FALSE),"")</f>
        <v>PUBLICIDAD</v>
      </c>
      <c r="I942" s="38">
        <f>IFERROR(VLOOKUP($C942,Tabla_Documentos[],5,FALSE),"")</f>
        <v>1035300</v>
      </c>
      <c r="J942" s="25">
        <v>46102</v>
      </c>
    </row>
    <row r="943" spans="3:10" ht="21" customHeight="1" x14ac:dyDescent="0.25">
      <c r="C943" s="39">
        <v>1914</v>
      </c>
      <c r="D943" s="28">
        <f>IFERROR(VLOOKUP($C943,Tabla_Documentos[],2,FALSE),"")</f>
        <v>46102</v>
      </c>
      <c r="E943" s="34" t="str">
        <f>IFERROR(VLOOKUP($C943,Tabla_Documentos[],3,FALSE),"")</f>
        <v>77154334-0</v>
      </c>
      <c r="F943" s="35" t="str">
        <f>IFERROR(VLOOKUP($C943,Tabla_Documentos[],4,FALSE),"")</f>
        <v>INVERSIONES RÃO BIO BIO SPA</v>
      </c>
      <c r="G943" s="38">
        <f>IFERROR(VLOOKUP($C943,Tabla_Documentos[],5,FALSE),"")</f>
        <v>702100</v>
      </c>
      <c r="H943" s="29" t="str">
        <f>IFERROR(VLOOKUP($C943,Tabla_Documentos[],6,FALSE),"")</f>
        <v>PUBLICIDAD</v>
      </c>
      <c r="I943" s="38">
        <f>IFERROR(VLOOKUP($C943,Tabla_Documentos[],5,FALSE),"")</f>
        <v>702100</v>
      </c>
      <c r="J943" s="25">
        <v>46102</v>
      </c>
    </row>
    <row r="944" spans="3:10" ht="21" customHeight="1" x14ac:dyDescent="0.25">
      <c r="C944" s="39">
        <v>1915</v>
      </c>
      <c r="D944" s="28">
        <f>IFERROR(VLOOKUP($C944,Tabla_Documentos[],2,FALSE),"")</f>
        <v>46104</v>
      </c>
      <c r="E944" s="34" t="str">
        <f>IFERROR(VLOOKUP($C944,Tabla_Documentos[],3,FALSE),"")</f>
        <v>8264829-1</v>
      </c>
      <c r="F944" s="35" t="str">
        <f>IFERROR(VLOOKUP($C944,Tabla_Documentos[],4,FALSE),"")</f>
        <v>RODOLFO HUMBERTO TAMBLAY CAMPILLAY</v>
      </c>
      <c r="G944" s="38">
        <f>IFERROR(VLOOKUP($C944,Tabla_Documentos[],5,FALSE),"")</f>
        <v>232169</v>
      </c>
      <c r="H944" s="29" t="str">
        <f>IFERROR(VLOOKUP($C944,Tabla_Documentos[],6,FALSE),"")</f>
        <v>PUBLICIDAD</v>
      </c>
      <c r="I944" s="38">
        <f>IFERROR(VLOOKUP($C944,Tabla_Documentos[],5,FALSE),"")</f>
        <v>232169</v>
      </c>
      <c r="J944" s="25">
        <v>46104</v>
      </c>
    </row>
    <row r="945" spans="3:10" ht="21" customHeight="1" x14ac:dyDescent="0.25">
      <c r="C945" s="39">
        <v>1917</v>
      </c>
      <c r="D945" s="28">
        <f>IFERROR(VLOOKUP($C945,Tabla_Documentos[],2,FALSE),"")</f>
        <v>46104</v>
      </c>
      <c r="E945" s="34" t="str">
        <f>IFERROR(VLOOKUP($C945,Tabla_Documentos[],3,FALSE),"")</f>
        <v>77549794-7</v>
      </c>
      <c r="F945" s="35" t="str">
        <f>IFERROR(VLOOKUP($C945,Tabla_Documentos[],4,FALSE),"")</f>
        <v>SOCIEDAD COMERCIAL ROMSA SERVICIOS SPA</v>
      </c>
      <c r="G945" s="38">
        <f>IFERROR(VLOOKUP($C945,Tabla_Documentos[],5,FALSE),"")</f>
        <v>76755</v>
      </c>
      <c r="H945" s="29" t="str">
        <f>IFERROR(VLOOKUP($C945,Tabla_Documentos[],6,FALSE),"")</f>
        <v>PUBLICIDAD</v>
      </c>
      <c r="I945" s="38">
        <f>IFERROR(VLOOKUP($C945,Tabla_Documentos[],5,FALSE),"")</f>
        <v>76755</v>
      </c>
      <c r="J945" s="25">
        <v>46104</v>
      </c>
    </row>
    <row r="946" spans="3:10" ht="21" customHeight="1" x14ac:dyDescent="0.25">
      <c r="C946" s="39">
        <v>1918</v>
      </c>
      <c r="D946" s="28">
        <f>IFERROR(VLOOKUP($C946,Tabla_Documentos[],2,FALSE),"")</f>
        <v>46104</v>
      </c>
      <c r="E946" s="34" t="str">
        <f>IFERROR(VLOOKUP($C946,Tabla_Documentos[],3,FALSE),"")</f>
        <v>77549794-7</v>
      </c>
      <c r="F946" s="35" t="str">
        <f>IFERROR(VLOOKUP($C946,Tabla_Documentos[],4,FALSE),"")</f>
        <v>SOCIEDAD COMERCIAL ROMSA SERVICIOS SPA</v>
      </c>
      <c r="G946" s="38">
        <f>IFERROR(VLOOKUP($C946,Tabla_Documentos[],5,FALSE),"")</f>
        <v>11900</v>
      </c>
      <c r="H946" s="29" t="str">
        <f>IFERROR(VLOOKUP($C946,Tabla_Documentos[],6,FALSE),"")</f>
        <v>PUBLICIDAD</v>
      </c>
      <c r="I946" s="38">
        <f>IFERROR(VLOOKUP($C946,Tabla_Documentos[],5,FALSE),"")</f>
        <v>11900</v>
      </c>
      <c r="J946" s="25">
        <v>46104</v>
      </c>
    </row>
    <row r="947" spans="3:10" ht="21" customHeight="1" x14ac:dyDescent="0.25">
      <c r="C947" s="39">
        <v>1919</v>
      </c>
      <c r="D947" s="28">
        <f>IFERROR(VLOOKUP($C947,Tabla_Documentos[],2,FALSE),"")</f>
        <v>46104</v>
      </c>
      <c r="E947" s="34" t="str">
        <f>IFERROR(VLOOKUP($C947,Tabla_Documentos[],3,FALSE),"")</f>
        <v>76864812-3</v>
      </c>
      <c r="F947" s="35" t="str">
        <f>IFERROR(VLOOKUP($C947,Tabla_Documentos[],4,FALSE),"")</f>
        <v>INVERSIONES SANTA LUISA LIMITADA</v>
      </c>
      <c r="G947" s="38">
        <f>IFERROR(VLOOKUP($C947,Tabla_Documentos[],5,FALSE),"")</f>
        <v>5950</v>
      </c>
      <c r="H947" s="29" t="str">
        <f>IFERROR(VLOOKUP($C947,Tabla_Documentos[],6,FALSE),"")</f>
        <v>PUBLICIDAD</v>
      </c>
      <c r="I947" s="38">
        <f>IFERROR(VLOOKUP($C947,Tabla_Documentos[],5,FALSE),"")</f>
        <v>5950</v>
      </c>
      <c r="J947" s="25">
        <v>46104</v>
      </c>
    </row>
    <row r="948" spans="3:10" ht="21" customHeight="1" x14ac:dyDescent="0.25">
      <c r="C948" s="39">
        <v>1920</v>
      </c>
      <c r="D948" s="28">
        <f>IFERROR(VLOOKUP($C948,Tabla_Documentos[],2,FALSE),"")</f>
        <v>46104</v>
      </c>
      <c r="E948" s="34" t="str">
        <f>IFERROR(VLOOKUP($C948,Tabla_Documentos[],3,FALSE),"")</f>
        <v>77098923-K</v>
      </c>
      <c r="F948" s="35" t="str">
        <f>IFERROR(VLOOKUP($C948,Tabla_Documentos[],4,FALSE),"")</f>
        <v>MARIO ALEJANDRO UBILLO GARATE CONSTRUCCIONES E.I.R.L.</v>
      </c>
      <c r="G948" s="38">
        <f>IFERROR(VLOOKUP($C948,Tabla_Documentos[],5,FALSE),"")</f>
        <v>981750</v>
      </c>
      <c r="H948" s="29" t="str">
        <f>IFERROR(VLOOKUP($C948,Tabla_Documentos[],6,FALSE),"")</f>
        <v>PUBLICIDAD</v>
      </c>
      <c r="I948" s="38">
        <f>IFERROR(VLOOKUP($C948,Tabla_Documentos[],5,FALSE),"")</f>
        <v>981750</v>
      </c>
      <c r="J948" s="25">
        <v>46104</v>
      </c>
    </row>
    <row r="949" spans="3:10" ht="21" customHeight="1" x14ac:dyDescent="0.25">
      <c r="C949" s="39">
        <v>1865</v>
      </c>
      <c r="D949" s="28">
        <f>IFERROR(VLOOKUP($C949,Tabla_Documentos[],2,FALSE),"")</f>
        <v>46087</v>
      </c>
      <c r="E949" s="34" t="str">
        <f>IFERROR(VLOOKUP($C949,Tabla_Documentos[],3,FALSE),"")</f>
        <v>60505105-7</v>
      </c>
      <c r="F949" s="35" t="str">
        <f>IFERROR(VLOOKUP($C949,Tabla_Documentos[],4,FALSE),"")</f>
        <v>ZONA DE CARABINEROS ATACAMA</v>
      </c>
      <c r="G949" s="38">
        <f>IFERROR(VLOOKUP($C949,Tabla_Documentos[],5,FALSE),"")</f>
        <v>1101940</v>
      </c>
      <c r="H949" s="29" t="str">
        <f>IFERROR(VLOOKUP($C949,Tabla_Documentos[],6,FALSE),"")</f>
        <v>PUBLICIDAD</v>
      </c>
      <c r="I949" s="38">
        <f>IFERROR(VLOOKUP($C949,Tabla_Documentos[],5,FALSE),"")</f>
        <v>1101940</v>
      </c>
      <c r="J949" s="25">
        <v>46087</v>
      </c>
    </row>
    <row r="950" spans="3:10" ht="21" customHeight="1" x14ac:dyDescent="0.25">
      <c r="C950" s="39">
        <v>1895</v>
      </c>
      <c r="D950" s="28">
        <f>IFERROR(VLOOKUP($C950,Tabla_Documentos[],2,FALSE),"")</f>
        <v>46097</v>
      </c>
      <c r="E950" s="34" t="str">
        <f>IFERROR(VLOOKUP($C950,Tabla_Documentos[],3,FALSE),"")</f>
        <v>60505105-7</v>
      </c>
      <c r="F950" s="35" t="str">
        <f>IFERROR(VLOOKUP($C950,Tabla_Documentos[],4,FALSE),"")</f>
        <v>ZONA DE CARABINEROS ATACAMA</v>
      </c>
      <c r="G950" s="38">
        <f>IFERROR(VLOOKUP($C950,Tabla_Documentos[],5,FALSE),"")</f>
        <v>1101940</v>
      </c>
      <c r="H950" s="29" t="str">
        <f>IFERROR(VLOOKUP($C950,Tabla_Documentos[],6,FALSE),"")</f>
        <v>PUBLICIDAD</v>
      </c>
      <c r="I950" s="38">
        <f>IFERROR(VLOOKUP($C950,Tabla_Documentos[],5,FALSE),"")</f>
        <v>1101940</v>
      </c>
      <c r="J950" s="25">
        <v>46105</v>
      </c>
    </row>
    <row r="951" spans="3:10" ht="21" customHeight="1" x14ac:dyDescent="0.25">
      <c r="C951" s="39">
        <v>1753</v>
      </c>
      <c r="D951" s="28">
        <f>IFERROR(VLOOKUP($C951,Tabla_Documentos[],2,FALSE),"")</f>
        <v>46045</v>
      </c>
      <c r="E951" s="34" t="str">
        <f>IFERROR(VLOOKUP($C951,Tabla_Documentos[],3,FALSE),"")</f>
        <v>78823250-0</v>
      </c>
      <c r="F951" s="35" t="str">
        <f>IFERROR(VLOOKUP($C951,Tabla_Documentos[],4,FALSE),"")</f>
        <v>CROSAN CAPACITACION SPA</v>
      </c>
      <c r="G951" s="38">
        <f>IFERROR(VLOOKUP($C951,Tabla_Documentos[],5,FALSE),"")</f>
        <v>190400</v>
      </c>
      <c r="H951" s="29" t="str">
        <f>IFERROR(VLOOKUP($C951,Tabla_Documentos[],6,FALSE),"")</f>
        <v>PUBLICIDAD</v>
      </c>
      <c r="I951" s="38">
        <f>IFERROR(VLOOKUP($C951,Tabla_Documentos[],5,FALSE),"")</f>
        <v>190400</v>
      </c>
      <c r="J951" s="25">
        <v>46066</v>
      </c>
    </row>
    <row r="952" spans="3:10" ht="21" customHeight="1" x14ac:dyDescent="0.25">
      <c r="C952" s="39">
        <v>1751</v>
      </c>
      <c r="D952" s="28">
        <f>IFERROR(VLOOKUP($C952,Tabla_Documentos[],2,FALSE),"")</f>
        <v>46045</v>
      </c>
      <c r="E952" s="34" t="str">
        <f>IFERROR(VLOOKUP($C952,Tabla_Documentos[],3,FALSE),"")</f>
        <v>85674600-3</v>
      </c>
      <c r="F952" s="35" t="str">
        <f>IFERROR(VLOOKUP($C952,Tabla_Documentos[],4,FALSE),"")</f>
        <v>IMPORTADORA NICOLAS LIMITADA</v>
      </c>
      <c r="G952" s="38">
        <f>IFERROR(VLOOKUP($C952,Tabla_Documentos[],5,FALSE),"")</f>
        <v>29750</v>
      </c>
      <c r="H952" s="29" t="str">
        <f>IFERROR(VLOOKUP($C952,Tabla_Documentos[],6,FALSE),"")</f>
        <v>PUBLICIDAD</v>
      </c>
      <c r="I952" s="38">
        <f>IFERROR(VLOOKUP($C952,Tabla_Documentos[],5,FALSE),"")</f>
        <v>29750</v>
      </c>
      <c r="J952" s="25">
        <v>46106</v>
      </c>
    </row>
    <row r="953" spans="3:10" ht="21" customHeight="1" x14ac:dyDescent="0.25">
      <c r="C953" s="39">
        <v>1788</v>
      </c>
      <c r="D953" s="28">
        <f>IFERROR(VLOOKUP($C953,Tabla_Documentos[],2,FALSE),"")</f>
        <v>46062</v>
      </c>
      <c r="E953" s="34" t="str">
        <f>IFERROR(VLOOKUP($C953,Tabla_Documentos[],3,FALSE),"")</f>
        <v>76948401-9</v>
      </c>
      <c r="F953" s="35" t="str">
        <f>IFERROR(VLOOKUP($C953,Tabla_Documentos[],4,FALSE),"")</f>
        <v>ZACH PROYECTOS SA</v>
      </c>
      <c r="G953" s="38">
        <f>IFERROR(VLOOKUP($C953,Tabla_Documentos[],5,FALSE),"")</f>
        <v>523600</v>
      </c>
      <c r="H953" s="29" t="str">
        <f>IFERROR(VLOOKUP($C953,Tabla_Documentos[],6,FALSE),"")</f>
        <v>PUBLICIDAD</v>
      </c>
      <c r="I953" s="38">
        <f>IFERROR(VLOOKUP($C953,Tabla_Documentos[],5,FALSE),"")</f>
        <v>523600</v>
      </c>
      <c r="J953" s="25">
        <v>46062</v>
      </c>
    </row>
    <row r="954" spans="3:10" ht="21" customHeight="1" x14ac:dyDescent="0.25">
      <c r="C954" s="39">
        <v>1794</v>
      </c>
      <c r="D954" s="28">
        <f>IFERROR(VLOOKUP($C954,Tabla_Documentos[],2,FALSE),"")</f>
        <v>46064</v>
      </c>
      <c r="E954" s="34" t="str">
        <f>IFERROR(VLOOKUP($C954,Tabla_Documentos[],3,FALSE),"")</f>
        <v>76948401-9</v>
      </c>
      <c r="F954" s="35" t="str">
        <f>IFERROR(VLOOKUP($C954,Tabla_Documentos[],4,FALSE),"")</f>
        <v>ZACH PROYECTOS SA</v>
      </c>
      <c r="G954" s="38">
        <f>IFERROR(VLOOKUP($C954,Tabla_Documentos[],5,FALSE),"")</f>
        <v>261800</v>
      </c>
      <c r="H954" s="29" t="str">
        <f>IFERROR(VLOOKUP($C954,Tabla_Documentos[],6,FALSE),"")</f>
        <v>PUBLICIDAD</v>
      </c>
      <c r="I954" s="38">
        <f>IFERROR(VLOOKUP($C954,Tabla_Documentos[],5,FALSE),"")</f>
        <v>261800</v>
      </c>
      <c r="J954" s="25">
        <v>46097</v>
      </c>
    </row>
    <row r="955" spans="3:10" ht="21" customHeight="1" x14ac:dyDescent="0.25">
      <c r="C955" s="39">
        <v>1660</v>
      </c>
      <c r="D955" s="28">
        <f>IFERROR(VLOOKUP($C955,Tabla_Documentos[],2,FALSE),"")</f>
        <v>46008</v>
      </c>
      <c r="E955" s="34" t="str">
        <f>IFERROR(VLOOKUP($C955,Tabla_Documentos[],3,FALSE),"")</f>
        <v>76419914-6</v>
      </c>
      <c r="F955" s="35" t="str">
        <f>IFERROR(VLOOKUP($C955,Tabla_Documentos[],4,FALSE),"")</f>
        <v>SOCIEDAD DE SERVICIOS FUNERARIOS S.A.</v>
      </c>
      <c r="G955" s="38">
        <f>IFERROR(VLOOKUP($C955,Tabla_Documentos[],5,FALSE),"")</f>
        <v>57358</v>
      </c>
      <c r="H955" s="29" t="str">
        <f>IFERROR(VLOOKUP($C955,Tabla_Documentos[],6,FALSE),"")</f>
        <v>PUBLICIDAD</v>
      </c>
      <c r="I955" s="38">
        <f>IFERROR(VLOOKUP($C955,Tabla_Documentos[],5,FALSE),"")</f>
        <v>57358</v>
      </c>
      <c r="J955" s="25">
        <v>46042</v>
      </c>
    </row>
    <row r="956" spans="3:10" ht="21" customHeight="1" x14ac:dyDescent="0.25">
      <c r="C956" s="39">
        <v>1771</v>
      </c>
      <c r="D956" s="28">
        <f>IFERROR(VLOOKUP($C956,Tabla_Documentos[],2,FALSE),"")</f>
        <v>46051</v>
      </c>
      <c r="E956" s="34" t="str">
        <f>IFERROR(VLOOKUP($C956,Tabla_Documentos[],3,FALSE),"")</f>
        <v>85840100-3</v>
      </c>
      <c r="F956" s="35" t="str">
        <f>IFERROR(VLOOKUP($C956,Tabla_Documentos[],4,FALSE),"")</f>
        <v>COMPANIA DE SERVICIOS INDUSTRIALES LIMITADA</v>
      </c>
      <c r="G956" s="38">
        <f>IFERROR(VLOOKUP($C956,Tabla_Documentos[],5,FALSE),"")</f>
        <v>77350</v>
      </c>
      <c r="H956" s="29" t="str">
        <f>IFERROR(VLOOKUP($C956,Tabla_Documentos[],6,FALSE),"")</f>
        <v>PUBLICIDAD</v>
      </c>
      <c r="I956" s="38">
        <f>IFERROR(VLOOKUP($C956,Tabla_Documentos[],5,FALSE),"")</f>
        <v>77350</v>
      </c>
      <c r="J956" s="25">
        <v>46080</v>
      </c>
    </row>
    <row r="957" spans="3:10" ht="21" customHeight="1" x14ac:dyDescent="0.25">
      <c r="C957" s="39">
        <v>1793</v>
      </c>
      <c r="D957" s="28">
        <f>IFERROR(VLOOKUP($C957,Tabla_Documentos[],2,FALSE),"")</f>
        <v>46063</v>
      </c>
      <c r="E957" s="34" t="str">
        <f>IFERROR(VLOOKUP($C957,Tabla_Documentos[],3,FALSE),"")</f>
        <v>85674600-3</v>
      </c>
      <c r="F957" s="35" t="str">
        <f>IFERROR(VLOOKUP($C957,Tabla_Documentos[],4,FALSE),"")</f>
        <v>IMPORTADORA NICOLAS LIMITADA</v>
      </c>
      <c r="G957" s="38">
        <f>IFERROR(VLOOKUP($C957,Tabla_Documentos[],5,FALSE),"")</f>
        <v>190400</v>
      </c>
      <c r="H957" s="29" t="str">
        <f>IFERROR(VLOOKUP($C957,Tabla_Documentos[],6,FALSE),"")</f>
        <v>PUBLICIDAD</v>
      </c>
      <c r="I957" s="38">
        <f>IFERROR(VLOOKUP($C957,Tabla_Documentos[],5,FALSE),"")</f>
        <v>190400</v>
      </c>
      <c r="J957" s="25">
        <v>46106</v>
      </c>
    </row>
    <row r="958" spans="3:10" ht="21" customHeight="1" x14ac:dyDescent="0.25">
      <c r="C958" s="39">
        <v>1796</v>
      </c>
      <c r="D958" s="28">
        <f>IFERROR(VLOOKUP($C958,Tabla_Documentos[],2,FALSE),"")</f>
        <v>46065</v>
      </c>
      <c r="E958" s="34" t="str">
        <f>IFERROR(VLOOKUP($C958,Tabla_Documentos[],3,FALSE),"")</f>
        <v>76686138-5</v>
      </c>
      <c r="F958" s="35" t="str">
        <f>IFERROR(VLOOKUP($C958,Tabla_Documentos[],4,FALSE),"")</f>
        <v>SKC RED SPA</v>
      </c>
      <c r="G958" s="38">
        <f>IFERROR(VLOOKUP($C958,Tabla_Documentos[],5,FALSE),"")</f>
        <v>107100</v>
      </c>
      <c r="H958" s="29" t="str">
        <f>IFERROR(VLOOKUP($C958,Tabla_Documentos[],6,FALSE),"")</f>
        <v>PUBLICIDAD</v>
      </c>
      <c r="I958" s="38">
        <f>IFERROR(VLOOKUP($C958,Tabla_Documentos[],5,FALSE),"")</f>
        <v>107100</v>
      </c>
      <c r="J958" s="25">
        <v>46094</v>
      </c>
    </row>
    <row r="959" spans="3:10" ht="21" customHeight="1" x14ac:dyDescent="0.25">
      <c r="C959" s="39">
        <v>1851</v>
      </c>
      <c r="D959" s="28">
        <f>IFERROR(VLOOKUP($C959,Tabla_Documentos[],2,FALSE),"")</f>
        <v>46084</v>
      </c>
      <c r="E959" s="34" t="str">
        <f>IFERROR(VLOOKUP($C959,Tabla_Documentos[],3,FALSE),"")</f>
        <v>76255245-0</v>
      </c>
      <c r="F959" s="35" t="str">
        <f>IFERROR(VLOOKUP($C959,Tabla_Documentos[],4,FALSE),"")</f>
        <v>SIDESA CHILE S.A.</v>
      </c>
      <c r="G959" s="38">
        <f>IFERROR(VLOOKUP($C959,Tabla_Documentos[],5,FALSE),"")</f>
        <v>315350</v>
      </c>
      <c r="H959" s="29" t="str">
        <f>IFERROR(VLOOKUP($C959,Tabla_Documentos[],6,FALSE),"")</f>
        <v>PUBLICIDAD</v>
      </c>
      <c r="I959" s="38">
        <f>IFERROR(VLOOKUP($C959,Tabla_Documentos[],5,FALSE),"")</f>
        <v>315350</v>
      </c>
      <c r="J959" s="25">
        <v>46107</v>
      </c>
    </row>
    <row r="960" spans="3:10" ht="21" customHeight="1" x14ac:dyDescent="0.25">
      <c r="C960" s="39">
        <v>1822</v>
      </c>
      <c r="D960" s="28">
        <f>IFERROR(VLOOKUP($C960,Tabla_Documentos[],2,FALSE),"")</f>
        <v>46072</v>
      </c>
      <c r="E960" s="34" t="str">
        <f>IFERROR(VLOOKUP($C960,Tabla_Documentos[],3,FALSE),"")</f>
        <v>76186894-2</v>
      </c>
      <c r="F960" s="35" t="str">
        <f>IFERROR(VLOOKUP($C960,Tabla_Documentos[],4,FALSE),"")</f>
        <v>SAN RAFAEL INGENIERIA Y  SERVICIOS LIMITADA</v>
      </c>
      <c r="G960" s="38">
        <f>IFERROR(VLOOKUP($C960,Tabla_Documentos[],5,FALSE),"")</f>
        <v>142800</v>
      </c>
      <c r="H960" s="29" t="str">
        <f>IFERROR(VLOOKUP($C960,Tabla_Documentos[],6,FALSE),"")</f>
        <v>PUBLICIDAD</v>
      </c>
      <c r="I960" s="38">
        <f>IFERROR(VLOOKUP($C960,Tabla_Documentos[],5,FALSE),"")</f>
        <v>142800</v>
      </c>
      <c r="J960" s="25">
        <v>46100</v>
      </c>
    </row>
    <row r="961" spans="3:10" ht="21" customHeight="1" x14ac:dyDescent="0.25">
      <c r="C961" s="39">
        <v>1827</v>
      </c>
      <c r="D961" s="28">
        <f>IFERROR(VLOOKUP($C961,Tabla_Documentos[],2,FALSE),"")</f>
        <v>46073</v>
      </c>
      <c r="E961" s="34" t="str">
        <f>IFERROR(VLOOKUP($C961,Tabla_Documentos[],3,FALSE),"")</f>
        <v>76186894-2</v>
      </c>
      <c r="F961" s="35" t="str">
        <f>IFERROR(VLOOKUP($C961,Tabla_Documentos[],4,FALSE),"")</f>
        <v>SAN RAFAEL INGENIERIA Y  SERVICIOS LIMITADA</v>
      </c>
      <c r="G961" s="38">
        <f>IFERROR(VLOOKUP($C961,Tabla_Documentos[],5,FALSE),"")</f>
        <v>64260</v>
      </c>
      <c r="H961" s="29" t="str">
        <f>IFERROR(VLOOKUP($C961,Tabla_Documentos[],6,FALSE),"")</f>
        <v>PUBLICIDAD</v>
      </c>
      <c r="I961" s="38">
        <f>IFERROR(VLOOKUP($C961,Tabla_Documentos[],5,FALSE),"")</f>
        <v>64260</v>
      </c>
      <c r="J961" s="25">
        <v>46100</v>
      </c>
    </row>
    <row r="962" spans="3:10" ht="21" customHeight="1" x14ac:dyDescent="0.25">
      <c r="C962" s="39">
        <v>1835</v>
      </c>
      <c r="D962" s="28">
        <f>IFERROR(VLOOKUP($C962,Tabla_Documentos[],2,FALSE),"")</f>
        <v>46078</v>
      </c>
      <c r="E962" s="34" t="str">
        <f>IFERROR(VLOOKUP($C962,Tabla_Documentos[],3,FALSE),"")</f>
        <v>76451155-7</v>
      </c>
      <c r="F962" s="35" t="str">
        <f>IFERROR(VLOOKUP($C962,Tabla_Documentos[],4,FALSE),"")</f>
        <v>IMPORTADORA Y COMERCIAL JOMIAL LIMITADA</v>
      </c>
      <c r="G962" s="38">
        <f>IFERROR(VLOOKUP($C962,Tabla_Documentos[],5,FALSE),"")</f>
        <v>299642</v>
      </c>
      <c r="H962" s="29" t="str">
        <f>IFERROR(VLOOKUP($C962,Tabla_Documentos[],6,FALSE),"")</f>
        <v>PUBLICIDAD</v>
      </c>
      <c r="I962" s="38">
        <f>IFERROR(VLOOKUP($C962,Tabla_Documentos[],5,FALSE),"")</f>
        <v>299642</v>
      </c>
      <c r="J962" s="25">
        <v>46080</v>
      </c>
    </row>
    <row r="963" spans="3:10" ht="21" customHeight="1" x14ac:dyDescent="0.25">
      <c r="C963" s="39">
        <v>1836</v>
      </c>
      <c r="D963" s="28">
        <f>IFERROR(VLOOKUP($C963,Tabla_Documentos[],2,FALSE),"")</f>
        <v>46079</v>
      </c>
      <c r="E963" s="34" t="str">
        <f>IFERROR(VLOOKUP($C963,Tabla_Documentos[],3,FALSE),"")</f>
        <v>76650779-4</v>
      </c>
      <c r="F963" s="35" t="str">
        <f>IFERROR(VLOOKUP($C963,Tabla_Documentos[],4,FALSE),"")</f>
        <v>SOLUCIONES GLOBALES CARLOS HERBERTO MOSCOSO</v>
      </c>
      <c r="G963" s="38">
        <f>IFERROR(VLOOKUP($C963,Tabla_Documentos[],5,FALSE),"")</f>
        <v>844900</v>
      </c>
      <c r="H963" s="29" t="str">
        <f>IFERROR(VLOOKUP($C963,Tabla_Documentos[],6,FALSE),"")</f>
        <v>PUBLICIDAD</v>
      </c>
      <c r="I963" s="38">
        <f>IFERROR(VLOOKUP($C963,Tabla_Documentos[],5,FALSE),"")</f>
        <v>844900</v>
      </c>
      <c r="J963" s="25">
        <v>46080</v>
      </c>
    </row>
    <row r="964" spans="3:10" ht="21" customHeight="1" x14ac:dyDescent="0.25">
      <c r="C964" s="39">
        <v>1841</v>
      </c>
      <c r="D964" s="28">
        <f>IFERROR(VLOOKUP($C964,Tabla_Documentos[],2,FALSE),"")</f>
        <v>46083</v>
      </c>
      <c r="E964" s="34" t="str">
        <f>IFERROR(VLOOKUP($C964,Tabla_Documentos[],3,FALSE),"")</f>
        <v>78125514-9</v>
      </c>
      <c r="F964" s="35" t="str">
        <f>IFERROR(VLOOKUP($C964,Tabla_Documentos[],4,FALSE),"")</f>
        <v>BELLEZA Y CREACIONES J.A. SPA</v>
      </c>
      <c r="G964" s="38">
        <f>IFERROR(VLOOKUP($C964,Tabla_Documentos[],5,FALSE),"")</f>
        <v>606900</v>
      </c>
      <c r="H964" s="29" t="str">
        <f>IFERROR(VLOOKUP($C964,Tabla_Documentos[],6,FALSE),"")</f>
        <v>PUBLICIDAD</v>
      </c>
      <c r="I964" s="38">
        <f>IFERROR(VLOOKUP($C964,Tabla_Documentos[],5,FALSE),"")</f>
        <v>606900</v>
      </c>
      <c r="J964" s="25">
        <v>46083</v>
      </c>
    </row>
    <row r="965" spans="3:10" ht="21" customHeight="1" x14ac:dyDescent="0.25">
      <c r="C965" s="39">
        <v>1842</v>
      </c>
      <c r="D965" s="28">
        <f>IFERROR(VLOOKUP($C965,Tabla_Documentos[],2,FALSE),"")</f>
        <v>46083</v>
      </c>
      <c r="E965" s="34" t="str">
        <f>IFERROR(VLOOKUP($C965,Tabla_Documentos[],3,FALSE),"")</f>
        <v>76744135-5</v>
      </c>
      <c r="F965" s="35" t="str">
        <f>IFERROR(VLOOKUP($C965,Tabla_Documentos[],4,FALSE),"")</f>
        <v>PATAGONIA SERVICIOS SPA</v>
      </c>
      <c r="G965" s="38">
        <f>IFERROR(VLOOKUP($C965,Tabla_Documentos[],5,FALSE),"")</f>
        <v>14477540</v>
      </c>
      <c r="H965" s="29" t="str">
        <f>IFERROR(VLOOKUP($C965,Tabla_Documentos[],6,FALSE),"")</f>
        <v>PUBLICIDAD</v>
      </c>
      <c r="I965" s="38">
        <f>IFERROR(VLOOKUP($C965,Tabla_Documentos[],5,FALSE),"")</f>
        <v>14477540</v>
      </c>
      <c r="J965" s="25">
        <v>46094</v>
      </c>
    </row>
    <row r="966" spans="3:10" ht="21" customHeight="1" x14ac:dyDescent="0.25">
      <c r="C966" s="39">
        <v>1843</v>
      </c>
      <c r="D966" s="28">
        <f>IFERROR(VLOOKUP($C966,Tabla_Documentos[],2,FALSE),"")</f>
        <v>46083</v>
      </c>
      <c r="E966" s="34" t="str">
        <f>IFERROR(VLOOKUP($C966,Tabla_Documentos[],3,FALSE),"")</f>
        <v>76744135-5</v>
      </c>
      <c r="F966" s="35" t="str">
        <f>IFERROR(VLOOKUP($C966,Tabla_Documentos[],4,FALSE),"")</f>
        <v>PATAGONIA SERVICIOS SPA</v>
      </c>
      <c r="G966" s="38">
        <f>IFERROR(VLOOKUP($C966,Tabla_Documentos[],5,FALSE),"")</f>
        <v>11031300</v>
      </c>
      <c r="H966" s="29" t="str">
        <f>IFERROR(VLOOKUP($C966,Tabla_Documentos[],6,FALSE),"")</f>
        <v>PUBLICIDAD</v>
      </c>
      <c r="I966" s="38">
        <f>IFERROR(VLOOKUP($C966,Tabla_Documentos[],5,FALSE),"")</f>
        <v>11031300</v>
      </c>
      <c r="J966" s="25">
        <v>46105</v>
      </c>
    </row>
    <row r="967" spans="3:10" ht="21" customHeight="1" x14ac:dyDescent="0.25">
      <c r="C967" s="39">
        <v>1844</v>
      </c>
      <c r="D967" s="28">
        <f>IFERROR(VLOOKUP($C967,Tabla_Documentos[],2,FALSE),"")</f>
        <v>46083</v>
      </c>
      <c r="E967" s="34" t="str">
        <f>IFERROR(VLOOKUP($C967,Tabla_Documentos[],3,FALSE),"")</f>
        <v>78125514-9</v>
      </c>
      <c r="F967" s="35" t="str">
        <f>IFERROR(VLOOKUP($C967,Tabla_Documentos[],4,FALSE),"")</f>
        <v>BELLEZA Y CREACIONES J.A. SPA</v>
      </c>
      <c r="G967" s="38">
        <f>IFERROR(VLOOKUP($C967,Tabla_Documentos[],5,FALSE),"")</f>
        <v>1154300</v>
      </c>
      <c r="H967" s="29" t="str">
        <f>IFERROR(VLOOKUP($C967,Tabla_Documentos[],6,FALSE),"")</f>
        <v>PUBLICIDAD</v>
      </c>
      <c r="I967" s="38">
        <f>IFERROR(VLOOKUP($C967,Tabla_Documentos[],5,FALSE),"")</f>
        <v>1154300</v>
      </c>
      <c r="J967" s="25">
        <v>46101</v>
      </c>
    </row>
    <row r="968" spans="3:10" ht="21" customHeight="1" x14ac:dyDescent="0.25">
      <c r="C968" s="39">
        <v>1845</v>
      </c>
      <c r="D968" s="28">
        <f>IFERROR(VLOOKUP($C968,Tabla_Documentos[],2,FALSE),"")</f>
        <v>46083</v>
      </c>
      <c r="E968" s="34" t="str">
        <f>IFERROR(VLOOKUP($C968,Tabla_Documentos[],3,FALSE),"")</f>
        <v>77028674-3</v>
      </c>
      <c r="F968" s="35" t="str">
        <f>IFERROR(VLOOKUP($C968,Tabla_Documentos[],4,FALSE),"")</f>
        <v>SOCIEDAD COMERCIAL HERMANOS GODOY  ARAYA  SPA</v>
      </c>
      <c r="G968" s="38">
        <f>IFERROR(VLOOKUP($C968,Tabla_Documentos[],5,FALSE),"")</f>
        <v>690200</v>
      </c>
      <c r="H968" s="29" t="str">
        <f>IFERROR(VLOOKUP($C968,Tabla_Documentos[],6,FALSE),"")</f>
        <v>PUBLICIDAD</v>
      </c>
      <c r="I968" s="38">
        <f>IFERROR(VLOOKUP($C968,Tabla_Documentos[],5,FALSE),"")</f>
        <v>690200</v>
      </c>
      <c r="J968" s="25">
        <v>46101</v>
      </c>
    </row>
    <row r="969" spans="3:10" ht="21" customHeight="1" x14ac:dyDescent="0.25">
      <c r="C969" s="39">
        <v>1670</v>
      </c>
      <c r="D969" s="28">
        <f>IFERROR(VLOOKUP($C969,Tabla_Documentos[],2,FALSE),"")</f>
        <v>46013</v>
      </c>
      <c r="E969" s="34" t="str">
        <f>IFERROR(VLOOKUP($C969,Tabla_Documentos[],3,FALSE),"")</f>
        <v>84060600-7</v>
      </c>
      <c r="F969" s="35" t="str">
        <f>IFERROR(VLOOKUP($C969,Tabla_Documentos[],4,FALSE),"")</f>
        <v>CONSTRUCTORA DE PAVIMENTOS ASFALTICOS BITUMIX S.A</v>
      </c>
      <c r="G969" s="38">
        <f>IFERROR(VLOOKUP($C969,Tabla_Documentos[],5,FALSE),"")</f>
        <v>214200</v>
      </c>
      <c r="H969" s="29" t="str">
        <f>IFERROR(VLOOKUP($C969,Tabla_Documentos[],6,FALSE),"")</f>
        <v>PUBLICIDAD</v>
      </c>
      <c r="I969" s="38">
        <f>IFERROR(VLOOKUP($C969,Tabla_Documentos[],5,FALSE),"")</f>
        <v>214200</v>
      </c>
      <c r="J969" s="25">
        <v>46059</v>
      </c>
    </row>
    <row r="970" spans="3:10" ht="21" customHeight="1" x14ac:dyDescent="0.25">
      <c r="C970" s="39">
        <v>1846</v>
      </c>
      <c r="D970" s="28">
        <f>IFERROR(VLOOKUP($C970,Tabla_Documentos[],2,FALSE),"")</f>
        <v>46083</v>
      </c>
      <c r="E970" s="34" t="str">
        <f>IFERROR(VLOOKUP($C970,Tabla_Documentos[],3,FALSE),"")</f>
        <v>9246657-4</v>
      </c>
      <c r="F970" s="35" t="str">
        <f>IFERROR(VLOOKUP($C970,Tabla_Documentos[],4,FALSE),"")</f>
        <v>MARIA CRISTINA MOLINA CASTILLO</v>
      </c>
      <c r="G970" s="38">
        <f>IFERROR(VLOOKUP($C970,Tabla_Documentos[],5,FALSE),"")</f>
        <v>948073</v>
      </c>
      <c r="H970" s="29" t="str">
        <f>IFERROR(VLOOKUP($C970,Tabla_Documentos[],6,FALSE),"")</f>
        <v>PUBLICIDAD</v>
      </c>
      <c r="I970" s="38">
        <f>IFERROR(VLOOKUP($C970,Tabla_Documentos[],5,FALSE),"")</f>
        <v>948073</v>
      </c>
      <c r="J970" s="25">
        <v>46084</v>
      </c>
    </row>
    <row r="971" spans="3:10" ht="21" customHeight="1" x14ac:dyDescent="0.25">
      <c r="C971" s="39">
        <v>1856</v>
      </c>
      <c r="D971" s="28">
        <f>IFERROR(VLOOKUP($C971,Tabla_Documentos[],2,FALSE),"")</f>
        <v>46085</v>
      </c>
      <c r="E971" s="34" t="str">
        <f>IFERROR(VLOOKUP($C971,Tabla_Documentos[],3,FALSE),"")</f>
        <v>76186894-2</v>
      </c>
      <c r="F971" s="35" t="str">
        <f>IFERROR(VLOOKUP($C971,Tabla_Documentos[],4,FALSE),"")</f>
        <v>SAN RAFAEL INGENIERIA Y  SERVICIOS LIMITADA</v>
      </c>
      <c r="G971" s="38">
        <f>IFERROR(VLOOKUP($C971,Tabla_Documentos[],5,FALSE),"")</f>
        <v>840735</v>
      </c>
      <c r="H971" s="29" t="str">
        <f>IFERROR(VLOOKUP($C971,Tabla_Documentos[],6,FALSE),"")</f>
        <v>PUBLICIDAD</v>
      </c>
      <c r="I971" s="38">
        <f>IFERROR(VLOOKUP($C971,Tabla_Documentos[],5,FALSE),"")</f>
        <v>840735</v>
      </c>
      <c r="J971" s="25">
        <v>46120</v>
      </c>
    </row>
    <row r="972" spans="3:10" ht="21" customHeight="1" x14ac:dyDescent="0.25">
      <c r="C972" s="39">
        <v>1866</v>
      </c>
      <c r="D972" s="28">
        <f>IFERROR(VLOOKUP($C972,Tabla_Documentos[],2,FALSE),"")</f>
        <v>46087</v>
      </c>
      <c r="E972" s="34" t="str">
        <f>IFERROR(VLOOKUP($C972,Tabla_Documentos[],3,FALSE),"")</f>
        <v>76186894-2</v>
      </c>
      <c r="F972" s="35" t="str">
        <f>IFERROR(VLOOKUP($C972,Tabla_Documentos[],4,FALSE),"")</f>
        <v>SAN RAFAEL INGENIERIA Y  SERVICIOS LIMITADA</v>
      </c>
      <c r="G972" s="38">
        <f>IFERROR(VLOOKUP($C972,Tabla_Documentos[],5,FALSE),"")</f>
        <v>130305</v>
      </c>
      <c r="H972" s="29" t="str">
        <f>IFERROR(VLOOKUP($C972,Tabla_Documentos[],6,FALSE),"")</f>
        <v>PUBLICIDAD</v>
      </c>
      <c r="I972" s="38">
        <f>IFERROR(VLOOKUP($C972,Tabla_Documentos[],5,FALSE),"")</f>
        <v>130305</v>
      </c>
      <c r="J972" s="25">
        <v>46120</v>
      </c>
    </row>
    <row r="973" spans="3:10" ht="21" customHeight="1" x14ac:dyDescent="0.25">
      <c r="C973" s="39">
        <v>1942</v>
      </c>
      <c r="D973" s="28">
        <f>IFERROR(VLOOKUP($C973,Tabla_Documentos[],2,FALSE),"")</f>
        <v>46113</v>
      </c>
      <c r="E973" s="34" t="str">
        <f>IFERROR(VLOOKUP($C973,Tabla_Documentos[],3,FALSE),"")</f>
        <v>77313060-4</v>
      </c>
      <c r="F973" s="35" t="str">
        <f>IFERROR(VLOOKUP($C973,Tabla_Documentos[],4,FALSE),"")</f>
        <v>COMERCIAL SERPAN SPA</v>
      </c>
      <c r="G973" s="38">
        <f>IFERROR(VLOOKUP($C973,Tabla_Documentos[],5,FALSE),"")</f>
        <v>13090</v>
      </c>
      <c r="H973" s="29" t="str">
        <f>IFERROR(VLOOKUP($C973,Tabla_Documentos[],6,FALSE),"")</f>
        <v>PUBLICIDAD</v>
      </c>
      <c r="I973" s="38">
        <f>IFERROR(VLOOKUP($C973,Tabla_Documentos[],5,FALSE),"")</f>
        <v>13090</v>
      </c>
      <c r="J973" s="25">
        <v>46113</v>
      </c>
    </row>
    <row r="974" spans="3:10" ht="21" customHeight="1" x14ac:dyDescent="0.25">
      <c r="C974" s="39">
        <v>1921</v>
      </c>
      <c r="D974" s="28">
        <f>IFERROR(VLOOKUP($C974,Tabla_Documentos[],2,FALSE),"")</f>
        <v>46105</v>
      </c>
      <c r="E974" s="34" t="str">
        <f>IFERROR(VLOOKUP($C974,Tabla_Documentos[],3,FALSE),"")</f>
        <v>78320171-2</v>
      </c>
      <c r="F974" s="35" t="str">
        <f>IFERROR(VLOOKUP($C974,Tabla_Documentos[],4,FALSE),"")</f>
        <v>ALAMME MOTORS ARRIENDO, MANTENCIONES Y VENTA DE REPUESTOS SPA</v>
      </c>
      <c r="G974" s="38">
        <f>IFERROR(VLOOKUP($C974,Tabla_Documentos[],5,FALSE),"")</f>
        <v>1190000</v>
      </c>
      <c r="H974" s="29" t="str">
        <f>IFERROR(VLOOKUP($C974,Tabla_Documentos[],6,FALSE),"")</f>
        <v>PUBLICIDAD</v>
      </c>
      <c r="I974" s="38">
        <f>IFERROR(VLOOKUP($C974,Tabla_Documentos[],5,FALSE),"")</f>
        <v>1190000</v>
      </c>
      <c r="J974" s="25">
        <v>46105</v>
      </c>
    </row>
    <row r="975" spans="3:10" ht="21" customHeight="1" x14ac:dyDescent="0.25">
      <c r="C975" s="39">
        <v>1926</v>
      </c>
      <c r="D975" s="28">
        <f>IFERROR(VLOOKUP($C975,Tabla_Documentos[],2,FALSE),"")</f>
        <v>46106</v>
      </c>
      <c r="E975" s="34" t="str">
        <f>IFERROR(VLOOKUP($C975,Tabla_Documentos[],3,FALSE),"")</f>
        <v>77694334-7</v>
      </c>
      <c r="F975" s="35" t="str">
        <f>IFERROR(VLOOKUP($C975,Tabla_Documentos[],4,FALSE),"")</f>
        <v>PROYECTO APOLO SPA</v>
      </c>
      <c r="G975" s="38">
        <f>IFERROR(VLOOKUP($C975,Tabla_Documentos[],5,FALSE),"")</f>
        <v>83200</v>
      </c>
      <c r="H975" s="29" t="str">
        <f>IFERROR(VLOOKUP($C975,Tabla_Documentos[],6,FALSE),"")</f>
        <v>PUBLICIDAD</v>
      </c>
      <c r="I975" s="38">
        <f>IFERROR(VLOOKUP($C975,Tabla_Documentos[],5,FALSE),"")</f>
        <v>83200</v>
      </c>
      <c r="J975" s="25">
        <v>46106</v>
      </c>
    </row>
    <row r="976" spans="3:10" ht="21" customHeight="1" x14ac:dyDescent="0.25">
      <c r="C976" s="39">
        <v>1927</v>
      </c>
      <c r="D976" s="28">
        <f>IFERROR(VLOOKUP($C976,Tabla_Documentos[],2,FALSE),"")</f>
        <v>46106</v>
      </c>
      <c r="E976" s="34" t="str">
        <f>IFERROR(VLOOKUP($C976,Tabla_Documentos[],3,FALSE),"")</f>
        <v>78317659-9</v>
      </c>
      <c r="F976" s="35" t="str">
        <f>IFERROR(VLOOKUP($C976,Tabla_Documentos[],4,FALSE),"")</f>
        <v>SOCIEDAD DE SERVICIOS, ADMINISTRACIÃ“N Y LOGÃSTICA HOLVOET LIMITADA</v>
      </c>
      <c r="G976" s="38">
        <f>IFERROR(VLOOKUP($C976,Tabla_Documentos[],5,FALSE),"")</f>
        <v>4999</v>
      </c>
      <c r="H976" s="29" t="str">
        <f>IFERROR(VLOOKUP($C976,Tabla_Documentos[],6,FALSE),"")</f>
        <v>PUBLICIDAD</v>
      </c>
      <c r="I976" s="38">
        <f>IFERROR(VLOOKUP($C976,Tabla_Documentos[],5,FALSE),"")</f>
        <v>4999</v>
      </c>
      <c r="J976" s="25">
        <v>46106</v>
      </c>
    </row>
    <row r="977" spans="3:10" ht="21" customHeight="1" x14ac:dyDescent="0.25">
      <c r="C977" s="39">
        <v>1928</v>
      </c>
      <c r="D977" s="28">
        <f>IFERROR(VLOOKUP($C977,Tabla_Documentos[],2,FALSE),"")</f>
        <v>46106</v>
      </c>
      <c r="E977" s="34" t="str">
        <f>IFERROR(VLOOKUP($C977,Tabla_Documentos[],3,FALSE),"")</f>
        <v>77947375-9</v>
      </c>
      <c r="F977" s="35" t="str">
        <f>IFERROR(VLOOKUP($C977,Tabla_Documentos[],4,FALSE),"")</f>
        <v>ATACAMA DUNE SPA</v>
      </c>
      <c r="G977" s="38">
        <f>IFERROR(VLOOKUP($C977,Tabla_Documentos[],5,FALSE),"")</f>
        <v>33320</v>
      </c>
      <c r="H977" s="29" t="str">
        <f>IFERROR(VLOOKUP($C977,Tabla_Documentos[],6,FALSE),"")</f>
        <v>PUBLICIDAD</v>
      </c>
      <c r="I977" s="38">
        <f>IFERROR(VLOOKUP($C977,Tabla_Documentos[],5,FALSE),"")</f>
        <v>33320</v>
      </c>
      <c r="J977" s="25">
        <v>46106</v>
      </c>
    </row>
    <row r="978" spans="3:10" ht="21" customHeight="1" x14ac:dyDescent="0.25">
      <c r="C978" s="39">
        <v>1931</v>
      </c>
      <c r="D978" s="28">
        <f>IFERROR(VLOOKUP($C978,Tabla_Documentos[],2,FALSE),"")</f>
        <v>46107</v>
      </c>
      <c r="E978" s="34" t="str">
        <f>IFERROR(VLOOKUP($C978,Tabla_Documentos[],3,FALSE),"")</f>
        <v>77520219-K</v>
      </c>
      <c r="F978" s="35" t="str">
        <f>IFERROR(VLOOKUP($C978,Tabla_Documentos[],4,FALSE),"")</f>
        <v>AILUV SPA</v>
      </c>
      <c r="G978" s="38">
        <f>IFERROR(VLOOKUP($C978,Tabla_Documentos[],5,FALSE),"")</f>
        <v>249900</v>
      </c>
      <c r="H978" s="29" t="str">
        <f>IFERROR(VLOOKUP($C978,Tabla_Documentos[],6,FALSE),"")</f>
        <v>PUBLICIDAD</v>
      </c>
      <c r="I978" s="38">
        <f>IFERROR(VLOOKUP($C978,Tabla_Documentos[],5,FALSE),"")</f>
        <v>249900</v>
      </c>
      <c r="J978" s="25">
        <v>46107</v>
      </c>
    </row>
    <row r="979" spans="3:10" ht="21" customHeight="1" x14ac:dyDescent="0.25">
      <c r="C979" s="39">
        <v>1932</v>
      </c>
      <c r="D979" s="28">
        <f>IFERROR(VLOOKUP($C979,Tabla_Documentos[],2,FALSE),"")</f>
        <v>46108</v>
      </c>
      <c r="E979" s="34" t="str">
        <f>IFERROR(VLOOKUP($C979,Tabla_Documentos[],3,FALSE),"")</f>
        <v>77781210-6</v>
      </c>
      <c r="F979" s="35" t="str">
        <f>IFERROR(VLOOKUP($C979,Tabla_Documentos[],4,FALSE),"")</f>
        <v>BOGGIONI  BOGGIONI LIMITADA</v>
      </c>
      <c r="G979" s="38">
        <f>IFERROR(VLOOKUP($C979,Tabla_Documentos[],5,FALSE),"")</f>
        <v>19999</v>
      </c>
      <c r="H979" s="29" t="str">
        <f>IFERROR(VLOOKUP($C979,Tabla_Documentos[],6,FALSE),"")</f>
        <v>PUBLICIDAD</v>
      </c>
      <c r="I979" s="38">
        <f>IFERROR(VLOOKUP($C979,Tabla_Documentos[],5,FALSE),"")</f>
        <v>19999</v>
      </c>
      <c r="J979" s="25">
        <v>46108</v>
      </c>
    </row>
    <row r="980" spans="3:10" ht="21" customHeight="1" x14ac:dyDescent="0.25">
      <c r="C980" s="39">
        <v>1933</v>
      </c>
      <c r="D980" s="28">
        <f>IFERROR(VLOOKUP($C980,Tabla_Documentos[],2,FALSE),"")</f>
        <v>46108</v>
      </c>
      <c r="E980" s="34" t="str">
        <f>IFERROR(VLOOKUP($C980,Tabla_Documentos[],3,FALSE),"")</f>
        <v>77947375-9</v>
      </c>
      <c r="F980" s="35" t="str">
        <f>IFERROR(VLOOKUP($C980,Tabla_Documentos[],4,FALSE),"")</f>
        <v>ATACAMA DUNE SPA</v>
      </c>
      <c r="G980" s="38">
        <f>IFERROR(VLOOKUP($C980,Tabla_Documentos[],5,FALSE),"")</f>
        <v>8925</v>
      </c>
      <c r="H980" s="29" t="str">
        <f>IFERROR(VLOOKUP($C980,Tabla_Documentos[],6,FALSE),"")</f>
        <v>PUBLICIDAD</v>
      </c>
      <c r="I980" s="38">
        <f>IFERROR(VLOOKUP($C980,Tabla_Documentos[],5,FALSE),"")</f>
        <v>8925</v>
      </c>
      <c r="J980" s="25">
        <v>46108</v>
      </c>
    </row>
    <row r="981" spans="3:10" ht="21" customHeight="1" x14ac:dyDescent="0.25">
      <c r="C981" s="39">
        <v>1934</v>
      </c>
      <c r="D981" s="28">
        <f>IFERROR(VLOOKUP($C981,Tabla_Documentos[],2,FALSE),"")</f>
        <v>46108</v>
      </c>
      <c r="E981" s="34" t="str">
        <f>IFERROR(VLOOKUP($C981,Tabla_Documentos[],3,FALSE),"")</f>
        <v>77597787-6</v>
      </c>
      <c r="F981" s="35" t="str">
        <f>IFERROR(VLOOKUP($C981,Tabla_Documentos[],4,FALSE),"")</f>
        <v>SOCIEDAD DE TRANSPORTES LJ HERMANOS  LIMITADA</v>
      </c>
      <c r="G981" s="38">
        <f>IFERROR(VLOOKUP($C981,Tabla_Documentos[],5,FALSE),"")</f>
        <v>226100</v>
      </c>
      <c r="H981" s="29" t="str">
        <f>IFERROR(VLOOKUP($C981,Tabla_Documentos[],6,FALSE),"")</f>
        <v>PUBLICIDAD</v>
      </c>
      <c r="I981" s="38">
        <f>IFERROR(VLOOKUP($C981,Tabla_Documentos[],5,FALSE),"")</f>
        <v>226100</v>
      </c>
      <c r="J981" s="25">
        <v>46108</v>
      </c>
    </row>
    <row r="982" spans="3:10" ht="21" customHeight="1" x14ac:dyDescent="0.25">
      <c r="C982" s="39">
        <v>1935</v>
      </c>
      <c r="D982" s="28">
        <f>IFERROR(VLOOKUP($C982,Tabla_Documentos[],2,FALSE),"")</f>
        <v>46108</v>
      </c>
      <c r="E982" s="34" t="str">
        <f>IFERROR(VLOOKUP($C982,Tabla_Documentos[],3,FALSE),"")</f>
        <v>15612090-1</v>
      </c>
      <c r="F982" s="35" t="str">
        <f>IFERROR(VLOOKUP($C982,Tabla_Documentos[],4,FALSE),"")</f>
        <v>JEAN MAURICIO OLIVARES TOLEDO</v>
      </c>
      <c r="G982" s="38">
        <f>IFERROR(VLOOKUP($C982,Tabla_Documentos[],5,FALSE),"")</f>
        <v>21500</v>
      </c>
      <c r="H982" s="29" t="str">
        <f>IFERROR(VLOOKUP($C982,Tabla_Documentos[],6,FALSE),"")</f>
        <v>PUBLICIDAD</v>
      </c>
      <c r="I982" s="38">
        <f>IFERROR(VLOOKUP($C982,Tabla_Documentos[],5,FALSE),"")</f>
        <v>21500</v>
      </c>
      <c r="J982" s="25">
        <v>46108</v>
      </c>
    </row>
    <row r="983" spans="3:10" ht="21" customHeight="1" x14ac:dyDescent="0.25">
      <c r="C983" s="39">
        <v>1936</v>
      </c>
      <c r="D983" s="28">
        <f>IFERROR(VLOOKUP($C983,Tabla_Documentos[],2,FALSE),"")</f>
        <v>46108</v>
      </c>
      <c r="E983" s="34" t="str">
        <f>IFERROR(VLOOKUP($C983,Tabla_Documentos[],3,FALSE),"")</f>
        <v>77117647-K</v>
      </c>
      <c r="F983" s="35" t="str">
        <f>IFERROR(VLOOKUP($C983,Tabla_Documentos[],4,FALSE),"")</f>
        <v>TRANSPORTES Y TURISMOS ALVARO ANIBAL TAMBLAY FABREGA E.I.R.L.</v>
      </c>
      <c r="G983" s="38">
        <f>IFERROR(VLOOKUP($C983,Tabla_Documentos[],5,FALSE),"")</f>
        <v>142800</v>
      </c>
      <c r="H983" s="29" t="str">
        <f>IFERROR(VLOOKUP($C983,Tabla_Documentos[],6,FALSE),"")</f>
        <v>PUBLICIDAD</v>
      </c>
      <c r="I983" s="38">
        <f>IFERROR(VLOOKUP($C983,Tabla_Documentos[],5,FALSE),"")</f>
        <v>142800</v>
      </c>
      <c r="J983" s="25">
        <v>46108</v>
      </c>
    </row>
    <row r="984" spans="3:10" ht="21" customHeight="1" x14ac:dyDescent="0.25">
      <c r="C984" s="39">
        <v>1937</v>
      </c>
      <c r="D984" s="28">
        <f>IFERROR(VLOOKUP($C984,Tabla_Documentos[],2,FALSE),"")</f>
        <v>46111</v>
      </c>
      <c r="E984" s="34" t="str">
        <f>IFERROR(VLOOKUP($C984,Tabla_Documentos[],3,FALSE),"")</f>
        <v>96972750-1</v>
      </c>
      <c r="F984" s="35" t="str">
        <f>IFERROR(VLOOKUP($C984,Tabla_Documentos[],4,FALSE),"")</f>
        <v>SOC CONSULTORA EXPRO SOCIEDAD ANONIMA</v>
      </c>
      <c r="G984" s="38">
        <f>IFERROR(VLOOKUP($C984,Tabla_Documentos[],5,FALSE),"")</f>
        <v>179999</v>
      </c>
      <c r="H984" s="29" t="str">
        <f>IFERROR(VLOOKUP($C984,Tabla_Documentos[],6,FALSE),"")</f>
        <v>PUBLICIDAD</v>
      </c>
      <c r="I984" s="38">
        <f>IFERROR(VLOOKUP($C984,Tabla_Documentos[],5,FALSE),"")</f>
        <v>179999</v>
      </c>
      <c r="J984" s="25">
        <v>46111</v>
      </c>
    </row>
    <row r="985" spans="3:10" ht="21" customHeight="1" x14ac:dyDescent="0.25">
      <c r="C985" s="39">
        <v>1939</v>
      </c>
      <c r="D985" s="28">
        <f>IFERROR(VLOOKUP($C985,Tabla_Documentos[],2,FALSE),"")</f>
        <v>46112</v>
      </c>
      <c r="E985" s="34" t="str">
        <f>IFERROR(VLOOKUP($C985,Tabla_Documentos[],3,FALSE),"")</f>
        <v>77363025-9</v>
      </c>
      <c r="F985" s="35" t="str">
        <f>IFERROR(VLOOKUP($C985,Tabla_Documentos[],4,FALSE),"")</f>
        <v>SERVICIOS IRIARTE SPA</v>
      </c>
      <c r="G985" s="38">
        <f>IFERROR(VLOOKUP($C985,Tabla_Documentos[],5,FALSE),"")</f>
        <v>23800</v>
      </c>
      <c r="H985" s="29" t="str">
        <f>IFERROR(VLOOKUP($C985,Tabla_Documentos[],6,FALSE),"")</f>
        <v>PUBLICIDAD</v>
      </c>
      <c r="I985" s="38">
        <f>IFERROR(VLOOKUP($C985,Tabla_Documentos[],5,FALSE),"")</f>
        <v>23800</v>
      </c>
      <c r="J985" s="25">
        <v>46112</v>
      </c>
    </row>
    <row r="986" spans="3:10" ht="21" customHeight="1" x14ac:dyDescent="0.25">
      <c r="C986" s="39">
        <v>1940</v>
      </c>
      <c r="D986" s="28">
        <f>IFERROR(VLOOKUP($C986,Tabla_Documentos[],2,FALSE),"")</f>
        <v>46112</v>
      </c>
      <c r="E986" s="34" t="str">
        <f>IFERROR(VLOOKUP($C986,Tabla_Documentos[],3,FALSE),"")</f>
        <v>76220664-1</v>
      </c>
      <c r="F986" s="35" t="str">
        <f>IFERROR(VLOOKUP($C986,Tabla_Documentos[],4,FALSE),"")</f>
        <v>GREEN PEST CONTROL SPA</v>
      </c>
      <c r="G986" s="38">
        <f>IFERROR(VLOOKUP($C986,Tabla_Documentos[],5,FALSE),"")</f>
        <v>23800</v>
      </c>
      <c r="H986" s="29" t="str">
        <f>IFERROR(VLOOKUP($C986,Tabla_Documentos[],6,FALSE),"")</f>
        <v>PUBLICIDAD</v>
      </c>
      <c r="I986" s="38">
        <f>IFERROR(VLOOKUP($C986,Tabla_Documentos[],5,FALSE),"")</f>
        <v>23800</v>
      </c>
      <c r="J986" s="25">
        <v>46112</v>
      </c>
    </row>
    <row r="987" spans="3:10" ht="21" customHeight="1" x14ac:dyDescent="0.25">
      <c r="C987" s="39">
        <v>1941</v>
      </c>
      <c r="D987" s="28">
        <f>IFERROR(VLOOKUP($C987,Tabla_Documentos[],2,FALSE),"")</f>
        <v>46113</v>
      </c>
      <c r="E987" s="34" t="str">
        <f>IFERROR(VLOOKUP($C987,Tabla_Documentos[],3,FALSE),"")</f>
        <v>76478614-9</v>
      </c>
      <c r="F987" s="35" t="str">
        <f>IFERROR(VLOOKUP($C987,Tabla_Documentos[],4,FALSE),"")</f>
        <v>INGENIERIA C Y G LIMITADA</v>
      </c>
      <c r="G987" s="38">
        <f>IFERROR(VLOOKUP($C987,Tabla_Documentos[],5,FALSE),"")</f>
        <v>77350</v>
      </c>
      <c r="H987" s="29" t="str">
        <f>IFERROR(VLOOKUP($C987,Tabla_Documentos[],6,FALSE),"")</f>
        <v>PUBLICIDAD</v>
      </c>
      <c r="I987" s="38">
        <f>IFERROR(VLOOKUP($C987,Tabla_Documentos[],5,FALSE),"")</f>
        <v>77350</v>
      </c>
      <c r="J987" s="25">
        <v>46113</v>
      </c>
    </row>
    <row r="988" spans="3:10" ht="21" customHeight="1" x14ac:dyDescent="0.25">
      <c r="C988" s="39">
        <v>1943</v>
      </c>
      <c r="D988" s="28">
        <f>IFERROR(VLOOKUP($C988,Tabla_Documentos[],2,FALSE),"")</f>
        <v>46113</v>
      </c>
      <c r="E988" s="34" t="str">
        <f>IFERROR(VLOOKUP($C988,Tabla_Documentos[],3,FALSE),"")</f>
        <v>77158216-8</v>
      </c>
      <c r="F988" s="35" t="str">
        <f>IFERROR(VLOOKUP($C988,Tabla_Documentos[],4,FALSE),"")</f>
        <v>MPF INGENIERÃA CIVIL SPA</v>
      </c>
      <c r="G988" s="38">
        <f>IFERROR(VLOOKUP($C988,Tabla_Documentos[],5,FALSE),"")</f>
        <v>95200</v>
      </c>
      <c r="H988" s="29" t="str">
        <f>IFERROR(VLOOKUP($C988,Tabla_Documentos[],6,FALSE),"")</f>
        <v>PUBLICIDAD</v>
      </c>
      <c r="I988" s="38">
        <f>IFERROR(VLOOKUP($C988,Tabla_Documentos[],5,FALSE),"")</f>
        <v>95200</v>
      </c>
      <c r="J988" s="25">
        <v>46113</v>
      </c>
    </row>
    <row r="989" spans="3:10" ht="21" customHeight="1" x14ac:dyDescent="0.25">
      <c r="C989" s="39">
        <v>1944</v>
      </c>
      <c r="D989" s="28">
        <f>IFERROR(VLOOKUP($C989,Tabla_Documentos[],2,FALSE),"")</f>
        <v>46113</v>
      </c>
      <c r="E989" s="34" t="str">
        <f>IFERROR(VLOOKUP($C989,Tabla_Documentos[],3,FALSE),"")</f>
        <v>78003369-K</v>
      </c>
      <c r="F989" s="35" t="str">
        <f>IFERROR(VLOOKUP($C989,Tabla_Documentos[],4,FALSE),"")</f>
        <v>EMPRESA DE TRANSPORTES DE PASAJEROS NUEVA COPIAPO 1 SPA</v>
      </c>
      <c r="G989" s="38">
        <f>IFERROR(VLOOKUP($C989,Tabla_Documentos[],5,FALSE),"")</f>
        <v>437563</v>
      </c>
      <c r="H989" s="29" t="str">
        <f>IFERROR(VLOOKUP($C989,Tabla_Documentos[],6,FALSE),"")</f>
        <v>PUBLICIDAD</v>
      </c>
      <c r="I989" s="38">
        <f>IFERROR(VLOOKUP($C989,Tabla_Documentos[],5,FALSE),"")</f>
        <v>437563</v>
      </c>
      <c r="J989" s="25">
        <v>46113</v>
      </c>
    </row>
    <row r="990" spans="3:10" ht="21" customHeight="1" x14ac:dyDescent="0.25">
      <c r="C990" s="39">
        <v>1945</v>
      </c>
      <c r="D990" s="28">
        <f>IFERROR(VLOOKUP($C990,Tabla_Documentos[],2,FALSE),"")</f>
        <v>46113</v>
      </c>
      <c r="E990" s="34" t="str">
        <f>IFERROR(VLOOKUP($C990,Tabla_Documentos[],3,FALSE),"")</f>
        <v>77520219-K</v>
      </c>
      <c r="F990" s="35" t="str">
        <f>IFERROR(VLOOKUP($C990,Tabla_Documentos[],4,FALSE),"")</f>
        <v>AILUV SPA</v>
      </c>
      <c r="G990" s="38">
        <f>IFERROR(VLOOKUP($C990,Tabla_Documentos[],5,FALSE),"")</f>
        <v>267750</v>
      </c>
      <c r="H990" s="29" t="str">
        <f>IFERROR(VLOOKUP($C990,Tabla_Documentos[],6,FALSE),"")</f>
        <v>PUBLICIDAD</v>
      </c>
      <c r="I990" s="38">
        <f>IFERROR(VLOOKUP($C990,Tabla_Documentos[],5,FALSE),"")</f>
        <v>267750</v>
      </c>
      <c r="J990" s="25">
        <v>46113</v>
      </c>
    </row>
    <row r="991" spans="3:10" ht="21" customHeight="1" x14ac:dyDescent="0.25">
      <c r="C991" s="39">
        <v>1946</v>
      </c>
      <c r="D991" s="28">
        <f>IFERROR(VLOOKUP($C991,Tabla_Documentos[],2,FALSE),"")</f>
        <v>46114</v>
      </c>
      <c r="E991" s="34" t="str">
        <f>IFERROR(VLOOKUP($C991,Tabla_Documentos[],3,FALSE),"")</f>
        <v>77147537-K</v>
      </c>
      <c r="F991" s="35" t="str">
        <f>IFERROR(VLOOKUP($C991,Tabla_Documentos[],4,FALSE),"")</f>
        <v>SOLYSERV SPA</v>
      </c>
      <c r="G991" s="38">
        <f>IFERROR(VLOOKUP($C991,Tabla_Documentos[],5,FALSE),"")</f>
        <v>35700</v>
      </c>
      <c r="H991" s="29" t="str">
        <f>IFERROR(VLOOKUP($C991,Tabla_Documentos[],6,FALSE),"")</f>
        <v>PUBLICIDAD</v>
      </c>
      <c r="I991" s="38">
        <f>IFERROR(VLOOKUP($C991,Tabla_Documentos[],5,FALSE),"")</f>
        <v>35700</v>
      </c>
      <c r="J991" s="25">
        <v>46114</v>
      </c>
    </row>
    <row r="992" spans="3:10" ht="21" customHeight="1" x14ac:dyDescent="0.25">
      <c r="C992" s="39">
        <v>1948</v>
      </c>
      <c r="D992" s="28">
        <f>IFERROR(VLOOKUP($C992,Tabla_Documentos[],2,FALSE),"")</f>
        <v>46118</v>
      </c>
      <c r="E992" s="34" t="str">
        <f>IFERROR(VLOOKUP($C992,Tabla_Documentos[],3,FALSE),"")</f>
        <v>77062894-6</v>
      </c>
      <c r="F992" s="35" t="str">
        <f>IFERROR(VLOOKUP($C992,Tabla_Documentos[],4,FALSE),"")</f>
        <v>MENDOZA CAZ  SPA</v>
      </c>
      <c r="G992" s="38">
        <f>IFERROR(VLOOKUP($C992,Tabla_Documentos[],5,FALSE),"")</f>
        <v>23800</v>
      </c>
      <c r="H992" s="29" t="str">
        <f>IFERROR(VLOOKUP($C992,Tabla_Documentos[],6,FALSE),"")</f>
        <v>PUBLICIDAD</v>
      </c>
      <c r="I992" s="38">
        <f>IFERROR(VLOOKUP($C992,Tabla_Documentos[],5,FALSE),"")</f>
        <v>23800</v>
      </c>
      <c r="J992" s="25">
        <v>46118</v>
      </c>
    </row>
    <row r="993" spans="3:10" ht="21" customHeight="1" x14ac:dyDescent="0.25">
      <c r="C993" s="39">
        <v>1949</v>
      </c>
      <c r="D993" s="28">
        <f>IFERROR(VLOOKUP($C993,Tabla_Documentos[],2,FALSE),"")</f>
        <v>46118</v>
      </c>
      <c r="E993" s="34" t="str">
        <f>IFERROR(VLOOKUP($C993,Tabla_Documentos[],3,FALSE),"")</f>
        <v>96792430-K</v>
      </c>
      <c r="F993" s="35" t="str">
        <f>IFERROR(VLOOKUP($C993,Tabla_Documentos[],4,FALSE),"")</f>
        <v>SODIMAC S.A.</v>
      </c>
      <c r="G993" s="38">
        <f>IFERROR(VLOOKUP($C993,Tabla_Documentos[],5,FALSE),"")</f>
        <v>1663620</v>
      </c>
      <c r="H993" s="29" t="str">
        <f>IFERROR(VLOOKUP($C993,Tabla_Documentos[],6,FALSE),"")</f>
        <v>PUBLICIDAD</v>
      </c>
      <c r="I993" s="38">
        <f>IFERROR(VLOOKUP($C993,Tabla_Documentos[],5,FALSE),"")</f>
        <v>1663620</v>
      </c>
      <c r="J993" s="25">
        <v>46118</v>
      </c>
    </row>
    <row r="994" spans="3:10" ht="21" customHeight="1" x14ac:dyDescent="0.25">
      <c r="C994" s="39">
        <v>1951</v>
      </c>
      <c r="D994" s="28">
        <f>IFERROR(VLOOKUP($C994,Tabla_Documentos[],2,FALSE),"")</f>
        <v>46119</v>
      </c>
      <c r="E994" s="34" t="str">
        <f>IFERROR(VLOOKUP($C994,Tabla_Documentos[],3,FALSE),"")</f>
        <v>77154334-0</v>
      </c>
      <c r="F994" s="35" t="str">
        <f>IFERROR(VLOOKUP($C994,Tabla_Documentos[],4,FALSE),"")</f>
        <v>INVERSIONES RÃO BIO BIO SPA</v>
      </c>
      <c r="G994" s="38">
        <f>IFERROR(VLOOKUP($C994,Tabla_Documentos[],5,FALSE),"")</f>
        <v>261800</v>
      </c>
      <c r="H994" s="29" t="str">
        <f>IFERROR(VLOOKUP($C994,Tabla_Documentos[],6,FALSE),"")</f>
        <v>PUBLICIDAD</v>
      </c>
      <c r="I994" s="38">
        <f>IFERROR(VLOOKUP($C994,Tabla_Documentos[],5,FALSE),"")</f>
        <v>261800</v>
      </c>
      <c r="J994" s="25">
        <v>46119</v>
      </c>
    </row>
    <row r="995" spans="3:10" ht="21" customHeight="1" x14ac:dyDescent="0.25">
      <c r="C995" s="39">
        <v>1952</v>
      </c>
      <c r="D995" s="28">
        <f>IFERROR(VLOOKUP($C995,Tabla_Documentos[],2,FALSE),"")</f>
        <v>46119</v>
      </c>
      <c r="E995" s="34" t="str">
        <f>IFERROR(VLOOKUP($C995,Tabla_Documentos[],3,FALSE),"")</f>
        <v>77597787-6</v>
      </c>
      <c r="F995" s="35" t="str">
        <f>IFERROR(VLOOKUP($C995,Tabla_Documentos[],4,FALSE),"")</f>
        <v>SOCIEDAD DE TRANSPORTES LJ HERMANOS  LIMITADA</v>
      </c>
      <c r="G995" s="38">
        <f>IFERROR(VLOOKUP($C995,Tabla_Documentos[],5,FALSE),"")</f>
        <v>48790</v>
      </c>
      <c r="H995" s="29" t="str">
        <f>IFERROR(VLOOKUP($C995,Tabla_Documentos[],6,FALSE),"")</f>
        <v>PUBLICIDAD</v>
      </c>
      <c r="I995" s="38">
        <f>IFERROR(VLOOKUP($C995,Tabla_Documentos[],5,FALSE),"")</f>
        <v>48790</v>
      </c>
      <c r="J995" s="25">
        <v>46119</v>
      </c>
    </row>
    <row r="996" spans="3:10" ht="21" customHeight="1" x14ac:dyDescent="0.25">
      <c r="C996" s="39">
        <v>1953</v>
      </c>
      <c r="D996" s="28">
        <f>IFERROR(VLOOKUP($C996,Tabla_Documentos[],2,FALSE),"")</f>
        <v>46119</v>
      </c>
      <c r="E996" s="34" t="str">
        <f>IFERROR(VLOOKUP($C996,Tabla_Documentos[],3,FALSE),"")</f>
        <v>76478614-9</v>
      </c>
      <c r="F996" s="35" t="str">
        <f>IFERROR(VLOOKUP($C996,Tabla_Documentos[],4,FALSE),"")</f>
        <v>INGENIERIA C Y G LIMITADA</v>
      </c>
      <c r="G996" s="38">
        <f>IFERROR(VLOOKUP($C996,Tabla_Documentos[],5,FALSE),"")</f>
        <v>132090</v>
      </c>
      <c r="H996" s="29" t="str">
        <f>IFERROR(VLOOKUP($C996,Tabla_Documentos[],6,FALSE),"")</f>
        <v>PUBLICIDAD</v>
      </c>
      <c r="I996" s="38">
        <f>IFERROR(VLOOKUP($C996,Tabla_Documentos[],5,FALSE),"")</f>
        <v>132090</v>
      </c>
      <c r="J996" s="25">
        <v>46119</v>
      </c>
    </row>
    <row r="997" spans="3:10" ht="21" customHeight="1" x14ac:dyDescent="0.25">
      <c r="C997" s="39">
        <v>1954</v>
      </c>
      <c r="D997" s="28">
        <f>IFERROR(VLOOKUP($C997,Tabla_Documentos[],2,FALSE),"")</f>
        <v>46119</v>
      </c>
      <c r="E997" s="34" t="str">
        <f>IFERROR(VLOOKUP($C997,Tabla_Documentos[],3,FALSE),"")</f>
        <v>77147537-K</v>
      </c>
      <c r="F997" s="35" t="str">
        <f>IFERROR(VLOOKUP($C997,Tabla_Documentos[],4,FALSE),"")</f>
        <v>SOLYSERV SPA</v>
      </c>
      <c r="G997" s="38">
        <f>IFERROR(VLOOKUP($C997,Tabla_Documentos[],5,FALSE),"")</f>
        <v>50575</v>
      </c>
      <c r="H997" s="29" t="str">
        <f>IFERROR(VLOOKUP($C997,Tabla_Documentos[],6,FALSE),"")</f>
        <v>PUBLICIDAD</v>
      </c>
      <c r="I997" s="38">
        <f>IFERROR(VLOOKUP($C997,Tabla_Documentos[],5,FALSE),"")</f>
        <v>50575</v>
      </c>
      <c r="J997" s="25">
        <v>46119</v>
      </c>
    </row>
    <row r="998" spans="3:10" ht="21" customHeight="1" x14ac:dyDescent="0.25">
      <c r="C998" s="39">
        <v>1955</v>
      </c>
      <c r="D998" s="28">
        <f>IFERROR(VLOOKUP($C998,Tabla_Documentos[],2,FALSE),"")</f>
        <v>46120</v>
      </c>
      <c r="E998" s="34" t="str">
        <f>IFERROR(VLOOKUP($C998,Tabla_Documentos[],3,FALSE),"")</f>
        <v>77549794-7</v>
      </c>
      <c r="F998" s="35" t="str">
        <f>IFERROR(VLOOKUP($C998,Tabla_Documentos[],4,FALSE),"")</f>
        <v>SOCIEDAD COMERCIAL ROMSA SERVICIOS SPA</v>
      </c>
      <c r="G998" s="38">
        <f>IFERROR(VLOOKUP($C998,Tabla_Documentos[],5,FALSE),"")</f>
        <v>23800</v>
      </c>
      <c r="H998" s="29" t="str">
        <f>IFERROR(VLOOKUP($C998,Tabla_Documentos[],6,FALSE),"")</f>
        <v>PUBLICIDAD</v>
      </c>
      <c r="I998" s="38">
        <f>IFERROR(VLOOKUP($C998,Tabla_Documentos[],5,FALSE),"")</f>
        <v>23800</v>
      </c>
      <c r="J998" s="25">
        <v>46120</v>
      </c>
    </row>
    <row r="999" spans="3:10" ht="21" customHeight="1" x14ac:dyDescent="0.25">
      <c r="C999" s="39">
        <v>1958</v>
      </c>
      <c r="D999" s="28">
        <f>IFERROR(VLOOKUP($C999,Tabla_Documentos[],2,FALSE),"")</f>
        <v>46121</v>
      </c>
      <c r="E999" s="34" t="str">
        <f>IFERROR(VLOOKUP($C999,Tabla_Documentos[],3,FALSE),"")</f>
        <v>77789862-0</v>
      </c>
      <c r="F999" s="35" t="str">
        <f>IFERROR(VLOOKUP($C999,Tabla_Documentos[],4,FALSE),"")</f>
        <v>MOINCO INGENIERIA SPA</v>
      </c>
      <c r="G999" s="38">
        <f>IFERROR(VLOOKUP($C999,Tabla_Documentos[],5,FALSE),"")</f>
        <v>1492736</v>
      </c>
      <c r="H999" s="29" t="str">
        <f>IFERROR(VLOOKUP($C999,Tabla_Documentos[],6,FALSE),"")</f>
        <v>PUBLICIDAD</v>
      </c>
      <c r="I999" s="38">
        <f>IFERROR(VLOOKUP($C999,Tabla_Documentos[],5,FALSE),"")</f>
        <v>1492736</v>
      </c>
      <c r="J999" s="25">
        <v>46121</v>
      </c>
    </row>
    <row r="1000" spans="3:10" ht="21" customHeight="1" x14ac:dyDescent="0.25">
      <c r="C1000" s="39">
        <v>1960</v>
      </c>
      <c r="D1000" s="28">
        <f>IFERROR(VLOOKUP($C1000,Tabla_Documentos[],2,FALSE),"")</f>
        <v>46121</v>
      </c>
      <c r="E1000" s="34" t="str">
        <f>IFERROR(VLOOKUP($C1000,Tabla_Documentos[],3,FALSE),"")</f>
        <v>77511008-2</v>
      </c>
      <c r="F1000" s="35" t="str">
        <f>IFERROR(VLOOKUP($C1000,Tabla_Documentos[],4,FALSE),"")</f>
        <v>MULTISERVICIOS SANABRIA SPA</v>
      </c>
      <c r="G1000" s="38">
        <f>IFERROR(VLOOKUP($C1000,Tabla_Documentos[],5,FALSE),"")</f>
        <v>89250</v>
      </c>
      <c r="H1000" s="29" t="str">
        <f>IFERROR(VLOOKUP($C1000,Tabla_Documentos[],6,FALSE),"")</f>
        <v>PUBLICIDAD</v>
      </c>
      <c r="I1000" s="38">
        <f>IFERROR(VLOOKUP($C1000,Tabla_Documentos[],5,FALSE),"")</f>
        <v>89250</v>
      </c>
      <c r="J1000" s="25">
        <v>46121</v>
      </c>
    </row>
    <row r="1001" spans="3:10" ht="21" customHeight="1" x14ac:dyDescent="0.25">
      <c r="C1001" s="39">
        <v>1961</v>
      </c>
      <c r="D1001" s="28">
        <f>IFERROR(VLOOKUP($C1001,Tabla_Documentos[],2,FALSE),"")</f>
        <v>46121</v>
      </c>
      <c r="E1001" s="34" t="str">
        <f>IFERROR(VLOOKUP($C1001,Tabla_Documentos[],3,FALSE),"")</f>
        <v>77823149-2</v>
      </c>
      <c r="F1001" s="35" t="str">
        <f>IFERROR(VLOOKUP($C1001,Tabla_Documentos[],4,FALSE),"")</f>
        <v>TRANSPORTES NORTE TRUCKS SPA</v>
      </c>
      <c r="G1001" s="38">
        <f>IFERROR(VLOOKUP($C1001,Tabla_Documentos[],5,FALSE),"")</f>
        <v>30000</v>
      </c>
      <c r="H1001" s="29" t="str">
        <f>IFERROR(VLOOKUP($C1001,Tabla_Documentos[],6,FALSE),"")</f>
        <v>PUBLICIDAD</v>
      </c>
      <c r="I1001" s="38">
        <f>IFERROR(VLOOKUP($C1001,Tabla_Documentos[],5,FALSE),"")</f>
        <v>30000</v>
      </c>
      <c r="J1001" s="25">
        <v>46121</v>
      </c>
    </row>
    <row r="1002" spans="3:10" ht="21" customHeight="1" x14ac:dyDescent="0.25">
      <c r="C1002" s="39">
        <v>1963</v>
      </c>
      <c r="D1002" s="28">
        <f>IFERROR(VLOOKUP($C1002,Tabla_Documentos[],2,FALSE),"")</f>
        <v>46122</v>
      </c>
      <c r="E1002" s="34" t="str">
        <f>IFERROR(VLOOKUP($C1002,Tabla_Documentos[],3,FALSE),"")</f>
        <v>10446368-1</v>
      </c>
      <c r="F1002" s="35" t="str">
        <f>IFERROR(VLOOKUP($C1002,Tabla_Documentos[],4,FALSE),"")</f>
        <v>MARIO HERNAN CASTILLO FUENTES</v>
      </c>
      <c r="G1002" s="38">
        <f>IFERROR(VLOOKUP($C1002,Tabla_Documentos[],5,FALSE),"")</f>
        <v>35700</v>
      </c>
      <c r="H1002" s="29" t="str">
        <f>IFERROR(VLOOKUP($C1002,Tabla_Documentos[],6,FALSE),"")</f>
        <v>PUBLICIDAD</v>
      </c>
      <c r="I1002" s="38">
        <f>IFERROR(VLOOKUP($C1002,Tabla_Documentos[],5,FALSE),"")</f>
        <v>35700</v>
      </c>
      <c r="J1002" s="25">
        <v>46122</v>
      </c>
    </row>
    <row r="1003" spans="3:10" ht="21" customHeight="1" x14ac:dyDescent="0.25">
      <c r="C1003" s="39">
        <v>1968</v>
      </c>
      <c r="D1003" s="28">
        <f>IFERROR(VLOOKUP($C1003,Tabla_Documentos[],2,FALSE),"")</f>
        <v>46125</v>
      </c>
      <c r="E1003" s="34" t="str">
        <f>IFERROR(VLOOKUP($C1003,Tabla_Documentos[],3,FALSE),"")</f>
        <v>77917754-8</v>
      </c>
      <c r="F1003" s="35" t="str">
        <f>IFERROR(VLOOKUP($C1003,Tabla_Documentos[],4,FALSE),"")</f>
        <v>CONSTRUCTORA, REPARACIONES, APLICACIONES E INSTALACIONES GRUPO ATADURA</v>
      </c>
      <c r="G1003" s="38">
        <f>IFERROR(VLOOKUP($C1003,Tabla_Documentos[],5,FALSE),"")</f>
        <v>257040</v>
      </c>
      <c r="H1003" s="29" t="str">
        <f>IFERROR(VLOOKUP($C1003,Tabla_Documentos[],6,FALSE),"")</f>
        <v>PUBLICIDAD</v>
      </c>
      <c r="I1003" s="38">
        <f>IFERROR(VLOOKUP($C1003,Tabla_Documentos[],5,FALSE),"")</f>
        <v>257040</v>
      </c>
      <c r="J1003" s="25">
        <v>46125</v>
      </c>
    </row>
    <row r="1004" spans="3:10" ht="21" customHeight="1" x14ac:dyDescent="0.25">
      <c r="C1004" s="39">
        <v>1969</v>
      </c>
      <c r="D1004" s="28">
        <f>IFERROR(VLOOKUP($C1004,Tabla_Documentos[],2,FALSE),"")</f>
        <v>46126</v>
      </c>
      <c r="E1004" s="34" t="str">
        <f>IFERROR(VLOOKUP($C1004,Tabla_Documentos[],3,FALSE),"")</f>
        <v>76227269-5</v>
      </c>
      <c r="F1004" s="35" t="str">
        <f>IFERROR(VLOOKUP($C1004,Tabla_Documentos[],4,FALSE),"")</f>
        <v>FVP MINING  INDUSTRY SPA</v>
      </c>
      <c r="G1004" s="38">
        <f>IFERROR(VLOOKUP($C1004,Tabla_Documentos[],5,FALSE),"")</f>
        <v>476000</v>
      </c>
      <c r="H1004" s="29" t="str">
        <f>IFERROR(VLOOKUP($C1004,Tabla_Documentos[],6,FALSE),"")</f>
        <v>PUBLICIDAD</v>
      </c>
      <c r="I1004" s="38">
        <f>IFERROR(VLOOKUP($C1004,Tabla_Documentos[],5,FALSE),"")</f>
        <v>476000</v>
      </c>
      <c r="J1004" s="25">
        <v>46126</v>
      </c>
    </row>
    <row r="1005" spans="3:10" ht="21" customHeight="1" x14ac:dyDescent="0.25">
      <c r="C1005" s="39">
        <v>1970</v>
      </c>
      <c r="D1005" s="28">
        <f>IFERROR(VLOOKUP($C1005,Tabla_Documentos[],2,FALSE),"")</f>
        <v>46126</v>
      </c>
      <c r="E1005" s="34" t="str">
        <f>IFERROR(VLOOKUP($C1005,Tabla_Documentos[],3,FALSE),"")</f>
        <v>76953805-4</v>
      </c>
      <c r="F1005" s="35" t="str">
        <f>IFERROR(VLOOKUP($C1005,Tabla_Documentos[],4,FALSE),"")</f>
        <v>SERVICIOS MONTENEGRO SPA</v>
      </c>
      <c r="G1005" s="38">
        <f>IFERROR(VLOOKUP($C1005,Tabla_Documentos[],5,FALSE),"")</f>
        <v>630700</v>
      </c>
      <c r="H1005" s="29" t="str">
        <f>IFERROR(VLOOKUP($C1005,Tabla_Documentos[],6,FALSE),"")</f>
        <v>PUBLICIDAD</v>
      </c>
      <c r="I1005" s="38">
        <f>IFERROR(VLOOKUP($C1005,Tabla_Documentos[],5,FALSE),"")</f>
        <v>630700</v>
      </c>
      <c r="J1005" s="25">
        <v>46126</v>
      </c>
    </row>
    <row r="1006" spans="3:10" ht="21" customHeight="1" x14ac:dyDescent="0.25">
      <c r="C1006" s="39">
        <v>1971</v>
      </c>
      <c r="D1006" s="28">
        <f>IFERROR(VLOOKUP($C1006,Tabla_Documentos[],2,FALSE),"")</f>
        <v>46126</v>
      </c>
      <c r="E1006" s="34" t="str">
        <f>IFERROR(VLOOKUP($C1006,Tabla_Documentos[],3,FALSE),"")</f>
        <v>76953805-4</v>
      </c>
      <c r="F1006" s="35" t="str">
        <f>IFERROR(VLOOKUP($C1006,Tabla_Documentos[],4,FALSE),"")</f>
        <v>SERVICIOS MONTENEGRO SPA</v>
      </c>
      <c r="G1006" s="38">
        <f>IFERROR(VLOOKUP($C1006,Tabla_Documentos[],5,FALSE),"")</f>
        <v>226000</v>
      </c>
      <c r="H1006" s="29" t="str">
        <f>IFERROR(VLOOKUP($C1006,Tabla_Documentos[],6,FALSE),"")</f>
        <v>PUBLICIDAD</v>
      </c>
      <c r="I1006" s="38">
        <f>IFERROR(VLOOKUP($C1006,Tabla_Documentos[],5,FALSE),"")</f>
        <v>226000</v>
      </c>
      <c r="J1006" s="25">
        <v>46126</v>
      </c>
    </row>
    <row r="1007" spans="3:10" ht="21" customHeight="1" x14ac:dyDescent="0.25">
      <c r="C1007" s="39">
        <v>1972</v>
      </c>
      <c r="D1007" s="28">
        <f>IFERROR(VLOOKUP($C1007,Tabla_Documentos[],2,FALSE),"")</f>
        <v>46126</v>
      </c>
      <c r="E1007" s="34" t="str">
        <f>IFERROR(VLOOKUP($C1007,Tabla_Documentos[],3,FALSE),"")</f>
        <v>9051431-8</v>
      </c>
      <c r="F1007" s="35" t="str">
        <f>IFERROR(VLOOKUP($C1007,Tabla_Documentos[],4,FALSE),"")</f>
        <v>RAMON ANGEL RIQUELME OLIVARES</v>
      </c>
      <c r="G1007" s="38">
        <f>IFERROR(VLOOKUP($C1007,Tabla_Documentos[],5,FALSE),"")</f>
        <v>416500</v>
      </c>
      <c r="H1007" s="29" t="str">
        <f>IFERROR(VLOOKUP($C1007,Tabla_Documentos[],6,FALSE),"")</f>
        <v>PUBLICIDAD</v>
      </c>
      <c r="I1007" s="38">
        <f>IFERROR(VLOOKUP($C1007,Tabla_Documentos[],5,FALSE),"")</f>
        <v>416500</v>
      </c>
      <c r="J1007" s="25">
        <v>46126</v>
      </c>
    </row>
    <row r="1008" spans="3:10" ht="21" customHeight="1" x14ac:dyDescent="0.25">
      <c r="C1008" s="39">
        <v>1975</v>
      </c>
      <c r="D1008" s="28">
        <f>IFERROR(VLOOKUP($C1008,Tabla_Documentos[],2,FALSE),"")</f>
        <v>46127</v>
      </c>
      <c r="E1008" s="34" t="str">
        <f>IFERROR(VLOOKUP($C1008,Tabla_Documentos[],3,FALSE),"")</f>
        <v>77117647-K</v>
      </c>
      <c r="F1008" s="35" t="str">
        <f>IFERROR(VLOOKUP($C1008,Tabla_Documentos[],4,FALSE),"")</f>
        <v>TRANSPORTES Y TURISMOS ALVARO ANIBAL TAMBLAY FABREGA E.I.R.L.</v>
      </c>
      <c r="G1008" s="38">
        <f>IFERROR(VLOOKUP($C1008,Tabla_Documentos[],5,FALSE),"")</f>
        <v>95200</v>
      </c>
      <c r="H1008" s="29" t="str">
        <f>IFERROR(VLOOKUP($C1008,Tabla_Documentos[],6,FALSE),"")</f>
        <v>PUBLICIDAD</v>
      </c>
      <c r="I1008" s="38">
        <f>IFERROR(VLOOKUP($C1008,Tabla_Documentos[],5,FALSE),"")</f>
        <v>95200</v>
      </c>
      <c r="J1008" s="25">
        <v>46127</v>
      </c>
    </row>
    <row r="1009" spans="3:10" ht="21" customHeight="1" x14ac:dyDescent="0.25">
      <c r="C1009" s="39">
        <v>1976</v>
      </c>
      <c r="D1009" s="28">
        <f>IFERROR(VLOOKUP($C1009,Tabla_Documentos[],2,FALSE),"")</f>
        <v>46127</v>
      </c>
      <c r="E1009" s="34" t="str">
        <f>IFERROR(VLOOKUP($C1009,Tabla_Documentos[],3,FALSE),"")</f>
        <v>77117647-K</v>
      </c>
      <c r="F1009" s="35" t="str">
        <f>IFERROR(VLOOKUP($C1009,Tabla_Documentos[],4,FALSE),"")</f>
        <v>TRANSPORTES Y TURISMOS ALVARO ANIBAL TAMBLAY FABREGA E.I.R.L.</v>
      </c>
      <c r="G1009" s="38">
        <f>IFERROR(VLOOKUP($C1009,Tabla_Documentos[],5,FALSE),"")</f>
        <v>166600</v>
      </c>
      <c r="H1009" s="29" t="str">
        <f>IFERROR(VLOOKUP($C1009,Tabla_Documentos[],6,FALSE),"")</f>
        <v>PUBLICIDAD</v>
      </c>
      <c r="I1009" s="38">
        <f>IFERROR(VLOOKUP($C1009,Tabla_Documentos[],5,FALSE),"")</f>
        <v>166600</v>
      </c>
      <c r="J1009" s="25">
        <v>46127</v>
      </c>
    </row>
    <row r="1010" spans="3:10" ht="21" customHeight="1" x14ac:dyDescent="0.25">
      <c r="C1010" s="39">
        <v>1978</v>
      </c>
      <c r="D1010" s="28">
        <f>IFERROR(VLOOKUP($C1010,Tabla_Documentos[],2,FALSE),"")</f>
        <v>46128</v>
      </c>
      <c r="E1010" s="34" t="str">
        <f>IFERROR(VLOOKUP($C1010,Tabla_Documentos[],3,FALSE),"")</f>
        <v>77421442-9</v>
      </c>
      <c r="F1010" s="35" t="str">
        <f>IFERROR(VLOOKUP($C1010,Tabla_Documentos[],4,FALSE),"")</f>
        <v>JRVA INGENIERIA  SERVICIOS SPA</v>
      </c>
      <c r="G1010" s="38">
        <f>IFERROR(VLOOKUP($C1010,Tabla_Documentos[],5,FALSE),"")</f>
        <v>309400</v>
      </c>
      <c r="H1010" s="29" t="str">
        <f>IFERROR(VLOOKUP($C1010,Tabla_Documentos[],6,FALSE),"")</f>
        <v>PUBLICIDAD</v>
      </c>
      <c r="I1010" s="38">
        <f>IFERROR(VLOOKUP($C1010,Tabla_Documentos[],5,FALSE),"")</f>
        <v>309400</v>
      </c>
      <c r="J1010" s="25">
        <v>46128</v>
      </c>
    </row>
    <row r="1011" spans="3:10" ht="21" customHeight="1" x14ac:dyDescent="0.25">
      <c r="C1011" s="39">
        <v>1979</v>
      </c>
      <c r="D1011" s="28">
        <f>IFERROR(VLOOKUP($C1011,Tabla_Documentos[],2,FALSE),"")</f>
        <v>46129</v>
      </c>
      <c r="E1011" s="34" t="str">
        <f>IFERROR(VLOOKUP($C1011,Tabla_Documentos[],3,FALSE),"")</f>
        <v>77641056-K</v>
      </c>
      <c r="F1011" s="35" t="str">
        <f>IFERROR(VLOOKUP($C1011,Tabla_Documentos[],4,FALSE),"")</f>
        <v>SERVICIOS LEIVA  Y LEIVA  SPA</v>
      </c>
      <c r="G1011" s="38">
        <f>IFERROR(VLOOKUP($C1011,Tabla_Documentos[],5,FALSE),"")</f>
        <v>49999</v>
      </c>
      <c r="H1011" s="29" t="str">
        <f>IFERROR(VLOOKUP($C1011,Tabla_Documentos[],6,FALSE),"")</f>
        <v>PUBLICIDAD</v>
      </c>
      <c r="I1011" s="38">
        <f>IFERROR(VLOOKUP($C1011,Tabla_Documentos[],5,FALSE),"")</f>
        <v>49999</v>
      </c>
      <c r="J1011" s="25">
        <v>46129</v>
      </c>
    </row>
    <row r="1012" spans="3:10" ht="21" customHeight="1" x14ac:dyDescent="0.25">
      <c r="C1012" s="39">
        <v>1980</v>
      </c>
      <c r="D1012" s="28">
        <f>IFERROR(VLOOKUP($C1012,Tabla_Documentos[],2,FALSE),"")</f>
        <v>46129</v>
      </c>
      <c r="E1012" s="34" t="str">
        <f>IFERROR(VLOOKUP($C1012,Tabla_Documentos[],3,FALSE),"")</f>
        <v>78028700-4</v>
      </c>
      <c r="F1012" s="35" t="str">
        <f>IFERROR(VLOOKUP($C1012,Tabla_Documentos[],4,FALSE),"")</f>
        <v>INGENIERIA, PROYECTOS Y MONTAJES PROPAMAT SPA</v>
      </c>
      <c r="G1012" s="38">
        <f>IFERROR(VLOOKUP($C1012,Tabla_Documentos[],5,FALSE),"")</f>
        <v>35700</v>
      </c>
      <c r="H1012" s="29" t="str">
        <f>IFERROR(VLOOKUP($C1012,Tabla_Documentos[],6,FALSE),"")</f>
        <v>PUBLICIDAD</v>
      </c>
      <c r="I1012" s="38">
        <f>IFERROR(VLOOKUP($C1012,Tabla_Documentos[],5,FALSE),"")</f>
        <v>35700</v>
      </c>
      <c r="J1012" s="25">
        <v>46129</v>
      </c>
    </row>
    <row r="1013" spans="3:10" ht="21" customHeight="1" x14ac:dyDescent="0.25">
      <c r="C1013" s="39">
        <v>1981</v>
      </c>
      <c r="D1013" s="28">
        <f>IFERROR(VLOOKUP($C1013,Tabla_Documentos[],2,FALSE),"")</f>
        <v>46132</v>
      </c>
      <c r="E1013" s="34" t="str">
        <f>IFERROR(VLOOKUP($C1013,Tabla_Documentos[],3,FALSE),"")</f>
        <v>77288637-3</v>
      </c>
      <c r="F1013" s="35" t="str">
        <f>IFERROR(VLOOKUP($C1013,Tabla_Documentos[],4,FALSE),"")</f>
        <v>JOCELYN STYLIST SPA</v>
      </c>
      <c r="G1013" s="38">
        <f>IFERROR(VLOOKUP($C1013,Tabla_Documentos[],5,FALSE),"")</f>
        <v>321300</v>
      </c>
      <c r="H1013" s="29" t="str">
        <f>IFERROR(VLOOKUP($C1013,Tabla_Documentos[],6,FALSE),"")</f>
        <v>PUBLICIDAD</v>
      </c>
      <c r="I1013" s="38">
        <f>IFERROR(VLOOKUP($C1013,Tabla_Documentos[],5,FALSE),"")</f>
        <v>321300</v>
      </c>
      <c r="J1013" s="25">
        <v>46132</v>
      </c>
    </row>
    <row r="1014" spans="3:10" ht="21" customHeight="1" x14ac:dyDescent="0.25">
      <c r="C1014" s="39">
        <v>1985</v>
      </c>
      <c r="D1014" s="28">
        <f>IFERROR(VLOOKUP($C1014,Tabla_Documentos[],2,FALSE),"")</f>
        <v>46134</v>
      </c>
      <c r="E1014" s="34" t="str">
        <f>IFERROR(VLOOKUP($C1014,Tabla_Documentos[],3,FALSE),"")</f>
        <v>76920339-7</v>
      </c>
      <c r="F1014" s="35" t="str">
        <f>IFERROR(VLOOKUP($C1014,Tabla_Documentos[],4,FALSE),"")</f>
        <v>PAOLA RUBINA PROPIEDADES SPA</v>
      </c>
      <c r="G1014" s="38">
        <f>IFERROR(VLOOKUP($C1014,Tabla_Documentos[],5,FALSE),"")</f>
        <v>1671950</v>
      </c>
      <c r="H1014" s="29" t="str">
        <f>IFERROR(VLOOKUP($C1014,Tabla_Documentos[],6,FALSE),"")</f>
        <v>PUBLICIDAD</v>
      </c>
      <c r="I1014" s="38">
        <f>IFERROR(VLOOKUP($C1014,Tabla_Documentos[],5,FALSE),"")</f>
        <v>1671950</v>
      </c>
      <c r="J1014" s="25">
        <v>46134</v>
      </c>
    </row>
    <row r="1015" spans="3:10" ht="21" customHeight="1" x14ac:dyDescent="0.25">
      <c r="C1015" s="39">
        <v>1988</v>
      </c>
      <c r="D1015" s="28">
        <f>IFERROR(VLOOKUP($C1015,Tabla_Documentos[],2,FALSE),"")</f>
        <v>46135</v>
      </c>
      <c r="E1015" s="34" t="str">
        <f>IFERROR(VLOOKUP($C1015,Tabla_Documentos[],3,FALSE),"")</f>
        <v>77708922-6</v>
      </c>
      <c r="F1015" s="35" t="str">
        <f>IFERROR(VLOOKUP($C1015,Tabla_Documentos[],4,FALSE),"")</f>
        <v>INVERSIONES Y SERVICIOS ANAIS SPA</v>
      </c>
      <c r="G1015" s="38">
        <f>IFERROR(VLOOKUP($C1015,Tabla_Documentos[],5,FALSE),"")</f>
        <v>71400</v>
      </c>
      <c r="H1015" s="29" t="str">
        <f>IFERROR(VLOOKUP($C1015,Tabla_Documentos[],6,FALSE),"")</f>
        <v>PUBLICIDAD</v>
      </c>
      <c r="I1015" s="38">
        <f>IFERROR(VLOOKUP($C1015,Tabla_Documentos[],5,FALSE),"")</f>
        <v>71400</v>
      </c>
      <c r="J1015" s="25">
        <v>46135</v>
      </c>
    </row>
    <row r="1016" spans="3:10" ht="21" customHeight="1" x14ac:dyDescent="0.25">
      <c r="C1016" s="39">
        <v>1989</v>
      </c>
      <c r="D1016" s="28">
        <f>IFERROR(VLOOKUP($C1016,Tabla_Documentos[],2,FALSE),"")</f>
        <v>46135</v>
      </c>
      <c r="E1016" s="34" t="str">
        <f>IFERROR(VLOOKUP($C1016,Tabla_Documentos[],3,FALSE),"")</f>
        <v>77704254-8</v>
      </c>
      <c r="F1016" s="35" t="str">
        <f>IFERROR(VLOOKUP($C1016,Tabla_Documentos[],4,FALSE),"")</f>
        <v>CONSTRUCTORA BOL SPA</v>
      </c>
      <c r="G1016" s="38">
        <f>IFERROR(VLOOKUP($C1016,Tabla_Documentos[],5,FALSE),"")</f>
        <v>717808</v>
      </c>
      <c r="H1016" s="29" t="str">
        <f>IFERROR(VLOOKUP($C1016,Tabla_Documentos[],6,FALSE),"")</f>
        <v>PUBLICIDAD</v>
      </c>
      <c r="I1016" s="38">
        <f>IFERROR(VLOOKUP($C1016,Tabla_Documentos[],5,FALSE),"")</f>
        <v>717808</v>
      </c>
      <c r="J1016" s="25">
        <v>46135</v>
      </c>
    </row>
    <row r="1017" spans="3:10" ht="21" customHeight="1" x14ac:dyDescent="0.25">
      <c r="C1017" s="39">
        <v>1849</v>
      </c>
      <c r="D1017" s="28">
        <f>IFERROR(VLOOKUP($C1017,Tabla_Documentos[],2,FALSE),"")</f>
        <v>46083</v>
      </c>
      <c r="E1017" s="34" t="str">
        <f>IFERROR(VLOOKUP($C1017,Tabla_Documentos[],3,FALSE),"")</f>
        <v>84060600-7</v>
      </c>
      <c r="F1017" s="35" t="str">
        <f>IFERROR(VLOOKUP($C1017,Tabla_Documentos[],4,FALSE),"")</f>
        <v>CONSTRUCTORA DE PAVIMENTOS ASFALTICOS BITUMIX S.A</v>
      </c>
      <c r="G1017" s="38">
        <f>IFERROR(VLOOKUP($C1017,Tabla_Documentos[],5,FALSE),"")</f>
        <v>16862300</v>
      </c>
      <c r="H1017" s="29" t="str">
        <f>IFERROR(VLOOKUP($C1017,Tabla_Documentos[],6,FALSE),"")</f>
        <v>PUBLICIDAD</v>
      </c>
      <c r="I1017" s="38">
        <f>IFERROR(VLOOKUP($C1017,Tabla_Documentos[],5,FALSE),"")</f>
        <v>16862300</v>
      </c>
      <c r="J1017" s="25">
        <v>46122</v>
      </c>
    </row>
    <row r="1018" spans="3:10" ht="21" customHeight="1" x14ac:dyDescent="0.25">
      <c r="C1018" s="39">
        <v>1867</v>
      </c>
      <c r="D1018" s="28">
        <f>IFERROR(VLOOKUP($C1018,Tabla_Documentos[],2,FALSE),"")</f>
        <v>46087</v>
      </c>
      <c r="E1018" s="34" t="str">
        <f>IFERROR(VLOOKUP($C1018,Tabla_Documentos[],3,FALSE),"")</f>
        <v>60505105-7</v>
      </c>
      <c r="F1018" s="35" t="str">
        <f>IFERROR(VLOOKUP($C1018,Tabla_Documentos[],4,FALSE),"")</f>
        <v>ZONA DE CARABINEROS ATACAMA</v>
      </c>
      <c r="G1018" s="38">
        <f>IFERROR(VLOOKUP($C1018,Tabla_Documentos[],5,FALSE),"")</f>
        <v>1106700</v>
      </c>
      <c r="H1018" s="29" t="str">
        <f>IFERROR(VLOOKUP($C1018,Tabla_Documentos[],6,FALSE),"")</f>
        <v>PUBLICIDAD</v>
      </c>
      <c r="I1018" s="38">
        <f>IFERROR(VLOOKUP($C1018,Tabla_Documentos[],5,FALSE),"")</f>
        <v>1106700</v>
      </c>
      <c r="J1018" s="25">
        <v>46100</v>
      </c>
    </row>
    <row r="1019" spans="3:10" ht="21" customHeight="1" x14ac:dyDescent="0.25">
      <c r="C1019" s="39">
        <v>1925</v>
      </c>
      <c r="D1019" s="28">
        <f>IFERROR(VLOOKUP($C1019,Tabla_Documentos[],2,FALSE),"")</f>
        <v>46106</v>
      </c>
      <c r="E1019" s="34" t="str">
        <f>IFERROR(VLOOKUP($C1019,Tabla_Documentos[],3,FALSE),"")</f>
        <v>92475000-6</v>
      </c>
      <c r="F1019" s="35" t="str">
        <f>IFERROR(VLOOKUP($C1019,Tabla_Documentos[],4,FALSE),"")</f>
        <v>KAUFMANN SA VEHICULOS MOTORIZADOS</v>
      </c>
      <c r="G1019" s="38">
        <f>IFERROR(VLOOKUP($C1019,Tabla_Documentos[],5,FALSE),"")</f>
        <v>422831</v>
      </c>
      <c r="H1019" s="29" t="str">
        <f>IFERROR(VLOOKUP($C1019,Tabla_Documentos[],6,FALSE),"")</f>
        <v>PUBLICIDAD</v>
      </c>
      <c r="I1019" s="38">
        <f>IFERROR(VLOOKUP($C1019,Tabla_Documentos[],5,FALSE),"")</f>
        <v>422831</v>
      </c>
      <c r="J1019" s="25">
        <v>46136</v>
      </c>
    </row>
    <row r="1020" spans="3:10" ht="21" customHeight="1" x14ac:dyDescent="0.25">
      <c r="C1020" s="39">
        <v>1930</v>
      </c>
      <c r="D1020" s="28">
        <f>IFERROR(VLOOKUP($C1020,Tabla_Documentos[],2,FALSE),"")</f>
        <v>46106</v>
      </c>
      <c r="E1020" s="34" t="str">
        <f>IFERROR(VLOOKUP($C1020,Tabla_Documentos[],3,FALSE),"")</f>
        <v>92475000-6</v>
      </c>
      <c r="F1020" s="35" t="str">
        <f>IFERROR(VLOOKUP($C1020,Tabla_Documentos[],4,FALSE),"")</f>
        <v>KAUFMANN SA VEHICULOS MOTORIZADOS</v>
      </c>
      <c r="G1020" s="38">
        <f>IFERROR(VLOOKUP($C1020,Tabla_Documentos[],5,FALSE),"")</f>
        <v>22610</v>
      </c>
      <c r="H1020" s="29" t="str">
        <f>IFERROR(VLOOKUP($C1020,Tabla_Documentos[],6,FALSE),"")</f>
        <v>PUBLICIDAD</v>
      </c>
      <c r="I1020" s="38">
        <f>IFERROR(VLOOKUP($C1020,Tabla_Documentos[],5,FALSE),"")</f>
        <v>22610</v>
      </c>
      <c r="J1020" s="25">
        <v>46136</v>
      </c>
    </row>
    <row r="1021" spans="3:10" ht="21" customHeight="1" x14ac:dyDescent="0.25">
      <c r="C1021" s="39">
        <v>1896</v>
      </c>
      <c r="D1021" s="28">
        <f>IFERROR(VLOOKUP($C1021,Tabla_Documentos[],2,FALSE),"")</f>
        <v>46097</v>
      </c>
      <c r="E1021" s="34" t="str">
        <f>IFERROR(VLOOKUP($C1021,Tabla_Documentos[],3,FALSE),"")</f>
        <v>92475000-6</v>
      </c>
      <c r="F1021" s="35" t="str">
        <f>IFERROR(VLOOKUP($C1021,Tabla_Documentos[],4,FALSE),"")</f>
        <v>KAUFMANN SA VEHICULOS MOTORIZADOS</v>
      </c>
      <c r="G1021" s="38">
        <f>IFERROR(VLOOKUP($C1021,Tabla_Documentos[],5,FALSE),"")</f>
        <v>422831</v>
      </c>
      <c r="H1021" s="29" t="str">
        <f>IFERROR(VLOOKUP($C1021,Tabla_Documentos[],6,FALSE),"")</f>
        <v>PUBLICIDAD</v>
      </c>
      <c r="I1021" s="38">
        <f>IFERROR(VLOOKUP($C1021,Tabla_Documentos[],5,FALSE),"")</f>
        <v>422831</v>
      </c>
      <c r="J1021" s="25">
        <v>46097</v>
      </c>
    </row>
    <row r="1022" spans="3:10" ht="21" customHeight="1" x14ac:dyDescent="0.25">
      <c r="C1022" s="39">
        <v>1852</v>
      </c>
      <c r="D1022" s="28">
        <f>IFERROR(VLOOKUP($C1022,Tabla_Documentos[],2,FALSE),"")</f>
        <v>46084</v>
      </c>
      <c r="E1022" s="34" t="str">
        <f>IFERROR(VLOOKUP($C1022,Tabla_Documentos[],3,FALSE),"")</f>
        <v>76948401-9</v>
      </c>
      <c r="F1022" s="35" t="str">
        <f>IFERROR(VLOOKUP($C1022,Tabla_Documentos[],4,FALSE),"")</f>
        <v>ZACH PROYECTOS SA</v>
      </c>
      <c r="G1022" s="38">
        <f>IFERROR(VLOOKUP($C1022,Tabla_Documentos[],5,FALSE),"")</f>
        <v>523600</v>
      </c>
      <c r="H1022" s="29" t="str">
        <f>IFERROR(VLOOKUP($C1022,Tabla_Documentos[],6,FALSE),"")</f>
        <v>PUBLICIDAD</v>
      </c>
      <c r="I1022" s="38">
        <f>IFERROR(VLOOKUP($C1022,Tabla_Documentos[],5,FALSE),"")</f>
        <v>523600</v>
      </c>
      <c r="J1022" s="25">
        <v>46136</v>
      </c>
    </row>
    <row r="1023" spans="3:10" ht="21" customHeight="1" x14ac:dyDescent="0.25">
      <c r="C1023" s="39">
        <v>1907</v>
      </c>
      <c r="D1023" s="28">
        <f>IFERROR(VLOOKUP($C1023,Tabla_Documentos[],2,FALSE),"")</f>
        <v>46100</v>
      </c>
      <c r="E1023" s="34" t="str">
        <f>IFERROR(VLOOKUP($C1023,Tabla_Documentos[],3,FALSE),"")</f>
        <v>76948401-9</v>
      </c>
      <c r="F1023" s="35" t="str">
        <f>IFERROR(VLOOKUP($C1023,Tabla_Documentos[],4,FALSE),"")</f>
        <v>ZACH PROYECTOS SA</v>
      </c>
      <c r="G1023" s="38">
        <f>IFERROR(VLOOKUP($C1023,Tabla_Documentos[],5,FALSE),"")</f>
        <v>256445</v>
      </c>
      <c r="H1023" s="29" t="str">
        <f>IFERROR(VLOOKUP($C1023,Tabla_Documentos[],6,FALSE),"")</f>
        <v>PUBLICIDAD</v>
      </c>
      <c r="I1023" s="38">
        <f>IFERROR(VLOOKUP($C1023,Tabla_Documentos[],5,FALSE),"")</f>
        <v>256445</v>
      </c>
      <c r="J1023" s="25">
        <v>46136</v>
      </c>
    </row>
    <row r="1024" spans="3:10" ht="21" customHeight="1" x14ac:dyDescent="0.25">
      <c r="C1024" s="39">
        <v>1890</v>
      </c>
      <c r="D1024" s="28">
        <f>IFERROR(VLOOKUP($C1024,Tabla_Documentos[],2,FALSE),"")</f>
        <v>46097</v>
      </c>
      <c r="E1024" s="34" t="str">
        <f>IFERROR(VLOOKUP($C1024,Tabla_Documentos[],3,FALSE),"")</f>
        <v>84060600-7</v>
      </c>
      <c r="F1024" s="35" t="str">
        <f>IFERROR(VLOOKUP($C1024,Tabla_Documentos[],4,FALSE),"")</f>
        <v>CONSTRUCTORA DE PAVIMENTOS ASFALTICOS BITUMIX S.A</v>
      </c>
      <c r="G1024" s="38">
        <f>IFERROR(VLOOKUP($C1024,Tabla_Documentos[],5,FALSE),"")</f>
        <v>1265684</v>
      </c>
      <c r="H1024" s="29" t="str">
        <f>IFERROR(VLOOKUP($C1024,Tabla_Documentos[],6,FALSE),"")</f>
        <v>PUBLICIDAD</v>
      </c>
      <c r="I1024" s="38">
        <f>IFERROR(VLOOKUP($C1024,Tabla_Documentos[],5,FALSE),"")</f>
        <v>1265684</v>
      </c>
      <c r="J1024" s="25">
        <v>46142</v>
      </c>
    </row>
    <row r="1025" spans="3:10" ht="21" customHeight="1" x14ac:dyDescent="0.25">
      <c r="C1025" s="39">
        <v>1909</v>
      </c>
      <c r="D1025" s="28">
        <f>IFERROR(VLOOKUP($C1025,Tabla_Documentos[],2,FALSE),"")</f>
        <v>46100</v>
      </c>
      <c r="E1025" s="34" t="str">
        <f>IFERROR(VLOOKUP($C1025,Tabla_Documentos[],3,FALSE),"")</f>
        <v>84060600-7</v>
      </c>
      <c r="F1025" s="35" t="str">
        <f>IFERROR(VLOOKUP($C1025,Tabla_Documentos[],4,FALSE),"")</f>
        <v>CONSTRUCTORA DE PAVIMENTOS ASFALTICOS BITUMIX S.A</v>
      </c>
      <c r="G1025" s="38">
        <f>IFERROR(VLOOKUP($C1025,Tabla_Documentos[],5,FALSE),"")</f>
        <v>690200</v>
      </c>
      <c r="H1025" s="29" t="str">
        <f>IFERROR(VLOOKUP($C1025,Tabla_Documentos[],6,FALSE),"")</f>
        <v>PUBLICIDAD</v>
      </c>
      <c r="I1025" s="38">
        <f>IFERROR(VLOOKUP($C1025,Tabla_Documentos[],5,FALSE),"")</f>
        <v>690200</v>
      </c>
      <c r="J1025" s="25">
        <v>46142</v>
      </c>
    </row>
    <row r="1026" spans="3:10" ht="21" customHeight="1" x14ac:dyDescent="0.25">
      <c r="C1026" s="39">
        <v>1950</v>
      </c>
      <c r="D1026" s="28">
        <f>IFERROR(VLOOKUP($C1026,Tabla_Documentos[],2,FALSE),"")</f>
        <v>46118</v>
      </c>
      <c r="E1026" s="34" t="str">
        <f>IFERROR(VLOOKUP($C1026,Tabla_Documentos[],3,FALSE),"")</f>
        <v>96792430-K</v>
      </c>
      <c r="F1026" s="35" t="str">
        <f>IFERROR(VLOOKUP($C1026,Tabla_Documentos[],4,FALSE),"")</f>
        <v>SODIMAC S.A.</v>
      </c>
      <c r="G1026" s="38">
        <f>IFERROR(VLOOKUP($C1026,Tabla_Documentos[],5,FALSE),"")</f>
        <v>1663620</v>
      </c>
      <c r="H1026" s="29" t="str">
        <f>IFERROR(VLOOKUP($C1026,Tabla_Documentos[],6,FALSE),"")</f>
        <v>PUBLICIDAD</v>
      </c>
      <c r="I1026" s="38">
        <f>IFERROR(VLOOKUP($C1026,Tabla_Documentos[],5,FALSE),"")</f>
        <v>1663620</v>
      </c>
      <c r="J1026" s="25">
        <v>46147</v>
      </c>
    </row>
    <row r="1027" spans="3:10" ht="21" customHeight="1" x14ac:dyDescent="0.25">
      <c r="C1027" s="39">
        <v>1956</v>
      </c>
      <c r="D1027" s="28">
        <f>IFERROR(VLOOKUP($C1027,Tabla_Documentos[],2,FALSE),"")</f>
        <v>46120</v>
      </c>
      <c r="E1027" s="34" t="str">
        <f>IFERROR(VLOOKUP($C1027,Tabla_Documentos[],3,FALSE),"")</f>
        <v>76186894-2</v>
      </c>
      <c r="F1027" s="35" t="str">
        <f>IFERROR(VLOOKUP($C1027,Tabla_Documentos[],4,FALSE),"")</f>
        <v>SAN RAFAEL INGENIERIA Y  SERVICIOS LIMITADA</v>
      </c>
      <c r="G1027" s="38">
        <f>IFERROR(VLOOKUP($C1027,Tabla_Documentos[],5,FALSE),"")</f>
        <v>586872</v>
      </c>
      <c r="H1027" s="29" t="str">
        <f>IFERROR(VLOOKUP($C1027,Tabla_Documentos[],6,FALSE),"")</f>
        <v>PUBLICIDAD</v>
      </c>
      <c r="I1027" s="38">
        <f>IFERROR(VLOOKUP($C1027,Tabla_Documentos[],5,FALSE),"")</f>
        <v>586872</v>
      </c>
      <c r="J1027" s="25">
        <v>46148</v>
      </c>
    </row>
    <row r="1028" spans="3:10" ht="21" customHeight="1" x14ac:dyDescent="0.25">
      <c r="C1028" s="39">
        <v>1957</v>
      </c>
      <c r="D1028" s="28">
        <f>IFERROR(VLOOKUP($C1028,Tabla_Documentos[],2,FALSE),"")</f>
        <v>46120</v>
      </c>
      <c r="E1028" s="34" t="str">
        <f>IFERROR(VLOOKUP($C1028,Tabla_Documentos[],3,FALSE),"")</f>
        <v>76186894-2</v>
      </c>
      <c r="F1028" s="35" t="str">
        <f>IFERROR(VLOOKUP($C1028,Tabla_Documentos[],4,FALSE),"")</f>
        <v>SAN RAFAEL INGENIERIA Y  SERVICIOS LIMITADA</v>
      </c>
      <c r="G1028" s="38">
        <f>IFERROR(VLOOKUP($C1028,Tabla_Documentos[],5,FALSE),"")</f>
        <v>284886</v>
      </c>
      <c r="H1028" s="29" t="str">
        <f>IFERROR(VLOOKUP($C1028,Tabla_Documentos[],6,FALSE),"")</f>
        <v>PUBLICIDAD</v>
      </c>
      <c r="I1028" s="38">
        <f>IFERROR(VLOOKUP($C1028,Tabla_Documentos[],5,FALSE),"")</f>
        <v>284886</v>
      </c>
      <c r="J1028" s="25">
        <v>46148</v>
      </c>
    </row>
    <row r="1029" spans="3:10" ht="21" customHeight="1" x14ac:dyDescent="0.25">
      <c r="C1029" s="39">
        <v>1879</v>
      </c>
      <c r="D1029" s="28">
        <f>IFERROR(VLOOKUP($C1029,Tabla_Documentos[],2,FALSE),"")</f>
        <v>46092</v>
      </c>
      <c r="E1029" s="34" t="str">
        <f>IFERROR(VLOOKUP($C1029,Tabla_Documentos[],3,FALSE),"")</f>
        <v>76186894-2</v>
      </c>
      <c r="F1029" s="35" t="str">
        <f>IFERROR(VLOOKUP($C1029,Tabla_Documentos[],4,FALSE),"")</f>
        <v>SAN RAFAEL INGENIERIA Y  SERVICIOS LIMITADA</v>
      </c>
      <c r="G1029" s="38">
        <f>IFERROR(VLOOKUP($C1029,Tabla_Documentos[],5,FALSE),"")</f>
        <v>121380</v>
      </c>
      <c r="H1029" s="29" t="str">
        <f>IFERROR(VLOOKUP($C1029,Tabla_Documentos[],6,FALSE),"")</f>
        <v>PUBLICIDAD</v>
      </c>
      <c r="I1029" s="38">
        <f>IFERROR(VLOOKUP($C1029,Tabla_Documentos[],5,FALSE),"")</f>
        <v>121380</v>
      </c>
      <c r="J1029" s="25">
        <v>46127</v>
      </c>
    </row>
    <row r="1030" spans="3:10" ht="21" customHeight="1" x14ac:dyDescent="0.25">
      <c r="C1030" s="39">
        <v>1894</v>
      </c>
      <c r="D1030" s="28">
        <f>IFERROR(VLOOKUP($C1030,Tabla_Documentos[],2,FALSE),"")</f>
        <v>46097</v>
      </c>
      <c r="E1030" s="34" t="str">
        <f>IFERROR(VLOOKUP($C1030,Tabla_Documentos[],3,FALSE),"")</f>
        <v>76186894-2</v>
      </c>
      <c r="F1030" s="35" t="str">
        <f>IFERROR(VLOOKUP($C1030,Tabla_Documentos[],4,FALSE),"")</f>
        <v>SAN RAFAEL INGENIERIA Y  SERVICIOS LIMITADA</v>
      </c>
      <c r="G1030" s="38">
        <f>IFERROR(VLOOKUP($C1030,Tabla_Documentos[],5,FALSE),"")</f>
        <v>22015</v>
      </c>
      <c r="H1030" s="29" t="str">
        <f>IFERROR(VLOOKUP($C1030,Tabla_Documentos[],6,FALSE),"")</f>
        <v>PUBLICIDAD</v>
      </c>
      <c r="I1030" s="38">
        <f>IFERROR(VLOOKUP($C1030,Tabla_Documentos[],5,FALSE),"")</f>
        <v>22015</v>
      </c>
      <c r="J1030" s="25">
        <v>46127</v>
      </c>
    </row>
    <row r="1031" spans="3:10" ht="21" customHeight="1" x14ac:dyDescent="0.25">
      <c r="C1031" s="39">
        <v>1910</v>
      </c>
      <c r="D1031" s="28">
        <f>IFERROR(VLOOKUP($C1031,Tabla_Documentos[],2,FALSE),"")</f>
        <v>46101</v>
      </c>
      <c r="E1031" s="34" t="str">
        <f>IFERROR(VLOOKUP($C1031,Tabla_Documentos[],3,FALSE),"")</f>
        <v>76186894-2</v>
      </c>
      <c r="F1031" s="35" t="str">
        <f>IFERROR(VLOOKUP($C1031,Tabla_Documentos[],4,FALSE),"")</f>
        <v>SAN RAFAEL INGENIERIA Y  SERVICIOS LIMITADA</v>
      </c>
      <c r="G1031" s="38">
        <f>IFERROR(VLOOKUP($C1031,Tabla_Documentos[],5,FALSE),"")</f>
        <v>44625</v>
      </c>
      <c r="H1031" s="29" t="str">
        <f>IFERROR(VLOOKUP($C1031,Tabla_Documentos[],6,FALSE),"")</f>
        <v>PUBLICIDAD</v>
      </c>
      <c r="I1031" s="38">
        <f>IFERROR(VLOOKUP($C1031,Tabla_Documentos[],5,FALSE),"")</f>
        <v>44625</v>
      </c>
      <c r="J1031" s="25">
        <v>46134</v>
      </c>
    </row>
    <row r="1032" spans="3:10" ht="21" customHeight="1" x14ac:dyDescent="0.25">
      <c r="C1032" s="39">
        <v>1911</v>
      </c>
      <c r="D1032" s="28">
        <f>IFERROR(VLOOKUP($C1032,Tabla_Documentos[],2,FALSE),"")</f>
        <v>46101</v>
      </c>
      <c r="E1032" s="34" t="str">
        <f>IFERROR(VLOOKUP($C1032,Tabla_Documentos[],3,FALSE),"")</f>
        <v>76186894-2</v>
      </c>
      <c r="F1032" s="35" t="str">
        <f>IFERROR(VLOOKUP($C1032,Tabla_Documentos[],4,FALSE),"")</f>
        <v>SAN RAFAEL INGENIERIA Y  SERVICIOS LIMITADA</v>
      </c>
      <c r="G1032" s="38">
        <f>IFERROR(VLOOKUP($C1032,Tabla_Documentos[],5,FALSE),"")</f>
        <v>5950</v>
      </c>
      <c r="H1032" s="29" t="str">
        <f>IFERROR(VLOOKUP($C1032,Tabla_Documentos[],6,FALSE),"")</f>
        <v>PUBLICIDAD</v>
      </c>
      <c r="I1032" s="38">
        <f>IFERROR(VLOOKUP($C1032,Tabla_Documentos[],5,FALSE),"")</f>
        <v>5950</v>
      </c>
      <c r="J1032" s="25">
        <v>46134</v>
      </c>
    </row>
    <row r="1033" spans="3:10" ht="21" customHeight="1" x14ac:dyDescent="0.25">
      <c r="C1033" s="39">
        <v>1924</v>
      </c>
      <c r="D1033" s="28">
        <f>IFERROR(VLOOKUP($C1033,Tabla_Documentos[],2,FALSE),"")</f>
        <v>46106</v>
      </c>
      <c r="E1033" s="34" t="str">
        <f>IFERROR(VLOOKUP($C1033,Tabla_Documentos[],3,FALSE),"")</f>
        <v>76186894-2</v>
      </c>
      <c r="F1033" s="35" t="str">
        <f>IFERROR(VLOOKUP($C1033,Tabla_Documentos[],4,FALSE),"")</f>
        <v>SAN RAFAEL INGENIERIA Y  SERVICIOS LIMITADA</v>
      </c>
      <c r="G1033" s="38">
        <f>IFERROR(VLOOKUP($C1033,Tabla_Documentos[],5,FALSE),"")</f>
        <v>141015</v>
      </c>
      <c r="H1033" s="29" t="str">
        <f>IFERROR(VLOOKUP($C1033,Tabla_Documentos[],6,FALSE),"")</f>
        <v>PUBLICIDAD</v>
      </c>
      <c r="I1033" s="38">
        <f>IFERROR(VLOOKUP($C1033,Tabla_Documentos[],5,FALSE),"")</f>
        <v>141015</v>
      </c>
      <c r="J1033" s="25">
        <v>46134</v>
      </c>
    </row>
    <row r="1034" spans="3:10" ht="21" customHeight="1" x14ac:dyDescent="0.25">
      <c r="C1034" s="39">
        <v>1947</v>
      </c>
      <c r="D1034" s="28">
        <f>IFERROR(VLOOKUP($C1034,Tabla_Documentos[],2,FALSE),"")</f>
        <v>46118</v>
      </c>
      <c r="E1034" s="34" t="str">
        <f>IFERROR(VLOOKUP($C1034,Tabla_Documentos[],3,FALSE),"")</f>
        <v>84060600-7</v>
      </c>
      <c r="F1034" s="35" t="str">
        <f>IFERROR(VLOOKUP($C1034,Tabla_Documentos[],4,FALSE),"")</f>
        <v>CONSTRUCTORA DE PAVIMENTOS ASFALTICOS BITUMIX S.A</v>
      </c>
      <c r="G1034" s="38">
        <f>IFERROR(VLOOKUP($C1034,Tabla_Documentos[],5,FALSE),"")</f>
        <v>178500</v>
      </c>
      <c r="H1034" s="29" t="str">
        <f>IFERROR(VLOOKUP($C1034,Tabla_Documentos[],6,FALSE),"")</f>
        <v>PUBLICIDAD</v>
      </c>
      <c r="I1034" s="38">
        <f>IFERROR(VLOOKUP($C1034,Tabla_Documentos[],5,FALSE),"")</f>
        <v>178500</v>
      </c>
      <c r="J1034" s="25">
        <v>46164</v>
      </c>
    </row>
    <row r="1035" spans="3:10" ht="21" customHeight="1" x14ac:dyDescent="0.25">
      <c r="C1035" s="39">
        <v>1974</v>
      </c>
      <c r="D1035" s="28">
        <f>IFERROR(VLOOKUP($C1035,Tabla_Documentos[],2,FALSE),"")</f>
        <v>46127</v>
      </c>
      <c r="E1035" s="34" t="str">
        <f>IFERROR(VLOOKUP($C1035,Tabla_Documentos[],3,FALSE),"")</f>
        <v>84060600-7</v>
      </c>
      <c r="F1035" s="35" t="str">
        <f>IFERROR(VLOOKUP($C1035,Tabla_Documentos[],4,FALSE),"")</f>
        <v>CONSTRUCTORA DE PAVIMENTOS ASFALTICOS BITUMIX S.A</v>
      </c>
      <c r="G1035" s="38">
        <f>IFERROR(VLOOKUP($C1035,Tabla_Documentos[],5,FALSE),"")</f>
        <v>1021020</v>
      </c>
      <c r="H1035" s="29" t="str">
        <f>IFERROR(VLOOKUP($C1035,Tabla_Documentos[],6,FALSE),"")</f>
        <v>PUBLICIDAD</v>
      </c>
      <c r="I1035" s="38">
        <f>IFERROR(VLOOKUP($C1035,Tabla_Documentos[],5,FALSE),"")</f>
        <v>1021020</v>
      </c>
      <c r="J1035" s="25">
        <v>46164</v>
      </c>
    </row>
    <row r="1036" spans="3:10" ht="21" customHeight="1" x14ac:dyDescent="0.25">
      <c r="C1036" s="39">
        <v>1990</v>
      </c>
      <c r="D1036" s="28">
        <f>IFERROR(VLOOKUP($C1036,Tabla_Documentos[],2,FALSE),"")</f>
        <v>46135</v>
      </c>
      <c r="E1036" s="34" t="str">
        <f>IFERROR(VLOOKUP($C1036,Tabla_Documentos[],3,FALSE),"")</f>
        <v>84060600-7</v>
      </c>
      <c r="F1036" s="35" t="str">
        <f>IFERROR(VLOOKUP($C1036,Tabla_Documentos[],4,FALSE),"")</f>
        <v>CONSTRUCTORA DE PAVIMENTOS ASFALTICOS BITUMIX S.A</v>
      </c>
      <c r="G1036" s="38">
        <f>IFERROR(VLOOKUP($C1036,Tabla_Documentos[],5,FALSE),"")</f>
        <v>2832200</v>
      </c>
      <c r="H1036" s="29" t="str">
        <f>IFERROR(VLOOKUP($C1036,Tabla_Documentos[],6,FALSE),"")</f>
        <v>PUBLICIDAD</v>
      </c>
      <c r="I1036" s="38">
        <f>IFERROR(VLOOKUP($C1036,Tabla_Documentos[],5,FALSE),"")</f>
        <v>2832200</v>
      </c>
      <c r="J1036" s="25">
        <v>46170</v>
      </c>
    </row>
    <row r="1037" spans="3:10" ht="21" customHeight="1" x14ac:dyDescent="0.25">
      <c r="C1037" s="39">
        <v>1916</v>
      </c>
      <c r="D1037" s="28">
        <f>IFERROR(VLOOKUP($C1037,Tabla_Documentos[],2,FALSE),"")</f>
        <v>46104</v>
      </c>
      <c r="E1037" s="34" t="str">
        <f>IFERROR(VLOOKUP($C1037,Tabla_Documentos[],3,FALSE),"")</f>
        <v>78338638-0</v>
      </c>
      <c r="F1037" s="35" t="str">
        <f>IFERROR(VLOOKUP($C1037,Tabla_Documentos[],4,FALSE),"")</f>
        <v>LA PALMERA  ATACAMA SPA</v>
      </c>
      <c r="G1037" s="38">
        <f>IFERROR(VLOOKUP($C1037,Tabla_Documentos[],5,FALSE),"")</f>
        <v>50000</v>
      </c>
      <c r="H1037" s="29" t="str">
        <f>IFERROR(VLOOKUP($C1037,Tabla_Documentos[],6,FALSE),"")</f>
        <v>PUBLICIDAD</v>
      </c>
      <c r="I1037" s="38">
        <f>IFERROR(VLOOKUP($C1037,Tabla_Documentos[],5,FALSE),"")</f>
        <v>50000</v>
      </c>
      <c r="J1037" s="25">
        <v>46104</v>
      </c>
    </row>
    <row r="1038" spans="3:10" ht="21" customHeight="1" x14ac:dyDescent="0.25">
      <c r="C1038" s="39">
        <v>1982</v>
      </c>
      <c r="D1038" s="28">
        <f>IFERROR(VLOOKUP($C1038,Tabla_Documentos[],2,FALSE),"")</f>
        <v>46132</v>
      </c>
      <c r="E1038" s="34" t="str">
        <f>IFERROR(VLOOKUP($C1038,Tabla_Documentos[],3,FALSE),"")</f>
        <v>76186894-2</v>
      </c>
      <c r="F1038" s="35" t="str">
        <f>IFERROR(VLOOKUP($C1038,Tabla_Documentos[],4,FALSE),"")</f>
        <v>SAN RAFAEL INGENIERIA Y  SERVICIOS LIMITADA</v>
      </c>
      <c r="G1038" s="38">
        <f>IFERROR(VLOOKUP($C1038,Tabla_Documentos[],5,FALSE),"")</f>
        <v>685440</v>
      </c>
      <c r="H1038" s="29" t="str">
        <f>IFERROR(VLOOKUP($C1038,Tabla_Documentos[],6,FALSE),"")</f>
        <v>PUBLICIDAD</v>
      </c>
      <c r="I1038" s="38">
        <f>IFERROR(VLOOKUP($C1038,Tabla_Documentos[],5,FALSE),"")</f>
        <v>685440</v>
      </c>
      <c r="J1038" s="25">
        <v>46162</v>
      </c>
    </row>
    <row r="1039" spans="3:10" ht="21" customHeight="1" x14ac:dyDescent="0.25">
      <c r="C1039" s="39">
        <v>1984</v>
      </c>
      <c r="D1039" s="28">
        <f>IFERROR(VLOOKUP($C1039,Tabla_Documentos[],2,FALSE),"")</f>
        <v>46134</v>
      </c>
      <c r="E1039" s="34" t="str">
        <f>IFERROR(VLOOKUP($C1039,Tabla_Documentos[],3,FALSE),"")</f>
        <v>76186894-2</v>
      </c>
      <c r="F1039" s="35" t="str">
        <f>IFERROR(VLOOKUP($C1039,Tabla_Documentos[],4,FALSE),"")</f>
        <v>SAN RAFAEL INGENIERIA Y  SERVICIOS LIMITADA</v>
      </c>
      <c r="G1039" s="38">
        <f>IFERROR(VLOOKUP($C1039,Tabla_Documentos[],5,FALSE),"")</f>
        <v>59500</v>
      </c>
      <c r="H1039" s="29" t="str">
        <f>IFERROR(VLOOKUP($C1039,Tabla_Documentos[],6,FALSE),"")</f>
        <v>PUBLICIDAD</v>
      </c>
      <c r="I1039" s="38">
        <f>IFERROR(VLOOKUP($C1039,Tabla_Documentos[],5,FALSE),"")</f>
        <v>59500</v>
      </c>
      <c r="J1039" s="25">
        <v>46162</v>
      </c>
    </row>
    <row r="1040" spans="3:10" ht="21" customHeight="1" x14ac:dyDescent="0.25">
      <c r="C1040" s="39">
        <v>1986</v>
      </c>
      <c r="D1040" s="28">
        <f>IFERROR(VLOOKUP($C1040,Tabla_Documentos[],2,FALSE),"")</f>
        <v>46134</v>
      </c>
      <c r="E1040" s="34" t="str">
        <f>IFERROR(VLOOKUP($C1040,Tabla_Documentos[],3,FALSE),"")</f>
        <v>76186894-2</v>
      </c>
      <c r="F1040" s="35" t="str">
        <f>IFERROR(VLOOKUP($C1040,Tabla_Documentos[],4,FALSE),"")</f>
        <v>SAN RAFAEL INGENIERIA Y  SERVICIOS LIMITADA</v>
      </c>
      <c r="G1040" s="38">
        <f>IFERROR(VLOOKUP($C1040,Tabla_Documentos[],5,FALSE),"")</f>
        <v>29750</v>
      </c>
      <c r="H1040" s="29" t="str">
        <f>IFERROR(VLOOKUP($C1040,Tabla_Documentos[],6,FALSE),"")</f>
        <v>PUBLICIDAD</v>
      </c>
      <c r="I1040" s="38">
        <f>IFERROR(VLOOKUP($C1040,Tabla_Documentos[],5,FALSE),"")</f>
        <v>29750</v>
      </c>
      <c r="J1040" s="25">
        <v>46162</v>
      </c>
    </row>
    <row r="1041" spans="3:10" ht="21" customHeight="1" x14ac:dyDescent="0.25">
      <c r="C1041" s="39">
        <v>2002</v>
      </c>
      <c r="D1041" s="28">
        <f>IFERROR(VLOOKUP($C1041,Tabla_Documentos[],2,FALSE),"")</f>
        <v>46140</v>
      </c>
      <c r="E1041" s="34" t="str">
        <f>IFERROR(VLOOKUP($C1041,Tabla_Documentos[],3,FALSE),"")</f>
        <v>76186894-2</v>
      </c>
      <c r="F1041" s="35" t="str">
        <f>IFERROR(VLOOKUP($C1041,Tabla_Documentos[],4,FALSE),"")</f>
        <v>SAN RAFAEL INGENIERIA Y  SERVICIOS LIMITADA</v>
      </c>
      <c r="G1041" s="38">
        <f>IFERROR(VLOOKUP($C1041,Tabla_Documentos[],5,FALSE),"")</f>
        <v>30940</v>
      </c>
      <c r="H1041" s="29" t="str">
        <f>IFERROR(VLOOKUP($C1041,Tabla_Documentos[],6,FALSE),"")</f>
        <v>PUBLICIDAD</v>
      </c>
      <c r="I1041" s="38">
        <f>IFERROR(VLOOKUP($C1041,Tabla_Documentos[],5,FALSE),"")</f>
        <v>30940</v>
      </c>
      <c r="J1041" s="25">
        <v>46170</v>
      </c>
    </row>
    <row r="1042" spans="3:10" ht="21" customHeight="1" x14ac:dyDescent="0.25">
      <c r="C1042" s="39">
        <v>2034</v>
      </c>
      <c r="D1042" s="28">
        <f>IFERROR(VLOOKUP($C1042,Tabla_Documentos[],2,FALSE),"")</f>
        <v>46157</v>
      </c>
      <c r="E1042" s="34" t="str">
        <f>IFERROR(VLOOKUP($C1042,Tabla_Documentos[],3,FALSE),"")</f>
        <v>61935400-1</v>
      </c>
      <c r="F1042" s="35" t="str">
        <f>IFERROR(VLOOKUP($C1042,Tabla_Documentos[],4,FALSE),"")</f>
        <v>MINISTERIO PUBLICO</v>
      </c>
      <c r="G1042" s="38">
        <f>IFERROR(VLOOKUP($C1042,Tabla_Documentos[],5,FALSE),"")</f>
        <v>1237600</v>
      </c>
      <c r="H1042" s="29" t="str">
        <f>IFERROR(VLOOKUP($C1042,Tabla_Documentos[],6,FALSE),"")</f>
        <v>PUBLICIDAD</v>
      </c>
      <c r="I1042" s="38">
        <f>IFERROR(VLOOKUP($C1042,Tabla_Documentos[],5,FALSE),"")</f>
        <v>1237600</v>
      </c>
      <c r="J1042" s="25">
        <v>46177</v>
      </c>
    </row>
    <row r="1043" spans="3:10" ht="21" customHeight="1" x14ac:dyDescent="0.25">
      <c r="C1043" s="39"/>
      <c r="D1043" s="28" t="str">
        <f>IFERROR(VLOOKUP($C1043,Tabla_Documentos[],2,FALSE),"")</f>
        <v/>
      </c>
      <c r="E1043" s="34" t="str">
        <f>IFERROR(VLOOKUP($C1043,Tabla_Documentos[],3,FALSE),"")</f>
        <v/>
      </c>
      <c r="F1043" s="35" t="str">
        <f>IFERROR(VLOOKUP($C1043,Tabla_Documentos[],4,FALSE),"")</f>
        <v/>
      </c>
      <c r="G1043" s="38" t="str">
        <f>IFERROR(VLOOKUP($C1043,Tabla_Documentos[],5,FALSE),"")</f>
        <v/>
      </c>
      <c r="H1043" s="29" t="str">
        <f>IFERROR(VLOOKUP($C1043,Tabla_Documentos[],6,FALSE),"")</f>
        <v/>
      </c>
      <c r="I1043" s="38" t="str">
        <f>IFERROR(VLOOKUP($C1043,Tabla_Documentos[],5,FALSE),"")</f>
        <v/>
      </c>
      <c r="J1043" s="25"/>
    </row>
  </sheetData>
  <sheetProtection selectLockedCells="1" autoFilter="0"/>
  <conditionalFormatting sqref="B12:B1048576">
    <cfRule type="expression" dxfId="1" priority="8">
      <formula>$C12&lt;&gt;""</formula>
    </cfRule>
  </conditionalFormatting>
  <conditionalFormatting sqref="C12:C1043">
    <cfRule type="duplicateValues" dxfId="0" priority="821"/>
  </conditionalFormatting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E678-B790-4774-8E62-6E1057670AD3}">
  <sheetPr codeName="Hoja5">
    <tabColor theme="7" tint="0.59999389629810485"/>
  </sheetPr>
  <dimension ref="B2:I5"/>
  <sheetViews>
    <sheetView workbookViewId="0">
      <selection activeCell="B2" sqref="B2"/>
    </sheetView>
  </sheetViews>
  <sheetFormatPr baseColWidth="10" defaultRowHeight="15" x14ac:dyDescent="0.25"/>
  <cols>
    <col min="1" max="1" width="5.5703125" customWidth="1"/>
    <col min="2" max="2" width="12.140625" customWidth="1"/>
    <col min="3" max="3" width="11.7109375" bestFit="1" customWidth="1"/>
    <col min="4" max="4" width="13" bestFit="1" customWidth="1"/>
    <col min="9" max="9" width="13" bestFit="1" customWidth="1"/>
  </cols>
  <sheetData>
    <row r="2" spans="2:9" x14ac:dyDescent="0.25">
      <c r="B2" s="9" t="s">
        <v>15</v>
      </c>
      <c r="C2" s="9" t="s">
        <v>12</v>
      </c>
      <c r="D2" s="9" t="s">
        <v>13</v>
      </c>
      <c r="E2" s="9" t="s">
        <v>14</v>
      </c>
      <c r="G2" s="9" t="s">
        <v>15</v>
      </c>
      <c r="H2" s="9" t="s">
        <v>12</v>
      </c>
      <c r="I2" s="9" t="s">
        <v>13</v>
      </c>
    </row>
    <row r="3" spans="2:9" x14ac:dyDescent="0.25">
      <c r="B3" s="8" t="s">
        <v>10</v>
      </c>
      <c r="C3" s="6">
        <f ca="1">COUNTIF(Tabla_Documentos[ESTADO DE PAGO],B3)</f>
        <v>11</v>
      </c>
      <c r="D3" s="7">
        <f ca="1">SUMIF(Tabla_Documentos[ESTADO DE PAGO],B3,Tabla_Documentos[IMPORTE POR COBRAR])</f>
        <v>3813236</v>
      </c>
      <c r="E3" s="13">
        <f ca="1">IFERROR(C3/$C$5,"")</f>
        <v>0.14864864864864866</v>
      </c>
      <c r="G3" s="8" t="s">
        <v>10</v>
      </c>
      <c r="H3" s="6">
        <f>IFERROR(GETPIVOTDATA("NRO DE DOCUMENTOS",#REF!,"ESTADO DE PAGO","No vencido"),0)</f>
        <v>0</v>
      </c>
      <c r="I3" s="7">
        <f>IFERROR(GETPIVOTDATA("IMPORTE POR COBRAR ",#REF!,"ESTADO DE PAGO","No vencido"),0)</f>
        <v>0</v>
      </c>
    </row>
    <row r="4" spans="2:9" x14ac:dyDescent="0.25">
      <c r="B4" s="8" t="s">
        <v>11</v>
      </c>
      <c r="C4" s="6">
        <f ca="1">COUNTIF(Tabla_Documentos[ESTADO DE PAGO],B4)</f>
        <v>63</v>
      </c>
      <c r="D4" s="7">
        <f ca="1">SUMIF(Tabla_Documentos[ESTADO DE PAGO],B4,Tabla_Documentos[IMPORTE POR COBRAR])</f>
        <v>20727204</v>
      </c>
      <c r="E4" s="13">
        <f ca="1">IFERROR(C4/$C$5,"")</f>
        <v>0.85135135135135132</v>
      </c>
      <c r="G4" s="8" t="s">
        <v>11</v>
      </c>
      <c r="H4" s="6">
        <f>IFERROR(GETPIVOTDATA("NRO DE DOCUMENTOS",#REF!,"ESTADO DE PAGO","Vencido"),0)</f>
        <v>0</v>
      </c>
      <c r="I4" s="7">
        <f>IFERROR(GETPIVOTDATA("IMPORTE POR COBRAR ",#REF!,"ESTADO DE PAGO","Vencido"),0)</f>
        <v>0</v>
      </c>
    </row>
    <row r="5" spans="2:9" x14ac:dyDescent="0.25">
      <c r="B5" s="10"/>
      <c r="C5" s="10">
        <f ca="1">C3+C4</f>
        <v>74</v>
      </c>
      <c r="D5" s="11">
        <f ca="1">D3+D4</f>
        <v>24540440</v>
      </c>
      <c r="E5" s="12">
        <f ca="1">E3+E4</f>
        <v>1</v>
      </c>
      <c r="G5" s="10"/>
      <c r="H5" s="10">
        <f>H3+H4</f>
        <v>0</v>
      </c>
      <c r="I5" s="11">
        <f>I3+I4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CLIENTES</vt:lpstr>
      <vt:lpstr>DOCUMENTOS</vt:lpstr>
      <vt:lpstr>ABONOS</vt:lpstr>
      <vt:lpstr>CALCULOS</vt:lpstr>
      <vt:lpstr>DOCUMENTOS!Área_de_impresión</vt:lpstr>
      <vt:lpstr>Lista_Documentos</vt:lpstr>
      <vt:lpstr>Lista_Proveedores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Riva</dc:creator>
  <cp:lastModifiedBy>JOEL SOSA</cp:lastModifiedBy>
  <cp:lastPrinted>2025-05-09T13:31:05Z</cp:lastPrinted>
  <dcterms:created xsi:type="dcterms:W3CDTF">2024-11-08T21:15:42Z</dcterms:created>
  <dcterms:modified xsi:type="dcterms:W3CDTF">2026-06-05T20:07:39Z</dcterms:modified>
</cp:coreProperties>
</file>