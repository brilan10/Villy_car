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EL SOSA\Dropbox\J2 PUBLICIDAD\FINANZAS J2 PUBLICIDAD\"/>
    </mc:Choice>
  </mc:AlternateContent>
  <xr:revisionPtr revIDLastSave="0" documentId="13_ncr:1_{A8D0DC04-CD45-43A2-93D2-4D608C49376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DP CLAVE 100" sheetId="1" r:id="rId1"/>
    <sheet name="EDP ETYCA" sheetId="2" r:id="rId2"/>
    <sheet name="EDP TILSECO" sheetId="3" r:id="rId3"/>
    <sheet name="EDP PATAGONIA" sheetId="4" r:id="rId4"/>
    <sheet name="EDP ZAC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5" l="1"/>
  <c r="G22" i="5"/>
  <c r="G24" i="5" s="1"/>
  <c r="H10" i="5"/>
  <c r="H11" i="5" s="1"/>
  <c r="H12" i="5" s="1"/>
  <c r="H13" i="5" s="1"/>
  <c r="H14" i="5" s="1"/>
  <c r="E3" i="5"/>
  <c r="H12" i="2"/>
  <c r="H13" i="2" s="1"/>
  <c r="H14" i="2" s="1"/>
  <c r="H15" i="2" s="1"/>
  <c r="H16" i="2" s="1"/>
  <c r="H17" i="2" s="1"/>
  <c r="H18" i="2" s="1"/>
  <c r="H19" i="2" s="1"/>
  <c r="H12" i="4" l="1"/>
  <c r="H13" i="4"/>
  <c r="H14" i="4" s="1"/>
  <c r="H11" i="4"/>
  <c r="G23" i="4"/>
  <c r="G22" i="4"/>
  <c r="H10" i="4"/>
  <c r="E3" i="4"/>
  <c r="G23" i="3"/>
  <c r="G22" i="3"/>
  <c r="G24" i="3" s="1"/>
  <c r="H10" i="3"/>
  <c r="E3" i="3"/>
  <c r="G23" i="2"/>
  <c r="G22" i="2"/>
  <c r="G24" i="2" s="1"/>
  <c r="H10" i="2"/>
  <c r="H11" i="2" s="1"/>
  <c r="E3" i="2"/>
  <c r="G23" i="1"/>
  <c r="G24" i="1" s="1"/>
  <c r="H12" i="1"/>
  <c r="H11" i="1"/>
  <c r="H10" i="1"/>
  <c r="E3" i="1"/>
  <c r="G22" i="1"/>
  <c r="G24" i="4" l="1"/>
</calcChain>
</file>

<file path=xl/sharedStrings.xml><?xml version="1.0" encoding="utf-8"?>
<sst xmlns="http://schemas.openxmlformats.org/spreadsheetml/2006/main" count="220" uniqueCount="77">
  <si>
    <t>ESTADO DE PAGO</t>
  </si>
  <si>
    <t>EMPRESA:</t>
  </si>
  <si>
    <t>FECHA EMISIÓN:</t>
  </si>
  <si>
    <t>RUT:</t>
  </si>
  <si>
    <t>N° ESTADO DE PAGO:</t>
  </si>
  <si>
    <t>CLIENTE:</t>
  </si>
  <si>
    <t>RUT CLIENTE:</t>
  </si>
  <si>
    <t>N°</t>
  </si>
  <si>
    <t>Tipo Doc</t>
  </si>
  <si>
    <t>N° Documento</t>
  </si>
  <si>
    <t>Fecha Emisión</t>
  </si>
  <si>
    <t>Fecha Vencimiento</t>
  </si>
  <si>
    <t>Descripción</t>
  </si>
  <si>
    <t>Monto</t>
  </si>
  <si>
    <t>Saldo</t>
  </si>
  <si>
    <t>SALDO TOTAL:</t>
  </si>
  <si>
    <t>INFORMACIÓN DE PAGO</t>
  </si>
  <si>
    <t>BANCO:</t>
  </si>
  <si>
    <t>TIPO CUENTA:</t>
  </si>
  <si>
    <t>N° CUENTA:</t>
  </si>
  <si>
    <t>EMAIL:</t>
  </si>
  <si>
    <t>CLAVE 100</t>
  </si>
  <si>
    <t>J2 PUBLICIDAD SPA</t>
  </si>
  <si>
    <t>J2-0001</t>
  </si>
  <si>
    <t>76652918-6</t>
  </si>
  <si>
    <t>77551117-6</t>
  </si>
  <si>
    <t>CHILE</t>
  </si>
  <si>
    <t>CORRIENTE</t>
  </si>
  <si>
    <t>joel.sosa@j2publicidad.com</t>
  </si>
  <si>
    <t>J2-1089</t>
  </si>
  <si>
    <t>COTIZACION</t>
  </si>
  <si>
    <t>ROTULACIONES Y GPS</t>
  </si>
  <si>
    <t>J2-1161</t>
  </si>
  <si>
    <t>SALDO ANTERIOR</t>
  </si>
  <si>
    <t>SN</t>
  </si>
  <si>
    <t>Fecha de abono</t>
  </si>
  <si>
    <t>ABONOS</t>
  </si>
  <si>
    <t>SALDO ADEUDADO</t>
  </si>
  <si>
    <t>SALDO ABONADO</t>
  </si>
  <si>
    <t>MOVIMIENTOS</t>
  </si>
  <si>
    <t>ETYCA</t>
  </si>
  <si>
    <t>76606960-6</t>
  </si>
  <si>
    <t>J2-0002</t>
  </si>
  <si>
    <t>J2-1198</t>
  </si>
  <si>
    <t>J2-1199</t>
  </si>
  <si>
    <t>TRABAJOS VARIOS DOBLE COMANDO</t>
  </si>
  <si>
    <t>CAMBIO FOCOS Y ROTULACION</t>
  </si>
  <si>
    <t>SALDO A FAVOR</t>
  </si>
  <si>
    <t>TILSECO</t>
  </si>
  <si>
    <t>J2-0003</t>
  </si>
  <si>
    <t>J2-1219</t>
  </si>
  <si>
    <t>N/A</t>
  </si>
  <si>
    <t>SERVICIO DE ESTAMPADO Y BORDADOS</t>
  </si>
  <si>
    <t>PATAGONIA SPA</t>
  </si>
  <si>
    <t>COT950</t>
  </si>
  <si>
    <t>COT951</t>
  </si>
  <si>
    <t>FALLA TRANSFORMADOR 1</t>
  </si>
  <si>
    <t>ARRIENDO TRANSFORMADOR ENTRE OTROS</t>
  </si>
  <si>
    <t>COT952</t>
  </si>
  <si>
    <t>COT965</t>
  </si>
  <si>
    <t>COT966</t>
  </si>
  <si>
    <t>FALLA TRANSFORMADOR 2</t>
  </si>
  <si>
    <t>EXCAVACION POR FALLA</t>
  </si>
  <si>
    <t>J1-1236</t>
  </si>
  <si>
    <t>LETREROS Y  DISEÑOS</t>
  </si>
  <si>
    <t>ESTADO DE PAGO MAYO 2026</t>
  </si>
  <si>
    <t>ZACH</t>
  </si>
  <si>
    <t>76948401-9</t>
  </si>
  <si>
    <t>J2-0004</t>
  </si>
  <si>
    <t>J2-0005</t>
  </si>
  <si>
    <t>FACTURA</t>
  </si>
  <si>
    <t>LAMINA SEG.CAM. ALJIBE</t>
  </si>
  <si>
    <t>EQUIPAMIENTO MINERO</t>
  </si>
  <si>
    <t>COTITZACION</t>
  </si>
  <si>
    <t>COT1297</t>
  </si>
  <si>
    <t>-</t>
  </si>
  <si>
    <t>DIAGNOSTICO RETRO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</si>
</sst>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b/>
      <sz val="16"/>
      <color rgb="FF92D050"/>
      <name val="Calibri"/>
      <family val="2"/>
      <scheme val="minor"/>
    </font>
    <font>
      <b/>
      <sz val="14"/>
      <color rgb="FF92D050"/>
      <name val="Calibri"/>
      <family val="2"/>
    </font>
    <font>
      <b/>
      <sz val="11"/>
      <color rgb="FF92D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D9E1F2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2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left"/>
    </xf>
    <xf numFmtId="0" fontId="4" fillId="0" borderId="0" xfId="2" applyAlignment="1">
      <alignment horizontal="left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2" fontId="0" fillId="0" borderId="1" xfId="1" applyFont="1" applyBorder="1" applyAlignment="1">
      <alignment horizontal="center" vertical="center"/>
    </xf>
    <xf numFmtId="42" fontId="0" fillId="0" borderId="0" xfId="1" applyFont="1"/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42" fontId="0" fillId="0" borderId="1" xfId="0" applyNumberFormat="1" applyBorder="1" applyAlignment="1">
      <alignment horizontal="center" vertical="center"/>
    </xf>
    <xf numFmtId="0" fontId="1" fillId="0" borderId="0" xfId="0" applyFont="1" applyAlignment="1"/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8" fillId="3" borderId="4" xfId="0" applyFont="1" applyFill="1" applyBorder="1"/>
    <xf numFmtId="0" fontId="8" fillId="3" borderId="6" xfId="0" applyFont="1" applyFill="1" applyBorder="1"/>
    <xf numFmtId="0" fontId="8" fillId="3" borderId="5" xfId="0" applyFont="1" applyFill="1" applyBorder="1"/>
    <xf numFmtId="0" fontId="8" fillId="3" borderId="7" xfId="0" applyFont="1" applyFill="1" applyBorder="1"/>
    <xf numFmtId="0" fontId="0" fillId="0" borderId="8" xfId="0" applyBorder="1"/>
    <xf numFmtId="0" fontId="8" fillId="3" borderId="9" xfId="0" applyFont="1" applyFill="1" applyBorder="1"/>
    <xf numFmtId="0" fontId="0" fillId="0" borderId="1" xfId="0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el.sosa@j2publicidad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oel.sosa@j2publicidad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oel.sosa@j2publicidad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oel.sosa@j2publicidad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joel.sosa@j2publicida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workbookViewId="0">
      <selection activeCell="L20" sqref="L20"/>
    </sheetView>
  </sheetViews>
  <sheetFormatPr baseColWidth="10" defaultColWidth="9.140625" defaultRowHeight="15" x14ac:dyDescent="0.25"/>
  <cols>
    <col min="1" max="1" width="14.140625" customWidth="1"/>
    <col min="2" max="2" width="17.7109375" bestFit="1" customWidth="1"/>
    <col min="3" max="3" width="15" customWidth="1"/>
    <col min="4" max="4" width="19.5703125" bestFit="1" customWidth="1"/>
    <col min="5" max="5" width="18" customWidth="1"/>
    <col min="6" max="6" width="25" customWidth="1"/>
    <col min="7" max="7" width="14.42578125" customWidth="1"/>
    <col min="8" max="8" width="16.5703125" customWidth="1"/>
    <col min="9" max="9" width="2.42578125" customWidth="1"/>
    <col min="10" max="11" width="16" customWidth="1"/>
    <col min="12" max="12" width="12" customWidth="1"/>
  </cols>
  <sheetData>
    <row r="1" spans="1:12" ht="18.75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13"/>
    </row>
    <row r="3" spans="1:12" x14ac:dyDescent="0.25">
      <c r="A3" s="17" t="s">
        <v>1</v>
      </c>
      <c r="B3" s="16" t="s">
        <v>22</v>
      </c>
      <c r="D3" s="22" t="s">
        <v>2</v>
      </c>
      <c r="E3" s="14">
        <f ca="1">TODAY()</f>
        <v>46178</v>
      </c>
    </row>
    <row r="4" spans="1:12" x14ac:dyDescent="0.25">
      <c r="A4" s="18" t="s">
        <v>3</v>
      </c>
      <c r="B4" s="1" t="s">
        <v>25</v>
      </c>
      <c r="D4" s="19" t="s">
        <v>4</v>
      </c>
      <c r="E4" s="15" t="s">
        <v>23</v>
      </c>
    </row>
    <row r="5" spans="1:12" x14ac:dyDescent="0.25">
      <c r="A5" s="20" t="s">
        <v>5</v>
      </c>
      <c r="B5" s="1" t="s">
        <v>21</v>
      </c>
    </row>
    <row r="6" spans="1:12" x14ac:dyDescent="0.25">
      <c r="A6" s="20" t="s">
        <v>6</v>
      </c>
      <c r="B6" s="1" t="s">
        <v>24</v>
      </c>
    </row>
    <row r="7" spans="1:12" x14ac:dyDescent="0.25">
      <c r="A7" s="21"/>
    </row>
    <row r="8" spans="1:12" ht="21" x14ac:dyDescent="0.35">
      <c r="A8" s="24" t="s">
        <v>39</v>
      </c>
      <c r="B8" s="24"/>
      <c r="C8" s="24"/>
      <c r="D8" s="24"/>
      <c r="E8" s="24"/>
      <c r="F8" s="24"/>
      <c r="G8" s="24"/>
      <c r="H8" s="24"/>
      <c r="J8" s="24" t="s">
        <v>36</v>
      </c>
      <c r="K8" s="24"/>
    </row>
    <row r="9" spans="1:12" x14ac:dyDescent="0.25">
      <c r="A9" s="11" t="s">
        <v>7</v>
      </c>
      <c r="B9" s="11" t="s">
        <v>8</v>
      </c>
      <c r="C9" s="11" t="s">
        <v>9</v>
      </c>
      <c r="D9" s="11" t="s">
        <v>10</v>
      </c>
      <c r="E9" s="11" t="s">
        <v>11</v>
      </c>
      <c r="F9" s="11" t="s">
        <v>12</v>
      </c>
      <c r="G9" s="11" t="s">
        <v>13</v>
      </c>
      <c r="H9" s="11" t="s">
        <v>14</v>
      </c>
      <c r="I9" s="9"/>
      <c r="J9" s="11" t="s">
        <v>13</v>
      </c>
      <c r="K9" s="11" t="s">
        <v>35</v>
      </c>
    </row>
    <row r="10" spans="1:12" x14ac:dyDescent="0.25">
      <c r="A10" s="5">
        <v>1</v>
      </c>
      <c r="B10" s="5" t="s">
        <v>30</v>
      </c>
      <c r="C10" s="5" t="s">
        <v>29</v>
      </c>
      <c r="D10" s="6">
        <v>46111</v>
      </c>
      <c r="E10" s="6">
        <v>59260</v>
      </c>
      <c r="F10" s="5" t="s">
        <v>31</v>
      </c>
      <c r="G10" s="7">
        <v>2794120</v>
      </c>
      <c r="H10" s="12">
        <f>G10</f>
        <v>2794120</v>
      </c>
      <c r="I10" s="10"/>
      <c r="J10" s="7">
        <v>2000000</v>
      </c>
      <c r="K10" s="6">
        <v>46112</v>
      </c>
    </row>
    <row r="11" spans="1:12" x14ac:dyDescent="0.25">
      <c r="A11" s="5">
        <v>2</v>
      </c>
      <c r="B11" s="5" t="s">
        <v>30</v>
      </c>
      <c r="C11" s="5" t="s">
        <v>32</v>
      </c>
      <c r="D11" s="6">
        <v>46140</v>
      </c>
      <c r="E11" s="6">
        <v>46140</v>
      </c>
      <c r="F11" s="5" t="s">
        <v>31</v>
      </c>
      <c r="G11" s="7">
        <v>1180480</v>
      </c>
      <c r="H11" s="12">
        <f>G11+H10</f>
        <v>3974600</v>
      </c>
      <c r="I11" s="10"/>
      <c r="J11" s="7"/>
      <c r="K11" s="5"/>
    </row>
    <row r="12" spans="1:12" x14ac:dyDescent="0.25">
      <c r="A12" s="5">
        <v>3</v>
      </c>
      <c r="B12" s="5" t="s">
        <v>33</v>
      </c>
      <c r="C12" s="5" t="s">
        <v>34</v>
      </c>
      <c r="D12" s="6">
        <v>46112</v>
      </c>
      <c r="E12" s="6">
        <v>46112</v>
      </c>
      <c r="F12" s="5" t="s">
        <v>33</v>
      </c>
      <c r="G12" s="7">
        <v>1952960</v>
      </c>
      <c r="H12" s="12">
        <f>G12+H11</f>
        <v>5927560</v>
      </c>
      <c r="I12" s="10"/>
      <c r="J12" s="7"/>
      <c r="K12" s="5"/>
    </row>
    <row r="13" spans="1:12" x14ac:dyDescent="0.25">
      <c r="A13" s="5"/>
      <c r="B13" s="5"/>
      <c r="C13" s="5"/>
      <c r="D13" s="5"/>
      <c r="E13" s="5"/>
      <c r="F13" s="5"/>
      <c r="G13" s="7"/>
      <c r="H13" s="5"/>
      <c r="I13" s="10"/>
      <c r="J13" s="7"/>
      <c r="K13" s="5"/>
    </row>
    <row r="14" spans="1:12" x14ac:dyDescent="0.25">
      <c r="A14" s="5"/>
      <c r="B14" s="5"/>
      <c r="C14" s="5"/>
      <c r="D14" s="5"/>
      <c r="E14" s="5"/>
      <c r="F14" s="5"/>
      <c r="G14" s="7"/>
      <c r="H14" s="5"/>
      <c r="I14" s="10"/>
      <c r="J14" s="7"/>
      <c r="K14" s="5"/>
    </row>
    <row r="15" spans="1:12" x14ac:dyDescent="0.25">
      <c r="A15" s="5"/>
      <c r="B15" s="5"/>
      <c r="C15" s="5"/>
      <c r="D15" s="5"/>
      <c r="E15" s="5"/>
      <c r="F15" s="5"/>
      <c r="G15" s="7"/>
      <c r="H15" s="5"/>
      <c r="I15" s="10"/>
      <c r="J15" s="7"/>
      <c r="K15" s="5"/>
    </row>
    <row r="16" spans="1:12" x14ac:dyDescent="0.25">
      <c r="A16" s="5"/>
      <c r="B16" s="5"/>
      <c r="C16" s="5"/>
      <c r="D16" s="5"/>
      <c r="E16" s="5"/>
      <c r="F16" s="5"/>
      <c r="G16" s="7"/>
      <c r="H16" s="5"/>
      <c r="I16" s="10"/>
      <c r="J16" s="7"/>
      <c r="K16" s="5"/>
    </row>
    <row r="17" spans="1:11" x14ac:dyDescent="0.25">
      <c r="A17" s="5"/>
      <c r="B17" s="5"/>
      <c r="C17" s="5"/>
      <c r="D17" s="5"/>
      <c r="E17" s="5"/>
      <c r="F17" s="5"/>
      <c r="G17" s="7"/>
      <c r="H17" s="5"/>
      <c r="I17" s="10"/>
      <c r="J17" s="7"/>
      <c r="K17" s="5"/>
    </row>
    <row r="18" spans="1:11" x14ac:dyDescent="0.25">
      <c r="A18" s="5"/>
      <c r="B18" s="5"/>
      <c r="C18" s="5"/>
      <c r="D18" s="5"/>
      <c r="E18" s="5"/>
      <c r="F18" s="5"/>
      <c r="G18" s="7"/>
      <c r="H18" s="5"/>
      <c r="I18" s="10"/>
      <c r="J18" s="7"/>
      <c r="K18" s="5"/>
    </row>
    <row r="19" spans="1:11" x14ac:dyDescent="0.25">
      <c r="A19" s="5"/>
      <c r="B19" s="5"/>
      <c r="C19" s="5"/>
      <c r="D19" s="5"/>
      <c r="E19" s="5"/>
      <c r="F19" s="5"/>
      <c r="G19" s="7"/>
      <c r="H19" s="5"/>
      <c r="I19" s="10"/>
      <c r="J19" s="7"/>
      <c r="K19" s="5"/>
    </row>
    <row r="20" spans="1:11" x14ac:dyDescent="0.25">
      <c r="G20" s="8"/>
      <c r="H20" s="8"/>
      <c r="I20" s="8"/>
    </row>
    <row r="21" spans="1:11" x14ac:dyDescent="0.25">
      <c r="G21" s="8"/>
      <c r="H21" s="8"/>
      <c r="I21" s="8"/>
    </row>
    <row r="22" spans="1:11" x14ac:dyDescent="0.25">
      <c r="F22" t="s">
        <v>37</v>
      </c>
      <c r="G22" s="8">
        <f>SUM(G10:G19)</f>
        <v>5927560</v>
      </c>
      <c r="H22" s="8"/>
      <c r="I22" s="8"/>
    </row>
    <row r="23" spans="1:11" x14ac:dyDescent="0.25">
      <c r="F23" t="s">
        <v>38</v>
      </c>
      <c r="G23" s="8">
        <f>SUM(J10:J19)</f>
        <v>2000000</v>
      </c>
      <c r="H23" s="8"/>
      <c r="I23" s="8"/>
    </row>
    <row r="24" spans="1:11" x14ac:dyDescent="0.25">
      <c r="F24" t="s">
        <v>15</v>
      </c>
      <c r="G24" s="8">
        <f>G22-G23</f>
        <v>3927560</v>
      </c>
      <c r="H24" s="8"/>
      <c r="I24" s="8"/>
    </row>
    <row r="25" spans="1:11" x14ac:dyDescent="0.25">
      <c r="G25" s="8"/>
      <c r="H25" s="8"/>
      <c r="I25" s="8"/>
    </row>
    <row r="26" spans="1:11" x14ac:dyDescent="0.25">
      <c r="A26" s="2" t="s">
        <v>16</v>
      </c>
    </row>
    <row r="27" spans="1:11" x14ac:dyDescent="0.25">
      <c r="A27" t="s">
        <v>17</v>
      </c>
      <c r="B27" s="3" t="s">
        <v>26</v>
      </c>
    </row>
    <row r="28" spans="1:11" x14ac:dyDescent="0.25">
      <c r="A28" t="s">
        <v>18</v>
      </c>
      <c r="B28" s="3" t="s">
        <v>27</v>
      </c>
    </row>
    <row r="29" spans="1:11" x14ac:dyDescent="0.25">
      <c r="A29" t="s">
        <v>19</v>
      </c>
      <c r="B29" s="3">
        <v>1182246700</v>
      </c>
    </row>
    <row r="30" spans="1:11" x14ac:dyDescent="0.25">
      <c r="A30" t="s">
        <v>20</v>
      </c>
      <c r="B30" s="4" t="s">
        <v>28</v>
      </c>
    </row>
  </sheetData>
  <mergeCells count="3">
    <mergeCell ref="J8:K8"/>
    <mergeCell ref="A8:H8"/>
    <mergeCell ref="A1:K1"/>
  </mergeCells>
  <hyperlinks>
    <hyperlink ref="B30" r:id="rId1" xr:uid="{3DCD6CF7-B31E-4D3B-B043-BA29633296A0}"/>
  </hyperlinks>
  <pageMargins left="0.75" right="0.75" top="1" bottom="1" header="0.5" footer="0.5"/>
  <pageSetup paperSize="9" scale="74" fitToHeight="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C23B-77A4-446D-AA4C-60F24D914E07}">
  <sheetPr>
    <pageSetUpPr fitToPage="1"/>
  </sheetPr>
  <dimension ref="A1:L30"/>
  <sheetViews>
    <sheetView workbookViewId="0">
      <selection activeCell="F18" sqref="F18"/>
    </sheetView>
  </sheetViews>
  <sheetFormatPr baseColWidth="10" defaultColWidth="9.140625" defaultRowHeight="15" x14ac:dyDescent="0.25"/>
  <cols>
    <col min="1" max="1" width="14.140625" customWidth="1"/>
    <col min="2" max="2" width="17.7109375" bestFit="1" customWidth="1"/>
    <col min="3" max="3" width="15" customWidth="1"/>
    <col min="4" max="4" width="19.5703125" bestFit="1" customWidth="1"/>
    <col min="5" max="5" width="18" customWidth="1"/>
    <col min="6" max="6" width="25" customWidth="1"/>
    <col min="7" max="7" width="14.42578125" customWidth="1"/>
    <col min="8" max="8" width="16.5703125" customWidth="1"/>
    <col min="9" max="9" width="2.42578125" customWidth="1"/>
    <col min="10" max="11" width="16" customWidth="1"/>
    <col min="12" max="12" width="12" customWidth="1"/>
  </cols>
  <sheetData>
    <row r="1" spans="1:12" ht="18.75" x14ac:dyDescent="0.3">
      <c r="A1" s="25" t="s">
        <v>65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13"/>
    </row>
    <row r="3" spans="1:12" x14ac:dyDescent="0.25">
      <c r="A3" s="17" t="s">
        <v>1</v>
      </c>
      <c r="B3" s="16" t="s">
        <v>22</v>
      </c>
      <c r="D3" s="22" t="s">
        <v>2</v>
      </c>
      <c r="E3" s="14">
        <f ca="1">TODAY()</f>
        <v>46178</v>
      </c>
    </row>
    <row r="4" spans="1:12" x14ac:dyDescent="0.25">
      <c r="A4" s="18" t="s">
        <v>3</v>
      </c>
      <c r="B4" s="1" t="s">
        <v>25</v>
      </c>
      <c r="D4" s="19" t="s">
        <v>4</v>
      </c>
      <c r="E4" s="15" t="s">
        <v>42</v>
      </c>
    </row>
    <row r="5" spans="1:12" x14ac:dyDescent="0.25">
      <c r="A5" s="20" t="s">
        <v>5</v>
      </c>
      <c r="B5" s="1" t="s">
        <v>40</v>
      </c>
    </row>
    <row r="6" spans="1:12" x14ac:dyDescent="0.25">
      <c r="A6" s="20" t="s">
        <v>6</v>
      </c>
      <c r="B6" s="1" t="s">
        <v>41</v>
      </c>
    </row>
    <row r="7" spans="1:12" x14ac:dyDescent="0.25">
      <c r="A7" s="21"/>
    </row>
    <row r="8" spans="1:12" ht="21" x14ac:dyDescent="0.35">
      <c r="A8" s="24" t="s">
        <v>39</v>
      </c>
      <c r="B8" s="24"/>
      <c r="C8" s="24"/>
      <c r="D8" s="24"/>
      <c r="E8" s="24"/>
      <c r="F8" s="24"/>
      <c r="G8" s="24"/>
      <c r="H8" s="24"/>
      <c r="J8" s="24" t="s">
        <v>47</v>
      </c>
      <c r="K8" s="24"/>
    </row>
    <row r="9" spans="1:12" x14ac:dyDescent="0.25">
      <c r="A9" s="11" t="s">
        <v>7</v>
      </c>
      <c r="B9" s="11" t="s">
        <v>8</v>
      </c>
      <c r="C9" s="11" t="s">
        <v>9</v>
      </c>
      <c r="D9" s="11" t="s">
        <v>10</v>
      </c>
      <c r="E9" s="11" t="s">
        <v>11</v>
      </c>
      <c r="F9" s="11" t="s">
        <v>12</v>
      </c>
      <c r="G9" s="11" t="s">
        <v>13</v>
      </c>
      <c r="H9" s="11" t="s">
        <v>14</v>
      </c>
      <c r="I9" s="9"/>
      <c r="J9" s="11" t="s">
        <v>13</v>
      </c>
      <c r="K9" s="11" t="s">
        <v>35</v>
      </c>
    </row>
    <row r="10" spans="1:12" ht="30" x14ac:dyDescent="0.25">
      <c r="A10" s="5">
        <v>1</v>
      </c>
      <c r="B10" s="5" t="s">
        <v>30</v>
      </c>
      <c r="C10" s="5" t="s">
        <v>43</v>
      </c>
      <c r="D10" s="6">
        <v>46156</v>
      </c>
      <c r="E10" s="6">
        <v>46156</v>
      </c>
      <c r="F10" s="23" t="s">
        <v>45</v>
      </c>
      <c r="G10" s="7">
        <v>3855600</v>
      </c>
      <c r="H10" s="12">
        <f>G10</f>
        <v>3855600</v>
      </c>
      <c r="I10" s="10"/>
      <c r="J10" s="7">
        <v>35700</v>
      </c>
      <c r="K10" s="6">
        <v>46112</v>
      </c>
    </row>
    <row r="11" spans="1:12" x14ac:dyDescent="0.25">
      <c r="A11" s="5">
        <v>2</v>
      </c>
      <c r="B11" s="5" t="s">
        <v>30</v>
      </c>
      <c r="C11" s="5" t="s">
        <v>44</v>
      </c>
      <c r="D11" s="6">
        <v>46156</v>
      </c>
      <c r="E11" s="6">
        <v>46156</v>
      </c>
      <c r="F11" s="5" t="s">
        <v>46</v>
      </c>
      <c r="G11" s="7">
        <v>238000</v>
      </c>
      <c r="H11" s="12">
        <f>G11+H10</f>
        <v>4093600</v>
      </c>
      <c r="I11" s="10"/>
      <c r="J11" s="7"/>
      <c r="K11" s="5"/>
    </row>
    <row r="12" spans="1:12" x14ac:dyDescent="0.25">
      <c r="A12" s="5">
        <v>3</v>
      </c>
      <c r="B12" s="5" t="s">
        <v>30</v>
      </c>
      <c r="C12" s="5" t="s">
        <v>63</v>
      </c>
      <c r="D12" s="6">
        <v>46171</v>
      </c>
      <c r="E12" s="6">
        <v>46171</v>
      </c>
      <c r="F12" s="5" t="s">
        <v>64</v>
      </c>
      <c r="G12" s="7">
        <v>428043</v>
      </c>
      <c r="H12" s="12">
        <f t="shared" ref="H12:H19" si="0">G12+H11</f>
        <v>4521643</v>
      </c>
      <c r="I12" s="10"/>
      <c r="J12" s="7"/>
      <c r="K12" s="5"/>
    </row>
    <row r="13" spans="1:12" x14ac:dyDescent="0.25">
      <c r="A13" s="5"/>
      <c r="B13" s="5"/>
      <c r="C13" s="5"/>
      <c r="D13" s="5"/>
      <c r="E13" s="5"/>
      <c r="F13" s="5"/>
      <c r="G13" s="7"/>
      <c r="H13" s="12">
        <f t="shared" si="0"/>
        <v>4521643</v>
      </c>
      <c r="I13" s="10"/>
      <c r="J13" s="7"/>
      <c r="K13" s="5"/>
    </row>
    <row r="14" spans="1:12" x14ac:dyDescent="0.25">
      <c r="A14" s="5"/>
      <c r="B14" s="5"/>
      <c r="C14" s="5"/>
      <c r="D14" s="5"/>
      <c r="E14" s="5"/>
      <c r="F14" s="5"/>
      <c r="G14" s="7"/>
      <c r="H14" s="12">
        <f t="shared" si="0"/>
        <v>4521643</v>
      </c>
      <c r="I14" s="10"/>
      <c r="J14" s="7"/>
      <c r="K14" s="5"/>
    </row>
    <row r="15" spans="1:12" x14ac:dyDescent="0.25">
      <c r="A15" s="5"/>
      <c r="B15" s="5"/>
      <c r="C15" s="5"/>
      <c r="D15" s="5"/>
      <c r="E15" s="5"/>
      <c r="F15" s="5"/>
      <c r="G15" s="7"/>
      <c r="H15" s="12">
        <f t="shared" si="0"/>
        <v>4521643</v>
      </c>
      <c r="I15" s="10"/>
      <c r="J15" s="7"/>
      <c r="K15" s="5"/>
    </row>
    <row r="16" spans="1:12" x14ac:dyDescent="0.25">
      <c r="A16" s="5"/>
      <c r="B16" s="5"/>
      <c r="C16" s="5"/>
      <c r="D16" s="5"/>
      <c r="E16" s="5"/>
      <c r="F16" s="5"/>
      <c r="G16" s="7"/>
      <c r="H16" s="12">
        <f t="shared" si="0"/>
        <v>4521643</v>
      </c>
      <c r="I16" s="10"/>
      <c r="J16" s="7"/>
      <c r="K16" s="5"/>
    </row>
    <row r="17" spans="1:11" x14ac:dyDescent="0.25">
      <c r="A17" s="5"/>
      <c r="B17" s="5"/>
      <c r="C17" s="5"/>
      <c r="D17" s="5"/>
      <c r="E17" s="5"/>
      <c r="F17" s="5"/>
      <c r="G17" s="7"/>
      <c r="H17" s="12">
        <f t="shared" si="0"/>
        <v>4521643</v>
      </c>
      <c r="I17" s="10"/>
      <c r="J17" s="7"/>
      <c r="K17" s="5"/>
    </row>
    <row r="18" spans="1:11" x14ac:dyDescent="0.25">
      <c r="A18" s="5"/>
      <c r="B18" s="5"/>
      <c r="C18" s="5"/>
      <c r="D18" s="5"/>
      <c r="E18" s="5"/>
      <c r="F18" s="5"/>
      <c r="G18" s="7"/>
      <c r="H18" s="12">
        <f t="shared" si="0"/>
        <v>4521643</v>
      </c>
      <c r="I18" s="10"/>
      <c r="J18" s="7"/>
      <c r="K18" s="5"/>
    </row>
    <row r="19" spans="1:11" x14ac:dyDescent="0.25">
      <c r="A19" s="5"/>
      <c r="B19" s="5"/>
      <c r="C19" s="5"/>
      <c r="D19" s="5"/>
      <c r="E19" s="5"/>
      <c r="F19" s="5"/>
      <c r="G19" s="7"/>
      <c r="H19" s="12">
        <f t="shared" si="0"/>
        <v>4521643</v>
      </c>
      <c r="I19" s="10"/>
      <c r="J19" s="7"/>
      <c r="K19" s="5"/>
    </row>
    <row r="20" spans="1:11" x14ac:dyDescent="0.25">
      <c r="G20" s="8"/>
      <c r="H20" s="8"/>
      <c r="I20" s="8"/>
    </row>
    <row r="21" spans="1:11" x14ac:dyDescent="0.25">
      <c r="G21" s="8"/>
      <c r="H21" s="8"/>
      <c r="I21" s="8"/>
    </row>
    <row r="22" spans="1:11" x14ac:dyDescent="0.25">
      <c r="F22" t="s">
        <v>37</v>
      </c>
      <c r="G22" s="8">
        <f>SUM(G10:G19)</f>
        <v>4521643</v>
      </c>
      <c r="H22" s="8"/>
      <c r="I22" s="8"/>
    </row>
    <row r="23" spans="1:11" x14ac:dyDescent="0.25">
      <c r="F23" t="s">
        <v>38</v>
      </c>
      <c r="G23" s="8">
        <f>SUM(J10:J19)</f>
        <v>35700</v>
      </c>
      <c r="H23" s="8"/>
      <c r="I23" s="8"/>
    </row>
    <row r="24" spans="1:11" x14ac:dyDescent="0.25">
      <c r="F24" t="s">
        <v>15</v>
      </c>
      <c r="G24" s="8">
        <f>G22-G23</f>
        <v>4485943</v>
      </c>
      <c r="H24" s="8"/>
      <c r="I24" s="8"/>
    </row>
    <row r="25" spans="1:11" x14ac:dyDescent="0.25">
      <c r="G25" s="8"/>
      <c r="H25" s="8"/>
      <c r="I25" s="8"/>
    </row>
    <row r="26" spans="1:11" x14ac:dyDescent="0.25">
      <c r="A26" s="2" t="s">
        <v>16</v>
      </c>
    </row>
    <row r="27" spans="1:11" x14ac:dyDescent="0.25">
      <c r="A27" t="s">
        <v>17</v>
      </c>
      <c r="B27" s="3" t="s">
        <v>26</v>
      </c>
    </row>
    <row r="28" spans="1:11" x14ac:dyDescent="0.25">
      <c r="A28" t="s">
        <v>18</v>
      </c>
      <c r="B28" s="3" t="s">
        <v>27</v>
      </c>
    </row>
    <row r="29" spans="1:11" x14ac:dyDescent="0.25">
      <c r="A29" t="s">
        <v>19</v>
      </c>
      <c r="B29" s="3">
        <v>1182246700</v>
      </c>
    </row>
    <row r="30" spans="1:11" x14ac:dyDescent="0.25">
      <c r="A30" t="s">
        <v>20</v>
      </c>
      <c r="B30" s="4" t="s">
        <v>28</v>
      </c>
    </row>
  </sheetData>
  <mergeCells count="3">
    <mergeCell ref="A1:K1"/>
    <mergeCell ref="A8:H8"/>
    <mergeCell ref="J8:K8"/>
  </mergeCells>
  <hyperlinks>
    <hyperlink ref="B30" r:id="rId1" xr:uid="{FE4B0051-20BD-450D-8046-796F77BF8D6F}"/>
  </hyperlinks>
  <pageMargins left="0.75" right="0.75" top="1" bottom="1" header="0.5" footer="0.5"/>
  <pageSetup paperSize="9" scale="74" fitToHeight="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15C73-C9DF-4EC9-948A-D5B7CA361EB9}">
  <sheetPr>
    <pageSetUpPr fitToPage="1"/>
  </sheetPr>
  <dimension ref="A1:L30"/>
  <sheetViews>
    <sheetView topLeftCell="B1" workbookViewId="0">
      <selection activeCell="J11" sqref="J11"/>
    </sheetView>
  </sheetViews>
  <sheetFormatPr baseColWidth="10" defaultColWidth="9.140625" defaultRowHeight="15" x14ac:dyDescent="0.25"/>
  <cols>
    <col min="1" max="1" width="14.140625" customWidth="1"/>
    <col min="2" max="2" width="17.7109375" bestFit="1" customWidth="1"/>
    <col min="3" max="3" width="15" customWidth="1"/>
    <col min="4" max="4" width="19.5703125" bestFit="1" customWidth="1"/>
    <col min="5" max="5" width="18" customWidth="1"/>
    <col min="6" max="6" width="23.7109375" bestFit="1" customWidth="1"/>
    <col min="7" max="7" width="14.42578125" customWidth="1"/>
    <col min="8" max="8" width="16.5703125" customWidth="1"/>
    <col min="9" max="9" width="2.42578125" customWidth="1"/>
    <col min="10" max="11" width="16" customWidth="1"/>
    <col min="12" max="12" width="12" customWidth="1"/>
  </cols>
  <sheetData>
    <row r="1" spans="1:12" ht="18.75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13"/>
    </row>
    <row r="3" spans="1:12" x14ac:dyDescent="0.25">
      <c r="A3" s="17" t="s">
        <v>1</v>
      </c>
      <c r="B3" s="16" t="s">
        <v>22</v>
      </c>
      <c r="D3" s="22" t="s">
        <v>2</v>
      </c>
      <c r="E3" s="14">
        <f ca="1">TODAY()</f>
        <v>46178</v>
      </c>
    </row>
    <row r="4" spans="1:12" x14ac:dyDescent="0.25">
      <c r="A4" s="18" t="s">
        <v>3</v>
      </c>
      <c r="B4" s="1" t="s">
        <v>25</v>
      </c>
      <c r="D4" s="19" t="s">
        <v>4</v>
      </c>
      <c r="E4" s="15" t="s">
        <v>49</v>
      </c>
    </row>
    <row r="5" spans="1:12" x14ac:dyDescent="0.25">
      <c r="A5" s="20" t="s">
        <v>5</v>
      </c>
      <c r="B5" s="1" t="s">
        <v>48</v>
      </c>
    </row>
    <row r="6" spans="1:12" x14ac:dyDescent="0.25">
      <c r="A6" s="20" t="s">
        <v>6</v>
      </c>
      <c r="B6" s="1" t="s">
        <v>41</v>
      </c>
    </row>
    <row r="7" spans="1:12" x14ac:dyDescent="0.25">
      <c r="A7" s="21"/>
    </row>
    <row r="8" spans="1:12" ht="21" x14ac:dyDescent="0.35">
      <c r="A8" s="24" t="s">
        <v>39</v>
      </c>
      <c r="B8" s="24"/>
      <c r="C8" s="24"/>
      <c r="D8" s="24"/>
      <c r="E8" s="24"/>
      <c r="F8" s="24"/>
      <c r="G8" s="24"/>
      <c r="H8" s="24"/>
      <c r="J8" s="24" t="s">
        <v>36</v>
      </c>
      <c r="K8" s="24"/>
    </row>
    <row r="9" spans="1:12" x14ac:dyDescent="0.25">
      <c r="A9" s="11" t="s">
        <v>7</v>
      </c>
      <c r="B9" s="11" t="s">
        <v>8</v>
      </c>
      <c r="C9" s="11" t="s">
        <v>9</v>
      </c>
      <c r="D9" s="11" t="s">
        <v>10</v>
      </c>
      <c r="E9" s="11" t="s">
        <v>11</v>
      </c>
      <c r="F9" s="11" t="s">
        <v>12</v>
      </c>
      <c r="G9" s="11" t="s">
        <v>13</v>
      </c>
      <c r="H9" s="11" t="s">
        <v>14</v>
      </c>
      <c r="I9" s="9"/>
      <c r="J9" s="11" t="s">
        <v>13</v>
      </c>
      <c r="K9" s="11" t="s">
        <v>35</v>
      </c>
    </row>
    <row r="10" spans="1:12" ht="30" x14ac:dyDescent="0.25">
      <c r="A10" s="5">
        <v>1</v>
      </c>
      <c r="B10" s="5" t="s">
        <v>30</v>
      </c>
      <c r="C10" s="5" t="s">
        <v>50</v>
      </c>
      <c r="D10" s="6">
        <v>46162</v>
      </c>
      <c r="E10" s="6" t="s">
        <v>51</v>
      </c>
      <c r="F10" s="23" t="s">
        <v>52</v>
      </c>
      <c r="G10" s="7">
        <v>1466080</v>
      </c>
      <c r="H10" s="12">
        <f>G10</f>
        <v>1466080</v>
      </c>
      <c r="I10" s="10"/>
      <c r="J10" s="7"/>
      <c r="K10" s="6"/>
    </row>
    <row r="11" spans="1:12" x14ac:dyDescent="0.25">
      <c r="A11" s="5"/>
      <c r="B11" s="5"/>
      <c r="C11" s="5"/>
      <c r="D11" s="6"/>
      <c r="E11" s="6"/>
      <c r="F11" s="5"/>
      <c r="G11" s="7"/>
      <c r="H11" s="12"/>
      <c r="I11" s="10"/>
      <c r="J11" s="7"/>
      <c r="K11" s="5"/>
    </row>
    <row r="12" spans="1:12" x14ac:dyDescent="0.25">
      <c r="A12" s="5"/>
      <c r="B12" s="5"/>
      <c r="C12" s="5"/>
      <c r="D12" s="6"/>
      <c r="E12" s="6"/>
      <c r="F12" s="5"/>
      <c r="G12" s="7"/>
      <c r="H12" s="12"/>
      <c r="I12" s="10"/>
      <c r="J12" s="7"/>
      <c r="K12" s="5"/>
    </row>
    <row r="13" spans="1:12" x14ac:dyDescent="0.25">
      <c r="A13" s="5"/>
      <c r="B13" s="5"/>
      <c r="C13" s="5"/>
      <c r="D13" s="5"/>
      <c r="E13" s="5"/>
      <c r="F13" s="5"/>
      <c r="G13" s="7"/>
      <c r="H13" s="5"/>
      <c r="I13" s="10"/>
      <c r="J13" s="7"/>
      <c r="K13" s="5"/>
    </row>
    <row r="14" spans="1:12" x14ac:dyDescent="0.25">
      <c r="A14" s="5"/>
      <c r="B14" s="5"/>
      <c r="C14" s="5"/>
      <c r="D14" s="5"/>
      <c r="E14" s="5"/>
      <c r="F14" s="5"/>
      <c r="G14" s="7"/>
      <c r="H14" s="5"/>
      <c r="I14" s="10"/>
      <c r="J14" s="7"/>
      <c r="K14" s="5"/>
    </row>
    <row r="15" spans="1:12" x14ac:dyDescent="0.25">
      <c r="A15" s="5"/>
      <c r="B15" s="5"/>
      <c r="C15" s="5"/>
      <c r="D15" s="5"/>
      <c r="E15" s="5"/>
      <c r="F15" s="5"/>
      <c r="G15" s="7"/>
      <c r="H15" s="5"/>
      <c r="I15" s="10"/>
      <c r="J15" s="7"/>
      <c r="K15" s="5"/>
    </row>
    <row r="16" spans="1:12" x14ac:dyDescent="0.25">
      <c r="A16" s="5"/>
      <c r="B16" s="5"/>
      <c r="C16" s="5"/>
      <c r="D16" s="5"/>
      <c r="E16" s="5"/>
      <c r="F16" s="5"/>
      <c r="G16" s="7"/>
      <c r="H16" s="5"/>
      <c r="I16" s="10"/>
      <c r="J16" s="7"/>
      <c r="K16" s="5"/>
    </row>
    <row r="17" spans="1:11" x14ac:dyDescent="0.25">
      <c r="A17" s="5"/>
      <c r="B17" s="5"/>
      <c r="C17" s="5"/>
      <c r="D17" s="5"/>
      <c r="E17" s="5"/>
      <c r="F17" s="5"/>
      <c r="G17" s="7"/>
      <c r="H17" s="5"/>
      <c r="I17" s="10"/>
      <c r="J17" s="7"/>
      <c r="K17" s="5"/>
    </row>
    <row r="18" spans="1:11" x14ac:dyDescent="0.25">
      <c r="A18" s="5"/>
      <c r="B18" s="5"/>
      <c r="C18" s="5"/>
      <c r="D18" s="5"/>
      <c r="E18" s="5"/>
      <c r="F18" s="5"/>
      <c r="G18" s="7"/>
      <c r="H18" s="5"/>
      <c r="I18" s="10"/>
      <c r="J18" s="7"/>
      <c r="K18" s="5"/>
    </row>
    <row r="19" spans="1:11" x14ac:dyDescent="0.25">
      <c r="A19" s="5"/>
      <c r="B19" s="5"/>
      <c r="C19" s="5"/>
      <c r="D19" s="5"/>
      <c r="E19" s="5"/>
      <c r="F19" s="5"/>
      <c r="G19" s="7"/>
      <c r="H19" s="5"/>
      <c r="I19" s="10"/>
      <c r="J19" s="7"/>
      <c r="K19" s="5"/>
    </row>
    <row r="20" spans="1:11" x14ac:dyDescent="0.25">
      <c r="G20" s="8"/>
      <c r="H20" s="8"/>
      <c r="I20" s="8"/>
    </row>
    <row r="21" spans="1:11" x14ac:dyDescent="0.25">
      <c r="G21" s="8"/>
      <c r="H21" s="8"/>
      <c r="I21" s="8"/>
    </row>
    <row r="22" spans="1:11" x14ac:dyDescent="0.25">
      <c r="F22" t="s">
        <v>37</v>
      </c>
      <c r="G22" s="8">
        <f>SUM(G10:G19)</f>
        <v>1466080</v>
      </c>
      <c r="H22" s="8"/>
      <c r="I22" s="8"/>
    </row>
    <row r="23" spans="1:11" x14ac:dyDescent="0.25">
      <c r="F23" t="s">
        <v>38</v>
      </c>
      <c r="G23" s="8">
        <f>SUM(J10:J19)</f>
        <v>0</v>
      </c>
      <c r="H23" s="8"/>
      <c r="I23" s="8"/>
    </row>
    <row r="24" spans="1:11" x14ac:dyDescent="0.25">
      <c r="F24" t="s">
        <v>15</v>
      </c>
      <c r="G24" s="8">
        <f>G22-G23</f>
        <v>1466080</v>
      </c>
      <c r="H24" s="8"/>
      <c r="I24" s="8"/>
    </row>
    <row r="25" spans="1:11" x14ac:dyDescent="0.25">
      <c r="G25" s="8"/>
      <c r="H25" s="8"/>
      <c r="I25" s="8"/>
    </row>
    <row r="26" spans="1:11" x14ac:dyDescent="0.25">
      <c r="A26" s="2" t="s">
        <v>16</v>
      </c>
    </row>
    <row r="27" spans="1:11" x14ac:dyDescent="0.25">
      <c r="A27" t="s">
        <v>17</v>
      </c>
      <c r="B27" s="3" t="s">
        <v>26</v>
      </c>
    </row>
    <row r="28" spans="1:11" x14ac:dyDescent="0.25">
      <c r="A28" t="s">
        <v>18</v>
      </c>
      <c r="B28" s="3" t="s">
        <v>27</v>
      </c>
    </row>
    <row r="29" spans="1:11" x14ac:dyDescent="0.25">
      <c r="A29" t="s">
        <v>19</v>
      </c>
      <c r="B29" s="3">
        <v>1182246700</v>
      </c>
    </row>
    <row r="30" spans="1:11" x14ac:dyDescent="0.25">
      <c r="A30" t="s">
        <v>20</v>
      </c>
      <c r="B30" s="4" t="s">
        <v>28</v>
      </c>
    </row>
  </sheetData>
  <mergeCells count="3">
    <mergeCell ref="A1:K1"/>
    <mergeCell ref="A8:H8"/>
    <mergeCell ref="J8:K8"/>
  </mergeCells>
  <hyperlinks>
    <hyperlink ref="B30" r:id="rId1" xr:uid="{5B46A7CE-DF66-40AC-9906-9401FDA5109E}"/>
  </hyperlinks>
  <pageMargins left="0.75" right="0.75" top="1" bottom="1" header="0.5" footer="0.5"/>
  <pageSetup paperSize="9" scale="74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8555-DEFB-4F6F-8A3F-EE1FE1366F1E}">
  <sheetPr>
    <pageSetUpPr fitToPage="1"/>
  </sheetPr>
  <dimension ref="A1:L30"/>
  <sheetViews>
    <sheetView tabSelected="1" workbookViewId="0">
      <selection sqref="A1:K21"/>
    </sheetView>
  </sheetViews>
  <sheetFormatPr baseColWidth="10" defaultColWidth="9.140625" defaultRowHeight="15" x14ac:dyDescent="0.25"/>
  <cols>
    <col min="1" max="1" width="14.140625" customWidth="1"/>
    <col min="2" max="2" width="17.7109375" bestFit="1" customWidth="1"/>
    <col min="3" max="3" width="15" customWidth="1"/>
    <col min="4" max="4" width="19.5703125" bestFit="1" customWidth="1"/>
    <col min="5" max="5" width="18" customWidth="1"/>
    <col min="6" max="6" width="27.7109375" customWidth="1"/>
    <col min="7" max="7" width="14.42578125" customWidth="1"/>
    <col min="8" max="8" width="16.5703125" customWidth="1"/>
    <col min="9" max="9" width="2.42578125" customWidth="1"/>
    <col min="10" max="11" width="16" customWidth="1"/>
    <col min="12" max="12" width="12" customWidth="1"/>
  </cols>
  <sheetData>
    <row r="1" spans="1:12" ht="18.75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13"/>
    </row>
    <row r="3" spans="1:12" x14ac:dyDescent="0.25">
      <c r="A3" s="17" t="s">
        <v>1</v>
      </c>
      <c r="B3" s="16" t="s">
        <v>22</v>
      </c>
      <c r="D3" s="22" t="s">
        <v>2</v>
      </c>
      <c r="E3" s="14">
        <f ca="1">TODAY()</f>
        <v>46178</v>
      </c>
    </row>
    <row r="4" spans="1:12" x14ac:dyDescent="0.25">
      <c r="A4" s="18" t="s">
        <v>3</v>
      </c>
      <c r="B4" s="1" t="s">
        <v>25</v>
      </c>
      <c r="D4" s="19" t="s">
        <v>4</v>
      </c>
      <c r="E4" s="15" t="s">
        <v>68</v>
      </c>
    </row>
    <row r="5" spans="1:12" x14ac:dyDescent="0.25">
      <c r="A5" s="20" t="s">
        <v>5</v>
      </c>
      <c r="B5" s="1" t="s">
        <v>53</v>
      </c>
    </row>
    <row r="6" spans="1:12" x14ac:dyDescent="0.25">
      <c r="A6" s="20" t="s">
        <v>6</v>
      </c>
      <c r="B6" s="1" t="s">
        <v>41</v>
      </c>
    </row>
    <row r="7" spans="1:12" x14ac:dyDescent="0.25">
      <c r="A7" s="21"/>
    </row>
    <row r="8" spans="1:12" ht="21" x14ac:dyDescent="0.35">
      <c r="A8" s="24" t="s">
        <v>39</v>
      </c>
      <c r="B8" s="24"/>
      <c r="C8" s="24"/>
      <c r="D8" s="24"/>
      <c r="E8" s="24"/>
      <c r="F8" s="24"/>
      <c r="G8" s="24"/>
      <c r="H8" s="24"/>
      <c r="J8" s="24" t="s">
        <v>36</v>
      </c>
      <c r="K8" s="24"/>
    </row>
    <row r="9" spans="1:12" x14ac:dyDescent="0.25">
      <c r="A9" s="11" t="s">
        <v>7</v>
      </c>
      <c r="B9" s="11" t="s">
        <v>8</v>
      </c>
      <c r="C9" s="11" t="s">
        <v>9</v>
      </c>
      <c r="D9" s="11" t="s">
        <v>10</v>
      </c>
      <c r="E9" s="11" t="s">
        <v>11</v>
      </c>
      <c r="F9" s="11" t="s">
        <v>12</v>
      </c>
      <c r="G9" s="11" t="s">
        <v>13</v>
      </c>
      <c r="H9" s="11" t="s">
        <v>14</v>
      </c>
      <c r="I9" s="9"/>
      <c r="J9" s="11" t="s">
        <v>13</v>
      </c>
      <c r="K9" s="11" t="s">
        <v>35</v>
      </c>
    </row>
    <row r="10" spans="1:12" ht="30" x14ac:dyDescent="0.25">
      <c r="A10" s="5">
        <v>1</v>
      </c>
      <c r="B10" s="5" t="s">
        <v>30</v>
      </c>
      <c r="C10" s="5" t="s">
        <v>54</v>
      </c>
      <c r="D10" s="6">
        <v>46120</v>
      </c>
      <c r="E10" s="6">
        <v>46150</v>
      </c>
      <c r="F10" s="23" t="s">
        <v>57</v>
      </c>
      <c r="G10" s="7">
        <v>1148350</v>
      </c>
      <c r="H10" s="12">
        <f>G10</f>
        <v>1148350</v>
      </c>
      <c r="I10" s="10"/>
      <c r="J10" s="7">
        <v>1148350</v>
      </c>
      <c r="K10" s="6">
        <v>46140</v>
      </c>
    </row>
    <row r="11" spans="1:12" x14ac:dyDescent="0.25">
      <c r="A11" s="5">
        <v>2</v>
      </c>
      <c r="B11" s="5" t="s">
        <v>30</v>
      </c>
      <c r="C11" s="5" t="s">
        <v>55</v>
      </c>
      <c r="D11" s="6">
        <v>46120</v>
      </c>
      <c r="E11" s="6">
        <v>46150</v>
      </c>
      <c r="F11" s="5" t="s">
        <v>56</v>
      </c>
      <c r="G11" s="7">
        <v>6664000</v>
      </c>
      <c r="H11" s="12">
        <f>H10+G11</f>
        <v>7812350</v>
      </c>
      <c r="I11" s="10"/>
      <c r="J11" s="7">
        <v>6664000</v>
      </c>
      <c r="K11" s="6">
        <v>46168</v>
      </c>
    </row>
    <row r="12" spans="1:12" x14ac:dyDescent="0.25">
      <c r="A12" s="5">
        <v>3</v>
      </c>
      <c r="B12" s="5" t="s">
        <v>30</v>
      </c>
      <c r="C12" s="5" t="s">
        <v>58</v>
      </c>
      <c r="D12" s="6">
        <v>46120</v>
      </c>
      <c r="E12" s="6">
        <v>46150</v>
      </c>
      <c r="F12" s="5" t="s">
        <v>61</v>
      </c>
      <c r="G12" s="7">
        <v>3570000</v>
      </c>
      <c r="H12" s="12">
        <f t="shared" ref="H12:H14" si="0">H11+G12</f>
        <v>11382350</v>
      </c>
      <c r="I12" s="10"/>
      <c r="J12" s="7"/>
      <c r="K12" s="5"/>
    </row>
    <row r="13" spans="1:12" x14ac:dyDescent="0.25">
      <c r="A13" s="5">
        <v>4</v>
      </c>
      <c r="B13" s="5" t="s">
        <v>30</v>
      </c>
      <c r="C13" s="5" t="s">
        <v>59</v>
      </c>
      <c r="D13" s="6">
        <v>46133</v>
      </c>
      <c r="E13" s="6">
        <v>46163</v>
      </c>
      <c r="F13" s="5" t="s">
        <v>62</v>
      </c>
      <c r="G13" s="7">
        <v>8092000</v>
      </c>
      <c r="H13" s="12">
        <f t="shared" si="0"/>
        <v>19474350</v>
      </c>
      <c r="I13" s="10"/>
      <c r="J13" s="7"/>
      <c r="K13" s="5"/>
    </row>
    <row r="14" spans="1:12" x14ac:dyDescent="0.25">
      <c r="A14" s="5">
        <v>5</v>
      </c>
      <c r="B14" s="5" t="s">
        <v>30</v>
      </c>
      <c r="C14" s="5" t="s">
        <v>60</v>
      </c>
      <c r="D14" s="6">
        <v>46133</v>
      </c>
      <c r="E14" s="6">
        <v>46163</v>
      </c>
      <c r="F14" s="5" t="s">
        <v>62</v>
      </c>
      <c r="G14" s="7">
        <v>11364500</v>
      </c>
      <c r="H14" s="12">
        <f t="shared" si="0"/>
        <v>30838850</v>
      </c>
      <c r="I14" s="10"/>
      <c r="J14" s="7"/>
      <c r="K14" s="5"/>
    </row>
    <row r="15" spans="1:12" x14ac:dyDescent="0.25">
      <c r="A15" s="5"/>
      <c r="B15" s="5"/>
      <c r="C15" s="5"/>
      <c r="D15" s="5"/>
      <c r="E15" s="5"/>
      <c r="F15" s="5"/>
      <c r="G15" s="7"/>
      <c r="H15" s="5"/>
      <c r="I15" s="10"/>
      <c r="J15" s="7"/>
      <c r="K15" s="5"/>
    </row>
    <row r="16" spans="1:12" x14ac:dyDescent="0.25">
      <c r="A16" s="5"/>
      <c r="B16" s="5"/>
      <c r="C16" s="5"/>
      <c r="D16" s="5"/>
      <c r="E16" s="5"/>
      <c r="F16" s="5"/>
      <c r="G16" s="7"/>
      <c r="H16" s="5"/>
      <c r="I16" s="10"/>
      <c r="J16" s="7"/>
      <c r="K16" s="5"/>
    </row>
    <row r="17" spans="1:11" x14ac:dyDescent="0.25">
      <c r="A17" s="5"/>
      <c r="B17" s="5"/>
      <c r="C17" s="5"/>
      <c r="D17" s="5"/>
      <c r="E17" s="5"/>
      <c r="F17" s="5"/>
      <c r="G17" s="7"/>
      <c r="H17" s="5"/>
      <c r="I17" s="10"/>
      <c r="J17" s="7"/>
      <c r="K17" s="5"/>
    </row>
    <row r="18" spans="1:11" x14ac:dyDescent="0.25">
      <c r="A18" s="5"/>
      <c r="B18" s="5"/>
      <c r="C18" s="5"/>
      <c r="D18" s="5"/>
      <c r="E18" s="5"/>
      <c r="F18" s="5"/>
      <c r="G18" s="7"/>
      <c r="H18" s="5"/>
      <c r="I18" s="10"/>
      <c r="J18" s="7"/>
      <c r="K18" s="5"/>
    </row>
    <row r="19" spans="1:11" x14ac:dyDescent="0.25">
      <c r="A19" s="5"/>
      <c r="B19" s="5"/>
      <c r="C19" s="5"/>
      <c r="D19" s="5"/>
      <c r="E19" s="5"/>
      <c r="F19" s="5"/>
      <c r="G19" s="7"/>
      <c r="H19" s="5"/>
      <c r="I19" s="10"/>
      <c r="J19" s="7"/>
      <c r="K19" s="5"/>
    </row>
    <row r="20" spans="1:11" x14ac:dyDescent="0.25">
      <c r="G20" s="8"/>
      <c r="H20" s="8"/>
      <c r="I20" s="8"/>
    </row>
    <row r="21" spans="1:11" x14ac:dyDescent="0.25">
      <c r="G21" s="8"/>
      <c r="H21" s="8"/>
      <c r="I21" s="8"/>
    </row>
    <row r="22" spans="1:11" x14ac:dyDescent="0.25">
      <c r="F22" t="s">
        <v>37</v>
      </c>
      <c r="G22" s="8">
        <f>SUM(G10:G19)</f>
        <v>30838850</v>
      </c>
      <c r="H22" s="8"/>
      <c r="I22" s="8"/>
    </row>
    <row r="23" spans="1:11" x14ac:dyDescent="0.25">
      <c r="F23" t="s">
        <v>38</v>
      </c>
      <c r="G23" s="8">
        <f>SUM(J10:J19)</f>
        <v>7812350</v>
      </c>
      <c r="H23" s="8"/>
      <c r="I23" s="8"/>
    </row>
    <row r="24" spans="1:11" x14ac:dyDescent="0.25">
      <c r="F24" t="s">
        <v>15</v>
      </c>
      <c r="G24" s="8">
        <f>G22-G23</f>
        <v>23026500</v>
      </c>
      <c r="H24" s="8"/>
      <c r="I24" s="8"/>
    </row>
    <row r="25" spans="1:11" x14ac:dyDescent="0.25">
      <c r="G25" s="8"/>
      <c r="H25" s="8"/>
      <c r="I25" s="8"/>
    </row>
    <row r="26" spans="1:11" x14ac:dyDescent="0.25">
      <c r="A26" s="2" t="s">
        <v>16</v>
      </c>
    </row>
    <row r="27" spans="1:11" x14ac:dyDescent="0.25">
      <c r="A27" t="s">
        <v>17</v>
      </c>
      <c r="B27" s="3" t="s">
        <v>26</v>
      </c>
    </row>
    <row r="28" spans="1:11" x14ac:dyDescent="0.25">
      <c r="A28" t="s">
        <v>18</v>
      </c>
      <c r="B28" s="3" t="s">
        <v>27</v>
      </c>
    </row>
    <row r="29" spans="1:11" x14ac:dyDescent="0.25">
      <c r="A29" t="s">
        <v>19</v>
      </c>
      <c r="B29" s="3">
        <v>1182246700</v>
      </c>
    </row>
    <row r="30" spans="1:11" x14ac:dyDescent="0.25">
      <c r="A30" t="s">
        <v>20</v>
      </c>
      <c r="B30" s="4" t="s">
        <v>28</v>
      </c>
    </row>
  </sheetData>
  <mergeCells count="3">
    <mergeCell ref="A1:K1"/>
    <mergeCell ref="A8:H8"/>
    <mergeCell ref="J8:K8"/>
  </mergeCells>
  <hyperlinks>
    <hyperlink ref="B30" r:id="rId1" xr:uid="{B6CBBEED-D39A-4DF0-B4FD-6E22D679A92D}"/>
  </hyperlinks>
  <pageMargins left="0.75" right="0.75" top="1" bottom="1" header="0.5" footer="0.5"/>
  <pageSetup paperSize="9" scale="73" fitToHeight="0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518B3-FF3A-4860-9966-E2FC97BCF55E}">
  <sheetPr>
    <pageSetUpPr fitToPage="1"/>
  </sheetPr>
  <dimension ref="A1:L30"/>
  <sheetViews>
    <sheetView workbookViewId="0">
      <selection activeCell="A5" sqref="A5:B6"/>
    </sheetView>
  </sheetViews>
  <sheetFormatPr baseColWidth="10" defaultColWidth="9.140625" defaultRowHeight="15" x14ac:dyDescent="0.25"/>
  <cols>
    <col min="1" max="1" width="14.140625" customWidth="1"/>
    <col min="2" max="2" width="17.7109375" bestFit="1" customWidth="1"/>
    <col min="3" max="3" width="15" customWidth="1"/>
    <col min="4" max="4" width="19.5703125" bestFit="1" customWidth="1"/>
    <col min="5" max="5" width="18" customWidth="1"/>
    <col min="6" max="6" width="27.7109375" customWidth="1"/>
    <col min="7" max="7" width="14.42578125" customWidth="1"/>
    <col min="8" max="8" width="16.5703125" customWidth="1"/>
    <col min="9" max="9" width="2.42578125" customWidth="1"/>
    <col min="10" max="11" width="16" hidden="1" customWidth="1"/>
    <col min="12" max="12" width="12" customWidth="1"/>
  </cols>
  <sheetData>
    <row r="1" spans="1:12" ht="18.75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13"/>
    </row>
    <row r="3" spans="1:12" x14ac:dyDescent="0.25">
      <c r="A3" s="17" t="s">
        <v>1</v>
      </c>
      <c r="B3" s="16" t="s">
        <v>22</v>
      </c>
      <c r="D3" s="22" t="s">
        <v>2</v>
      </c>
      <c r="E3" s="14">
        <f ca="1">TODAY()</f>
        <v>46178</v>
      </c>
    </row>
    <row r="4" spans="1:12" x14ac:dyDescent="0.25">
      <c r="A4" s="18" t="s">
        <v>3</v>
      </c>
      <c r="B4" s="1" t="s">
        <v>25</v>
      </c>
      <c r="D4" s="19" t="s">
        <v>4</v>
      </c>
      <c r="E4" s="15" t="s">
        <v>69</v>
      </c>
    </row>
    <row r="5" spans="1:12" x14ac:dyDescent="0.25">
      <c r="A5" s="20" t="s">
        <v>5</v>
      </c>
      <c r="B5" s="1" t="s">
        <v>66</v>
      </c>
    </row>
    <row r="6" spans="1:12" x14ac:dyDescent="0.25">
      <c r="A6" s="20" t="s">
        <v>6</v>
      </c>
      <c r="B6" s="1" t="s">
        <v>67</v>
      </c>
    </row>
    <row r="7" spans="1:12" x14ac:dyDescent="0.25">
      <c r="A7" s="21"/>
    </row>
    <row r="8" spans="1:12" ht="21" x14ac:dyDescent="0.35">
      <c r="A8" s="24" t="s">
        <v>39</v>
      </c>
      <c r="B8" s="24"/>
      <c r="C8" s="24"/>
      <c r="D8" s="24"/>
      <c r="E8" s="24"/>
      <c r="F8" s="24"/>
      <c r="G8" s="24"/>
      <c r="H8" s="24"/>
      <c r="J8" s="24" t="s">
        <v>36</v>
      </c>
      <c r="K8" s="24"/>
    </row>
    <row r="9" spans="1:12" x14ac:dyDescent="0.25">
      <c r="A9" s="11" t="s">
        <v>7</v>
      </c>
      <c r="B9" s="11" t="s">
        <v>8</v>
      </c>
      <c r="C9" s="11" t="s">
        <v>9</v>
      </c>
      <c r="D9" s="11" t="s">
        <v>10</v>
      </c>
      <c r="E9" s="11" t="s">
        <v>11</v>
      </c>
      <c r="F9" s="11" t="s">
        <v>12</v>
      </c>
      <c r="G9" s="11" t="s">
        <v>13</v>
      </c>
      <c r="H9" s="11" t="s">
        <v>14</v>
      </c>
      <c r="I9" s="9"/>
      <c r="J9" s="11" t="s">
        <v>13</v>
      </c>
      <c r="K9" s="11" t="s">
        <v>35</v>
      </c>
    </row>
    <row r="10" spans="1:12" x14ac:dyDescent="0.25">
      <c r="A10" s="5">
        <v>1</v>
      </c>
      <c r="B10" s="5" t="s">
        <v>70</v>
      </c>
      <c r="C10" s="5">
        <v>2054</v>
      </c>
      <c r="D10" s="6">
        <v>46168</v>
      </c>
      <c r="E10" s="6">
        <v>46168</v>
      </c>
      <c r="F10" s="23" t="s">
        <v>71</v>
      </c>
      <c r="G10" s="7">
        <v>226100</v>
      </c>
      <c r="H10" s="12">
        <f>G10</f>
        <v>226100</v>
      </c>
      <c r="I10" s="10"/>
      <c r="J10" s="7"/>
      <c r="K10" s="6"/>
    </row>
    <row r="11" spans="1:12" x14ac:dyDescent="0.25">
      <c r="A11" s="5">
        <v>2</v>
      </c>
      <c r="B11" s="5" t="s">
        <v>70</v>
      </c>
      <c r="C11" s="5">
        <v>2073</v>
      </c>
      <c r="D11" s="6">
        <v>46169</v>
      </c>
      <c r="E11" s="6">
        <v>46169</v>
      </c>
      <c r="F11" s="5" t="s">
        <v>72</v>
      </c>
      <c r="G11" s="7">
        <v>1864730</v>
      </c>
      <c r="H11" s="12">
        <f>H10+G11</f>
        <v>2090830</v>
      </c>
      <c r="I11" s="10"/>
      <c r="J11" s="7"/>
      <c r="K11" s="6"/>
    </row>
    <row r="12" spans="1:12" x14ac:dyDescent="0.25">
      <c r="A12" s="5">
        <v>3</v>
      </c>
      <c r="B12" s="5" t="s">
        <v>73</v>
      </c>
      <c r="C12" s="5" t="s">
        <v>74</v>
      </c>
      <c r="D12" s="6">
        <v>46057</v>
      </c>
      <c r="E12" s="6" t="s">
        <v>75</v>
      </c>
      <c r="F12" s="5" t="s">
        <v>76</v>
      </c>
      <c r="G12" s="7">
        <v>178500</v>
      </c>
      <c r="H12" s="12">
        <f t="shared" ref="H12:H14" si="0">H11+G12</f>
        <v>2269330</v>
      </c>
      <c r="I12" s="10"/>
      <c r="J12" s="7"/>
      <c r="K12" s="5"/>
    </row>
    <row r="13" spans="1:12" x14ac:dyDescent="0.25">
      <c r="A13" s="5"/>
      <c r="B13" s="5"/>
      <c r="C13" s="5"/>
      <c r="D13" s="6"/>
      <c r="E13" s="6"/>
      <c r="F13" s="5"/>
      <c r="G13" s="7"/>
      <c r="H13" s="12">
        <f t="shared" si="0"/>
        <v>2269330</v>
      </c>
      <c r="I13" s="10"/>
      <c r="J13" s="7"/>
      <c r="K13" s="5"/>
    </row>
    <row r="14" spans="1:12" x14ac:dyDescent="0.25">
      <c r="A14" s="5"/>
      <c r="B14" s="5"/>
      <c r="C14" s="5"/>
      <c r="D14" s="6"/>
      <c r="E14" s="6"/>
      <c r="F14" s="5"/>
      <c r="G14" s="7"/>
      <c r="H14" s="12">
        <f t="shared" si="0"/>
        <v>2269330</v>
      </c>
      <c r="I14" s="10"/>
      <c r="J14" s="7"/>
      <c r="K14" s="5"/>
    </row>
    <row r="15" spans="1:12" x14ac:dyDescent="0.25">
      <c r="A15" s="5"/>
      <c r="B15" s="5"/>
      <c r="C15" s="5"/>
      <c r="D15" s="5"/>
      <c r="E15" s="5"/>
      <c r="F15" s="5"/>
      <c r="G15" s="7"/>
      <c r="H15" s="5"/>
      <c r="I15" s="10"/>
      <c r="J15" s="7"/>
      <c r="K15" s="5"/>
    </row>
    <row r="16" spans="1:12" x14ac:dyDescent="0.25">
      <c r="A16" s="5"/>
      <c r="B16" s="5"/>
      <c r="C16" s="5"/>
      <c r="D16" s="5"/>
      <c r="E16" s="5"/>
      <c r="F16" s="5"/>
      <c r="G16" s="7"/>
      <c r="H16" s="5"/>
      <c r="I16" s="10"/>
      <c r="J16" s="7"/>
      <c r="K16" s="5"/>
    </row>
    <row r="17" spans="1:11" x14ac:dyDescent="0.25">
      <c r="A17" s="5"/>
      <c r="B17" s="5"/>
      <c r="C17" s="5"/>
      <c r="D17" s="5"/>
      <c r="E17" s="5"/>
      <c r="F17" s="5"/>
      <c r="G17" s="7"/>
      <c r="H17" s="5"/>
      <c r="I17" s="10"/>
      <c r="J17" s="7"/>
      <c r="K17" s="5"/>
    </row>
    <row r="18" spans="1:11" x14ac:dyDescent="0.25">
      <c r="A18" s="5"/>
      <c r="B18" s="5"/>
      <c r="C18" s="5"/>
      <c r="D18" s="5"/>
      <c r="E18" s="5"/>
      <c r="F18" s="5"/>
      <c r="G18" s="7"/>
      <c r="H18" s="5"/>
      <c r="I18" s="10"/>
      <c r="J18" s="7"/>
      <c r="K18" s="5"/>
    </row>
    <row r="19" spans="1:11" x14ac:dyDescent="0.25">
      <c r="A19" s="5"/>
      <c r="B19" s="5"/>
      <c r="C19" s="5"/>
      <c r="D19" s="5"/>
      <c r="E19" s="5"/>
      <c r="F19" s="5"/>
      <c r="G19" s="7"/>
      <c r="H19" s="5"/>
      <c r="I19" s="10"/>
      <c r="J19" s="7"/>
      <c r="K19" s="5"/>
    </row>
    <row r="20" spans="1:11" x14ac:dyDescent="0.25">
      <c r="G20" s="8"/>
      <c r="H20" s="8"/>
      <c r="I20" s="8"/>
    </row>
    <row r="21" spans="1:11" x14ac:dyDescent="0.25">
      <c r="G21" s="8"/>
      <c r="H21" s="8"/>
      <c r="I21" s="8"/>
    </row>
    <row r="22" spans="1:11" x14ac:dyDescent="0.25">
      <c r="F22" t="s">
        <v>37</v>
      </c>
      <c r="G22" s="8">
        <f>SUM(G10:G19)</f>
        <v>2269330</v>
      </c>
      <c r="H22" s="8"/>
      <c r="I22" s="8"/>
    </row>
    <row r="23" spans="1:11" x14ac:dyDescent="0.25">
      <c r="F23" t="s">
        <v>38</v>
      </c>
      <c r="G23" s="8">
        <f>SUM(J10:J19)</f>
        <v>0</v>
      </c>
      <c r="H23" s="8"/>
      <c r="I23" s="8"/>
    </row>
    <row r="24" spans="1:11" x14ac:dyDescent="0.25">
      <c r="F24" t="s">
        <v>15</v>
      </c>
      <c r="G24" s="8">
        <f>G22-G23</f>
        <v>2269330</v>
      </c>
      <c r="H24" s="8"/>
      <c r="I24" s="8"/>
    </row>
    <row r="25" spans="1:11" x14ac:dyDescent="0.25">
      <c r="G25" s="8"/>
      <c r="H25" s="8"/>
      <c r="I25" s="8"/>
    </row>
    <row r="26" spans="1:11" x14ac:dyDescent="0.25">
      <c r="A26" s="2" t="s">
        <v>16</v>
      </c>
    </row>
    <row r="27" spans="1:11" x14ac:dyDescent="0.25">
      <c r="A27" t="s">
        <v>17</v>
      </c>
      <c r="B27" s="3" t="s">
        <v>26</v>
      </c>
    </row>
    <row r="28" spans="1:11" x14ac:dyDescent="0.25">
      <c r="A28" t="s">
        <v>18</v>
      </c>
      <c r="B28" s="3" t="s">
        <v>27</v>
      </c>
    </row>
    <row r="29" spans="1:11" x14ac:dyDescent="0.25">
      <c r="A29" t="s">
        <v>19</v>
      </c>
      <c r="B29" s="3">
        <v>1182246700</v>
      </c>
    </row>
    <row r="30" spans="1:11" x14ac:dyDescent="0.25">
      <c r="A30" t="s">
        <v>20</v>
      </c>
      <c r="B30" s="4" t="s">
        <v>28</v>
      </c>
    </row>
  </sheetData>
  <mergeCells count="3">
    <mergeCell ref="A1:K1"/>
    <mergeCell ref="A8:H8"/>
    <mergeCell ref="J8:K8"/>
  </mergeCells>
  <hyperlinks>
    <hyperlink ref="B30" r:id="rId1" xr:uid="{32F60451-4C39-4D91-8AC5-D1048B22EB11}"/>
  </hyperlinks>
  <pageMargins left="0.75" right="0.75" top="1" bottom="1" header="0.5" footer="0.5"/>
  <pageSetup paperSize="9" scale="8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EDP CLAVE 100</vt:lpstr>
      <vt:lpstr>EDP ETYCA</vt:lpstr>
      <vt:lpstr>EDP TILSECO</vt:lpstr>
      <vt:lpstr>EDP PATAGONIA</vt:lpstr>
      <vt:lpstr>EDP ZACH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SOSA</cp:lastModifiedBy>
  <cp:lastPrinted>2026-06-01T14:43:14Z</cp:lastPrinted>
  <dcterms:created xsi:type="dcterms:W3CDTF">2026-04-28T16:23:25Z</dcterms:created>
  <dcterms:modified xsi:type="dcterms:W3CDTF">2026-06-05T20:09:26Z</dcterms:modified>
</cp:coreProperties>
</file>