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OTIZACIONES\"/>
    </mc:Choice>
  </mc:AlternateContent>
  <xr:revisionPtr revIDLastSave="0" documentId="13_ncr:1_{73559CB2-60A3-4E3D-A49D-B0E8C20005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tización" sheetId="1" r:id="rId1"/>
    <sheet name="Hoja3" sheetId="4" r:id="rId2"/>
  </sheets>
  <externalReferences>
    <externalReference r:id="rId3"/>
  </externalReferences>
  <definedNames>
    <definedName name="_xlnm._FilterDatabase" localSheetId="1" hidden="1">Hoja3!$C$5:$D$396</definedName>
    <definedName name="_xlnm.Print_Area" localSheetId="0">Cotización!$B$2:$E$48</definedName>
    <definedName name="CIQWBGuid" hidden="1">"2cd8126d-26c3-430c-b7fa-a069e3a1fc62"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Type">'[1]Maintenance Work Order'!#REF!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5" i="1" l="1"/>
  <c r="C8" i="1" l="1"/>
  <c r="E9" i="1" l="1"/>
  <c r="E27" i="1"/>
  <c r="E28" i="1"/>
  <c r="E29" i="1"/>
  <c r="E30" i="1"/>
  <c r="E31" i="1"/>
  <c r="E32" i="1"/>
  <c r="E33" i="1"/>
  <c r="E34" i="1"/>
  <c r="E35" i="1"/>
  <c r="E36" i="1"/>
  <c r="E37" i="1"/>
  <c r="E38" i="1"/>
  <c r="E14" i="1"/>
  <c r="E16" i="1"/>
  <c r="E17" i="1"/>
  <c r="E18" i="1"/>
  <c r="E19" i="1"/>
  <c r="E20" i="1"/>
  <c r="E21" i="1"/>
  <c r="E22" i="1"/>
  <c r="E23" i="1"/>
  <c r="E24" i="1"/>
  <c r="E25" i="1"/>
  <c r="E26" i="1"/>
  <c r="E39" i="1"/>
  <c r="E40" i="1"/>
  <c r="E41" i="1"/>
  <c r="E42" i="1" l="1"/>
  <c r="E43" i="1" s="1"/>
  <c r="E44" i="1" l="1"/>
</calcChain>
</file>

<file path=xl/sharedStrings.xml><?xml version="1.0" encoding="utf-8"?>
<sst xmlns="http://schemas.openxmlformats.org/spreadsheetml/2006/main" count="829" uniqueCount="795">
  <si>
    <t>Descripción</t>
  </si>
  <si>
    <t>Subtotal</t>
  </si>
  <si>
    <t>Total</t>
  </si>
  <si>
    <t>TOTAL</t>
  </si>
  <si>
    <t>IVA</t>
  </si>
  <si>
    <t>COTIZACIÓN</t>
  </si>
  <si>
    <t>Teléfono:</t>
  </si>
  <si>
    <t>Precio</t>
  </si>
  <si>
    <t>Descripción del proyecto:</t>
  </si>
  <si>
    <t>Empresa:</t>
  </si>
  <si>
    <t>RUT:</t>
  </si>
  <si>
    <t>CNT</t>
  </si>
  <si>
    <t>EDWIN HOLVOET Y COMPANIA LIMITADA</t>
  </si>
  <si>
    <t>RUT</t>
  </si>
  <si>
    <t xml:space="preserve">BASE DE DATOS </t>
  </si>
  <si>
    <t>CLIENTE</t>
  </si>
  <si>
    <t>WILSON ELEODORO MERINO ROJAS</t>
  </si>
  <si>
    <t>LORENA CARMEN OTAROLA SOTO</t>
  </si>
  <si>
    <t>FERNANDO ESTEBAN DIAZ SANQUINETTI</t>
  </si>
  <si>
    <t>KAUFMANN SA VEHICULOS MOTORIZADOS</t>
  </si>
  <si>
    <t>AUTOMOTRIZ NICOLAS LTDA.</t>
  </si>
  <si>
    <t>JOYERIA Y RELOJERIA KARIME DAU SPA</t>
  </si>
  <si>
    <t>SERVICIOS INDUSTRIALES WARNER SPA</t>
  </si>
  <si>
    <t>SERVICIOS INTEGRALES LA RIVERA SPA</t>
  </si>
  <si>
    <t>LC GROUP INTERNATIONAL SPA</t>
  </si>
  <si>
    <t>AILUV SPA</t>
  </si>
  <si>
    <t>CROSAN SPA</t>
  </si>
  <si>
    <t>PALMON SPA</t>
  </si>
  <si>
    <t>INGENIERIA Y SERVICIOS TERRACOP SPA</t>
  </si>
  <si>
    <t>TRANSPORTE DOBLE C SPA</t>
  </si>
  <si>
    <t>CONSTRUCTORA ROJAS Y FIERRO FERSMETAL LIMITADA</t>
  </si>
  <si>
    <t>SERVICIOS DE INGENIERIA Y MAESTRANZA SPA</t>
  </si>
  <si>
    <t>SKC RED SPA</t>
  </si>
  <si>
    <t>ANGEL CUSTODIO CONCHA SANCHEZ</t>
  </si>
  <si>
    <t>PATAGONIA SERVICIOS SPA</t>
  </si>
  <si>
    <t>RESITER SERVICIOS GENERALES SPA</t>
  </si>
  <si>
    <t>MOINCO INGENIERIA SPA</t>
  </si>
  <si>
    <t>CORREDORAS DE PROPIEDADES P  F SPA</t>
  </si>
  <si>
    <t>ANDINOR SPA</t>
  </si>
  <si>
    <t>PAVIMENTOS CHILENOS LIMITADA</t>
  </si>
  <si>
    <t>SODIMAC S.A.</t>
  </si>
  <si>
    <t>AUCAN LOGISTIC SPA</t>
  </si>
  <si>
    <t>MINERA NITTETSU CHILE LTDA</t>
  </si>
  <si>
    <t>JACINTO PRUDENCIO QUISPE GERONIMO</t>
  </si>
  <si>
    <t>ERNESTO OMAR MOLINA MOLINA</t>
  </si>
  <si>
    <t>ZACH PROYECTOS SA</t>
  </si>
  <si>
    <t>DWORK SPA</t>
  </si>
  <si>
    <t>CENTRO DE MANTENIMIENTO AUTOMOTRIZ Y MAQUINARIA SPA</t>
  </si>
  <si>
    <t>INGENIERIA Y PROYECTOS ELECTRICOS LIMITADA</t>
  </si>
  <si>
    <t>SEMINET SPA</t>
  </si>
  <si>
    <t>MULTISERVICIOS SANABRIA SPA</t>
  </si>
  <si>
    <t>SOLEDAD DE LOS ANGELES LEIVA UGARTE  TRASLADO Y TRANSPORTES  E.I.R.L.</t>
  </si>
  <si>
    <t>CECILIA MARCELA MATULIC CARMONA</t>
  </si>
  <si>
    <t>CONSTRUCTORA CARLOS ALBERTO ANDRES ALBISTUR REYES E.I.R.L.</t>
  </si>
  <si>
    <t>SERVICIOS,TRANSPORTE Y ARRIENDO DE MAQUINARIAS LIMITADA</t>
  </si>
  <si>
    <t>SA INVERSIONES SPA</t>
  </si>
  <si>
    <t>INGENIERIA C Y G LIMITADA</t>
  </si>
  <si>
    <t>COMERCIAL SERPAN SPA</t>
  </si>
  <si>
    <t>CAROLINA ANDREA BARRERA QUINELEN</t>
  </si>
  <si>
    <t>IMPORTADORA Y COMERCIAL JOMIAL LIMITADA</t>
  </si>
  <si>
    <t>AMAZONAS SPA</t>
  </si>
  <si>
    <t>SERVICIOS DE INGENIERIA MIRAITEK TI SPA</t>
  </si>
  <si>
    <t>GRAN CASINO DE COPIAPO S.A.</t>
  </si>
  <si>
    <t>SOCIEDAD COMERCIAL MASKOLANDIA Y COMPAÑIA LIMITADA</t>
  </si>
  <si>
    <t>TRANSPORTE Y SERVICIO ALEXIS ALEJANDRO SARRIA ALDEA EMPRESA INDIVIDUAL</t>
  </si>
  <si>
    <t>ON STREET S.A.</t>
  </si>
  <si>
    <t>SOCIEDAD DE SERVICIOS FUNERARIOS S.A.</t>
  </si>
  <si>
    <t>SERVICIOS INDS JOSE SANTOS OSSA MANICKE EIRL</t>
  </si>
  <si>
    <t>ESPACIO LUAN SPA</t>
  </si>
  <si>
    <t>SERVICIOS INFORMATICOS APROSYSTEMS SPA</t>
  </si>
  <si>
    <t>MENA E HIJOS SPA</t>
  </si>
  <si>
    <t>COMERCIALIZADORA Y SERVICIOS VILNA GALIANO E.I.R.L.</t>
  </si>
  <si>
    <t>INGENIERIA PD GROUP LIMITADA</t>
  </si>
  <si>
    <t>MICROTEC SPA</t>
  </si>
  <si>
    <t>KUPFER HERMANOS SA</t>
  </si>
  <si>
    <t>ELECTRICIDAD CRISTIAN ANDRÉS CASTRO VILLANUEVA EMPRESA INDIVIDUAL</t>
  </si>
  <si>
    <t>PARQUES HERNAN JOHNSON LTDA</t>
  </si>
  <si>
    <t>CONSTRUCCIÓN, SERVICIOS INTEGRALES, INGENIERÍA Y CONSULTORIA OPPORTUNITY</t>
  </si>
  <si>
    <t>FOUCHER Y NOGUEIRA LIMITADA</t>
  </si>
  <si>
    <t>SOC INMOBILIARIA DE INVERSIONES DEL REY LIMITADA</t>
  </si>
  <si>
    <t>COMERCIAL PRODECO LIMITADA</t>
  </si>
  <si>
    <t>AGRICOLA MILLAHUE LTDA</t>
  </si>
  <si>
    <t>AT-RENTAL SPA</t>
  </si>
  <si>
    <t>SEGURIDAD PRIVADA CENTURIONS LIMITADA</t>
  </si>
  <si>
    <t>SERVICIOS DE INGENIERIA ELECTRICA LIMITADA</t>
  </si>
  <si>
    <t>JSTEC SPA</t>
  </si>
  <si>
    <t>ALGORITMOS Y MEDICIONES AMBIENTALES SPA</t>
  </si>
  <si>
    <t>INTRAMIN SPA</t>
  </si>
  <si>
    <t>ENORCHILE S.A.</t>
  </si>
  <si>
    <t>CENTRO DE RECICLAJE DEL NORTE LIMITADA</t>
  </si>
  <si>
    <t>SOCIEDAD COMERCIAL HERMANOS GODOY  ARAYA  SPA</t>
  </si>
  <si>
    <t>RAMON ANGEL RIQUELME OLIVARES</t>
  </si>
  <si>
    <t>JP ELECTRONIC SOCIEDAD ANONIMA</t>
  </si>
  <si>
    <t>COMERCIAL ATACAMA TRUCKS PARTS LIMITADA</t>
  </si>
  <si>
    <t>VIDRIERIA Y TRANSPORTES ROX SPA</t>
  </si>
  <si>
    <t>SUDAMERICANA DE GESTION EMPRESARIAL LIMITADA</t>
  </si>
  <si>
    <t>SERVICIOS ARDIRAB SPA</t>
  </si>
  <si>
    <t>SERVICIOS INDUSTRIALES ROBERTO FERNANDEZ SPA</t>
  </si>
  <si>
    <t>FRUTICOLA Y EXPORTADORA ATACAMA LTDA</t>
  </si>
  <si>
    <t>SOCIEDAD DE INVERSIONES E INMOBILIARIA ASEGEN PROPIEDADES LIMITADA</t>
  </si>
  <si>
    <t>QUANTOS LA SPA</t>
  </si>
  <si>
    <t>ATACAMA SERVICIOS LIMITADA</t>
  </si>
  <si>
    <t>SERCOING LTDA</t>
  </si>
  <si>
    <t>CABALLERO RALLYSERVICE SPA</t>
  </si>
  <si>
    <t>MCV SERVICIOS GENERALES SPA</t>
  </si>
  <si>
    <t>PRESTACION DE SERVICIOS MEDICOS JOSE LUIS GUERRA DIAZ E.I.R.L.</t>
  </si>
  <si>
    <t>CONSTRUCTORA DE PAVIMENTOS ASFALTICOS BITUMIX S.A</t>
  </si>
  <si>
    <t>AMFFAL SPA</t>
  </si>
  <si>
    <t>TRANSNORTE SPA</t>
  </si>
  <si>
    <t>JUAN ALONSO SILVA ARMIJO</t>
  </si>
  <si>
    <t>LUIS OSVALDO CASTRO ARRIAGADA</t>
  </si>
  <si>
    <t>SOCIEDAD COMERCIAL E INDUSTRIAL HYDRO CLEANING VAPOR LIMITADA</t>
  </si>
  <si>
    <t>CASTHER SPA.</t>
  </si>
  <si>
    <t>CONSTRUCTORA, REPARACIONES, APLICACIONES E INSTALACIONES GRUPO ATADURA</t>
  </si>
  <si>
    <t>SOCIEDAD INGENIERIA Y SERVICIOS AF LIMITADA</t>
  </si>
  <si>
    <t>COAX SPA</t>
  </si>
  <si>
    <t>NORTENERGY SOCIEDAD POR ACCIONES SPA</t>
  </si>
  <si>
    <t>OSSAVAL SPA</t>
  </si>
  <si>
    <t>LEYARZ SPA</t>
  </si>
  <si>
    <t>LUIS MANUEL CONTRERAS YANEZ</t>
  </si>
  <si>
    <t>KRADE SPA</t>
  </si>
  <si>
    <t>SOC COMERCIAL TRANSPORTES TAPE LTDA</t>
  </si>
  <si>
    <t>GRAU Y COMPANIA LIMITADA</t>
  </si>
  <si>
    <t>CONSTRUCTORA GARY LIMITADA</t>
  </si>
  <si>
    <t>MARIELA ELIZABETH ALVAREZ MORENO</t>
  </si>
  <si>
    <t>TRIBU DEL DESIERTO SPA</t>
  </si>
  <si>
    <t>TRANSPORTES GALLARDO LIMITADA</t>
  </si>
  <si>
    <t>TRANSPORTE MARCIA YORDANA CARVAJAL TAPIA E.I.R.L.</t>
  </si>
  <si>
    <t>GLOBAL PRO GROUP SPA</t>
  </si>
  <si>
    <t>JENNIFER ANDREA HEREDIA PEREZ</t>
  </si>
  <si>
    <t>SERVICIO DE AMBULANCIAS Y TRASLADO DE ENFERMOS SPA</t>
  </si>
  <si>
    <t>SOCIEDAD RENT A CAR EMM LIMITADA</t>
  </si>
  <si>
    <t>TRANSPORTES VERASAY SPA</t>
  </si>
  <si>
    <t>ESTAFETA CARGO EXPRESS LIMITADA</t>
  </si>
  <si>
    <t>COMERCIALIZADORA FERCASTA SPA</t>
  </si>
  <si>
    <t>GALEB  GALEB EVENTOS LIMITADA</t>
  </si>
  <si>
    <t>SC CLEAN CAR SPA</t>
  </si>
  <si>
    <t>SOCIEDAD SB CARRASQUERO SPA</t>
  </si>
  <si>
    <t>SOCIEDAD DEMOLICIONES MARIO PORZIO S.A.</t>
  </si>
  <si>
    <t>INVERSIONES O4 SPA</t>
  </si>
  <si>
    <t>SOCIEDAD DE INVERSIONES SAN ALONSO SPA</t>
  </si>
  <si>
    <t>TRANSPORTES TOLECAR SPA</t>
  </si>
  <si>
    <t>TRANSPORTES C Y C LIMITADA</t>
  </si>
  <si>
    <t>INVERSIONES FPG SPA</t>
  </si>
  <si>
    <t>SERVICIOS MONTENEGRO SPA</t>
  </si>
  <si>
    <t>MADOM SERVICIO AUTOMOTRIZ SPA</t>
  </si>
  <si>
    <t>YACAR SPA</t>
  </si>
  <si>
    <t>ALTE INDUSTRIAL S.A.</t>
  </si>
  <si>
    <t>INMOBILIARIA E INVERSIONES QUILODRAN LIMITADA</t>
  </si>
  <si>
    <t>SERVICIO DE HOSPEDAJE, ALIMENTACIÓN Y OTROS SERVICIOS A LA MINERÍA LOS</t>
  </si>
  <si>
    <t>DIANA ELBECIA FREDES SAEZ SERVICIOS Y VENTAS E.I.R.L.</t>
  </si>
  <si>
    <t>SOCIEDAD DE SERVICIOS INVERSIONES Y COMERCIALIZADORA LEBAKSAF CHILE SP</t>
  </si>
  <si>
    <t>LA OLLA DE TAMY  SPA</t>
  </si>
  <si>
    <t>PATRICIO ORLANDO OSORIO RIVERA</t>
  </si>
  <si>
    <t>MARINA MARKET SPA</t>
  </si>
  <si>
    <t>SOCIEDAD COMERCIALIZADORA Y DISTRIBUIDORA TRES VALLES SPA</t>
  </si>
  <si>
    <t>I MUNICIPALIDAD DE COPIAPO</t>
  </si>
  <si>
    <t>MANUEL ANTONIO ROJAS ORDENES</t>
  </si>
  <si>
    <t>TEPSAC S.A.</t>
  </si>
  <si>
    <t>TECNOLOGIA DE MATERIALES CHILE SOCIEDAD ANONIMA</t>
  </si>
  <si>
    <t>SOC COMERCIAL Y AGRICOLA CARVAJAL Y SALINAS LIMITADA</t>
  </si>
  <si>
    <t>COMERCIAL NINA RODRÃGUEZ TOLEDO E.I.R.L.</t>
  </si>
  <si>
    <t>VALLES DEL NORTE S.A.</t>
  </si>
  <si>
    <t>COMERCIAL BOREAL SPA</t>
  </si>
  <si>
    <t>SOCIEDAD COMERCIAL RODRIGO URBANO SPA</t>
  </si>
  <si>
    <t>DISTRIBUIDORA Y COMERCIALIZADORA DE PRODUCTOS CONGELADOS VICTOR MANUEL</t>
  </si>
  <si>
    <t>PRO DRILLING S.A.</t>
  </si>
  <si>
    <t>TRANSPORTES Y ARRIENDOS VM LIMITADA</t>
  </si>
  <si>
    <t>AS PROTECCION SPA</t>
  </si>
  <si>
    <t>INVERSIONES VIALUM SPA</t>
  </si>
  <si>
    <t>ANA SOLEDAD ALFARO ALCOTA</t>
  </si>
  <si>
    <t>INVERSIONES CORTES BUSTOS LIMITADA</t>
  </si>
  <si>
    <t>MINERA SAN FIERRO CHILE LIMITADA</t>
  </si>
  <si>
    <t>TURBOMAQ SPA</t>
  </si>
  <si>
    <t>MAFA COMERCIAL SPA</t>
  </si>
  <si>
    <t>MAESTRANZA INDUSTRIAL MASIMAR  SPA</t>
  </si>
  <si>
    <t>J2 PUBLICIDAD SPA</t>
  </si>
  <si>
    <t>TRANSPORTES NORTE TRUCKS SPA</t>
  </si>
  <si>
    <t>MONTAJES LAM SPA</t>
  </si>
  <si>
    <t>SIDESA CHILE S.A.</t>
  </si>
  <si>
    <t>EL BAJON DE HOMERO SPA</t>
  </si>
  <si>
    <t>SOCIEDAD RODERIK AVILA Y COMPANIA LIMITADA</t>
  </si>
  <si>
    <t>TRANSPORTES Y GRUAS LEYTON SPA</t>
  </si>
  <si>
    <t>MAJOR DRILLING CHILE S A</t>
  </si>
  <si>
    <t>ALEJANDRO SALVADOR ALQUINTA ALARCON</t>
  </si>
  <si>
    <t>IMPORTADORA Y COMERCIALIZADORA CARLOS PIZARRO E.I.R.L.</t>
  </si>
  <si>
    <t>RBM FIRE PROTECTION SPA</t>
  </si>
  <si>
    <t>GRANDLEASING SPA</t>
  </si>
  <si>
    <t>JEAN MAURICIO OLIVARES TOLEDO</t>
  </si>
  <si>
    <t>NEWTRANS LOGISTICS CHILE SPA</t>
  </si>
  <si>
    <t>CLARA ELENA GONZALEZ OCAYO</t>
  </si>
  <si>
    <t>SOLUCIONES GLOBALES CARLOS HERBERTO MOSCOSO</t>
  </si>
  <si>
    <t>COMERCIAL TOTAL TRADER LIMITADA</t>
  </si>
  <si>
    <t>TRANSPORTE Y ARRIENDO MAQUINARIAS RAYKAR SPA</t>
  </si>
  <si>
    <t>INVERSIONES SANTA LUISA LIMITADA</t>
  </si>
  <si>
    <t>ROCPER INGENIERIA &amp; CONSTRUCCION SPA</t>
  </si>
  <si>
    <t>UNO DESARROLLOS CONSTRUCTIVOS SPA</t>
  </si>
  <si>
    <t>LUBRICENTRO  IRMA TRONCOSO PAREDES E.I.R.L.</t>
  </si>
  <si>
    <t>MAESTRANZA INDUSTRIAL FRITIS LIMITADA</t>
  </si>
  <si>
    <t>OBISPADO DE COPIAPO</t>
  </si>
  <si>
    <t>GYB SPA</t>
  </si>
  <si>
    <t>ELISA DENISE LEON GUERRERO</t>
  </si>
  <si>
    <t>INGENIERIA HIDRAULICA LIMITADA</t>
  </si>
  <si>
    <t>KARINA VALESKA CERDA ARAYA</t>
  </si>
  <si>
    <t>GUILLERMO EDUARDO PACHECO BOLADO</t>
  </si>
  <si>
    <t>DISTRIBUIDORA DE EXPLOSIVOS Y ACCESORIOS S A</t>
  </si>
  <si>
    <t>EMPRESA DE TRANSPORTE DE PASAJEROS QUILICAL LIMITADA</t>
  </si>
  <si>
    <t>COMPAÑÍA EXPLOTADORA MINERA SAN ANDRES</t>
  </si>
  <si>
    <t>ALICE IMPORT EXPORT LIMITADA</t>
  </si>
  <si>
    <t>PROTAB SPA</t>
  </si>
  <si>
    <t>CONSTRUCTORA VGA SPA</t>
  </si>
  <si>
    <t>ETYCA PROFESIONALES CAPACITACION LIMITADA</t>
  </si>
  <si>
    <t>MENDOZA CAZ  SPA</t>
  </si>
  <si>
    <t>VALTECK CHILE SPA</t>
  </si>
  <si>
    <t>CLUB EDAD DE ORO DEL CONSULTORIO ARMANDO OSSA</t>
  </si>
  <si>
    <t>JONATHAN STEVEN ESCOBAR ZAPATA</t>
  </si>
  <si>
    <t>ZONA DE CARABINEROS ATACAMA</t>
  </si>
  <si>
    <t>VITAPRO LIMPIEZA SPA</t>
  </si>
  <si>
    <t>CARLOS EDUARDO MOYANO RODRIGUEZ</t>
  </si>
  <si>
    <t>INVERSIONES KUNZA SALUD SPA</t>
  </si>
  <si>
    <t>SOC DE ASMECO INGENIERIA LIMITADA</t>
  </si>
  <si>
    <t>SERVICIOS EDUCACIONALES BYENNÃˆT SPA</t>
  </si>
  <si>
    <t>VIDRIOS Y ALUMINIOS SERVAL SPA</t>
  </si>
  <si>
    <t>JAG SERVICIOS CHILE SPA</t>
  </si>
  <si>
    <t>INGENIERIA GACITUA SPA</t>
  </si>
  <si>
    <t>SOCIEDAD DE ALIMENTACION SUPO SPA</t>
  </si>
  <si>
    <t>DHARMA SPA</t>
  </si>
  <si>
    <t>ASESORIAS E INVERSIONES BETANIAÂ´S COMPANY SPA</t>
  </si>
  <si>
    <t>ELIAS RESK CONTRERAS TRANSPORTES Y SERVICIOS LIMITADA</t>
  </si>
  <si>
    <t>SERVICIOS GRAFICOS DESERT GRAPHICS LIMITADA</t>
  </si>
  <si>
    <t>INVERSIONES SAFUMAR LIMITADA</t>
  </si>
  <si>
    <t>MARIO HERNAN CASTILLO FUENTES</t>
  </si>
  <si>
    <t>UNIVERSIDAD DE ATACAMA</t>
  </si>
  <si>
    <t>MAQUINARIAS Y TRANSPORTES BULL SPA.</t>
  </si>
  <si>
    <t>PULLMAN CARGO S A</t>
  </si>
  <si>
    <t>SERVICIOS INTEGRALES GENERALES SPA</t>
  </si>
  <si>
    <t>TECNOLOGIA Y EQUIPOS METCAM SPA</t>
  </si>
  <si>
    <t>S.C.I. DIGNA SPA</t>
  </si>
  <si>
    <t>NAVARRO Y AVALOS SPA</t>
  </si>
  <si>
    <t>FREDY ELISEO ONATE REYES</t>
  </si>
  <si>
    <t>AGRUPACION CULTURAL SOCIAL QUINZEL</t>
  </si>
  <si>
    <t>MATILDE DEL CARMEN ZAMBRA LOPEZ</t>
  </si>
  <si>
    <t>RES ENERGY SERVICES SPA</t>
  </si>
  <si>
    <t>OXYTEK SPA</t>
  </si>
  <si>
    <t>TRANSMART SPA</t>
  </si>
  <si>
    <t>INTEGRAL SPA</t>
  </si>
  <si>
    <t>ANDES ANALYTICAL ASSAY SPA</t>
  </si>
  <si>
    <t>FARMATERRA SPA</t>
  </si>
  <si>
    <t>LIDERA AGENCIA DE MARKETING SPA</t>
  </si>
  <si>
    <t>RIVERA COMPANY SPA</t>
  </si>
  <si>
    <t>MER INFRAESTRUCTURA CHILE S.A.</t>
  </si>
  <si>
    <t>SOC NICOLAS GEYWITZ Y COMPANIA LIMITADA</t>
  </si>
  <si>
    <t>INSTITUTO INTEGRAL DE SALUD OCUPACIONAL SPA</t>
  </si>
  <si>
    <t>SERVICIOS SAN LUIS SPA</t>
  </si>
  <si>
    <t>INSTROTEC SERVICIOS  SPA</t>
  </si>
  <si>
    <t>PEDRO ALBERTO GALLO CEBALLOS TELECOMUNICACIONES E.I.R.L.</t>
  </si>
  <si>
    <t>TRANSPORTES ZULEMA MANCILLA CARDOZO E.I.R.L.</t>
  </si>
  <si>
    <t>CROSAN CAPACITACION SPA</t>
  </si>
  <si>
    <t>SERVICIOS INTEGRALES CACCIUTTOLO LIMITADA</t>
  </si>
  <si>
    <t>ALTOS GLACIARES SPA</t>
  </si>
  <si>
    <t>ATLAS COPCO CHILE SPA</t>
  </si>
  <si>
    <t>ATACAMA TECH SPA</t>
  </si>
  <si>
    <t>EDWIN HERMAN HOLVOET TAPIA</t>
  </si>
  <si>
    <t>SONDA S A</t>
  </si>
  <si>
    <t>DAVID VIEYRA FELDMAN</t>
  </si>
  <si>
    <t>MLV SPA</t>
  </si>
  <si>
    <t>MUNDO CORPORATIVO SPA</t>
  </si>
  <si>
    <t>COMERCIALIZADORA TEC RAPOL LIMITADA</t>
  </si>
  <si>
    <t>LABORATORIO CLINICO ATACAMA LIMITADA</t>
  </si>
  <si>
    <t>SOLYSERV SPA</t>
  </si>
  <si>
    <t>JUAN ALBERTO CALDERON GUTIERREZ TRANSPORTE</t>
  </si>
  <si>
    <t>TRANSPORTES DESERTIS SPA</t>
  </si>
  <si>
    <t>INGENIERIA Y SOLUCIONES ELECTRICAS INGINSEL LIMITADA</t>
  </si>
  <si>
    <t>TRANSPORTES Y LOGISTICA PAZ OCHOA SPA</t>
  </si>
  <si>
    <t>CITEXCO SPA</t>
  </si>
  <si>
    <t>EMPRESA MILLAN LIMITADA</t>
  </si>
  <si>
    <t>RAMOS SERVICES SPA</t>
  </si>
  <si>
    <t>MARTEX SPA</t>
  </si>
  <si>
    <t>ASOC DE BASQUETBOL DE COPIAPO</t>
  </si>
  <si>
    <t>EL SALADO SPA</t>
  </si>
  <si>
    <t>SERVICIO Y TRANSPORTE MERCATUR LIMITADA</t>
  </si>
  <si>
    <t>HIDRAULIC MOTOR SERVICES LTDA</t>
  </si>
  <si>
    <t>PIETRO GIULIANO DIAZ VITALI</t>
  </si>
  <si>
    <t>AGROLOAR SPA</t>
  </si>
  <si>
    <t>INGENIO SPA</t>
  </si>
  <si>
    <t>RESITER S.A.</t>
  </si>
  <si>
    <t>MARIA CRISTINA MOLINA CASTILLO</t>
  </si>
  <si>
    <t>MARIA ANGELICA FIGUEROA ARDILES</t>
  </si>
  <si>
    <t>GREEN PEST CONTROL SPA</t>
  </si>
  <si>
    <t>COMERCIALIZADORA Y DISTRIBUIDORA MEGA COSTO SPA</t>
  </si>
  <si>
    <t>AGRITRANS SERVICIOS SPA</t>
  </si>
  <si>
    <t>OPTICAS JOVAL SPA</t>
  </si>
  <si>
    <t>TRANSPORTES KIMSA, SERVICIOS DISTRIBUCION SPA</t>
  </si>
  <si>
    <t>ANAKENA GROUP SPA</t>
  </si>
  <si>
    <t>LATORRE INGENIERIA SPA</t>
  </si>
  <si>
    <t>TRANSPORTES GALLARDO SPA</t>
  </si>
  <si>
    <t>GEARMINDS SPA</t>
  </si>
  <si>
    <t>CLUB ATLETICO BATALLON DE ATACAMA</t>
  </si>
  <si>
    <t>LATINOS PAINT CARS SPA</t>
  </si>
  <si>
    <t>CONSTRUCTORA RIVERA CUBILLOS LIMITADA</t>
  </si>
  <si>
    <t>AL INGENIERIA Y SERVICIOS LIMITADA</t>
  </si>
  <si>
    <t>SERVICIOS INTEGRALES MAS GRAFIMANIA SPA</t>
  </si>
  <si>
    <t>CMBL SPA</t>
  </si>
  <si>
    <t>ARRIENDO DE MAQUINARIAS Y SERVICIOS SERMAK SPA</t>
  </si>
  <si>
    <t>LADISLAO LINCOYAN ELGUETA CASTRO</t>
  </si>
  <si>
    <t>BASSI E HIJOS SPA</t>
  </si>
  <si>
    <t>JUAN ALFREDO TRIGO DORADOR</t>
  </si>
  <si>
    <t>COMERCIAL OVIDIO LUIS RODRIGUEZ QUEVEDO MOVIMIENTO DE TIERRA SPA</t>
  </si>
  <si>
    <t>MAX SERVICE SEGURIDAD INDUSTRIAL SPA</t>
  </si>
  <si>
    <t>JUAN CARLOS CORDOVA AVILA</t>
  </si>
  <si>
    <t>INVERSIONES IBARRA HERMANAS SPA</t>
  </si>
  <si>
    <t>INGENIERIA, PROYECTOS Y MONTAJES PROPAMAT SPA</t>
  </si>
  <si>
    <t>IMPORTADORA NICOLAS LIMITADA</t>
  </si>
  <si>
    <t>JUNTA DE VIGILANCIA DEL RIO COPIAPO Y SUS AFLUENTES</t>
  </si>
  <si>
    <t>SERVICIOS INTEGRALES GALLARDO SPA</t>
  </si>
  <si>
    <t>SOCIEDAD COMERCIAL ROMSA SERVICIOS SPA</t>
  </si>
  <si>
    <t>COMPANIA DE SERVICIOS INDUSTRIALES LIMITADA</t>
  </si>
  <si>
    <t>SOCIEDAD COMERCIAL GALLEGUILLOS Y GALLEGUILLOS REPUESTOS LIMITADA</t>
  </si>
  <si>
    <t>BESALCO CONSTRUCCIONES S.A.</t>
  </si>
  <si>
    <t>TILSECO SERVICIOS ELECTRICOS CHILE SPA</t>
  </si>
  <si>
    <t>ARANDA PAREDES E HIJOS LIMITADA</t>
  </si>
  <si>
    <t>TRANSPORTES OSSA LIMITADA</t>
  </si>
  <si>
    <t>TRANSPORTES Y SERVICIOS ATACAMA SPA</t>
  </si>
  <si>
    <t>PIRQA SPA</t>
  </si>
  <si>
    <t>INGENIERIA Y CONSTRUCCION GONZALO PATRICIO BENAVENTE ARIAS E.I.R.L.</t>
  </si>
  <si>
    <t>SOCIEDAD GALLEGOS Y RIOS LIMITADA</t>
  </si>
  <si>
    <t>ZEPOL INDUSTRIAL LIMITADA</t>
  </si>
  <si>
    <t>ARAYA CORT'ÉS SOLUCIONES EMPRESARIALES SINÉRGICAS SPA</t>
  </si>
  <si>
    <t>12219231-8</t>
  </si>
  <si>
    <t>14485102-1</t>
  </si>
  <si>
    <t>18218891-3</t>
  </si>
  <si>
    <t>92475000-6</t>
  </si>
  <si>
    <t>78320430-4</t>
  </si>
  <si>
    <t>77578446-6</t>
  </si>
  <si>
    <t>78747740-2</t>
  </si>
  <si>
    <t>78055616-1</t>
  </si>
  <si>
    <t>76574783-K</t>
  </si>
  <si>
    <t>77520219-K</t>
  </si>
  <si>
    <t>76410595-8</t>
  </si>
  <si>
    <t>77978769-9</t>
  </si>
  <si>
    <t>76336122-5</t>
  </si>
  <si>
    <t>77758444-8</t>
  </si>
  <si>
    <t>76829102-0</t>
  </si>
  <si>
    <t>76946732-7</t>
  </si>
  <si>
    <t>76686138-5</t>
  </si>
  <si>
    <t>76548223-2</t>
  </si>
  <si>
    <t>8929149-6</t>
  </si>
  <si>
    <t>76744135-5</t>
  </si>
  <si>
    <t>77721807-7</t>
  </si>
  <si>
    <t>77789862-0</t>
  </si>
  <si>
    <t>78105542-5</t>
  </si>
  <si>
    <t>76271472-8</t>
  </si>
  <si>
    <t>76032289-K</t>
  </si>
  <si>
    <t>96792430-K</t>
  </si>
  <si>
    <t>77382153-4</t>
  </si>
  <si>
    <t>78442450-2</t>
  </si>
  <si>
    <t>8491016-3</t>
  </si>
  <si>
    <t>3231880-0</t>
  </si>
  <si>
    <t>76948401-9</t>
  </si>
  <si>
    <t>78083174-K</t>
  </si>
  <si>
    <t>76881519-4</t>
  </si>
  <si>
    <t>76679762-8</t>
  </si>
  <si>
    <t>77723189-8</t>
  </si>
  <si>
    <t>77511008-2</t>
  </si>
  <si>
    <t>78110199-0</t>
  </si>
  <si>
    <t>7307203-4</t>
  </si>
  <si>
    <t>76346498-9</t>
  </si>
  <si>
    <t>76646820-9</t>
  </si>
  <si>
    <t>77490658-4</t>
  </si>
  <si>
    <t>76478614-9</t>
  </si>
  <si>
    <t>77313060-4</t>
  </si>
  <si>
    <t>18403693-2</t>
  </si>
  <si>
    <t>76451155-7</t>
  </si>
  <si>
    <t>77471172-4</t>
  </si>
  <si>
    <t>77902909-3</t>
  </si>
  <si>
    <t>99598680-9</t>
  </si>
  <si>
    <t>77524646-4</t>
  </si>
  <si>
    <t>77183342-K</t>
  </si>
  <si>
    <t>76258990-7</t>
  </si>
  <si>
    <t>76419914-6</t>
  </si>
  <si>
    <t>76713010-4</t>
  </si>
  <si>
    <t>76586659-6</t>
  </si>
  <si>
    <t>76974491-6</t>
  </si>
  <si>
    <t>76848781-2</t>
  </si>
  <si>
    <t>77280057-6</t>
  </si>
  <si>
    <t>76515035-3</t>
  </si>
  <si>
    <t>96532730-4</t>
  </si>
  <si>
    <t>90844000-5</t>
  </si>
  <si>
    <t>76334979-9</t>
  </si>
  <si>
    <t>78924390-5</t>
  </si>
  <si>
    <t>76891489-3</t>
  </si>
  <si>
    <t>77117830-8</t>
  </si>
  <si>
    <t>76239400-6</t>
  </si>
  <si>
    <t>78205140-7</t>
  </si>
  <si>
    <t>78415820-9</t>
  </si>
  <si>
    <t>77741219-1</t>
  </si>
  <si>
    <t>76280382-8</t>
  </si>
  <si>
    <t>76008735-1</t>
  </si>
  <si>
    <t>76897208-7</t>
  </si>
  <si>
    <t>77007600-5</t>
  </si>
  <si>
    <t>77539753-5</t>
  </si>
  <si>
    <t>96774300-3</t>
  </si>
  <si>
    <t>76250422-7</t>
  </si>
  <si>
    <t>77028674-3</t>
  </si>
  <si>
    <t>9051431-8</t>
  </si>
  <si>
    <t>78808300-9</t>
  </si>
  <si>
    <t>76096151-5</t>
  </si>
  <si>
    <t>76549850-3</t>
  </si>
  <si>
    <t>77067531-6</t>
  </si>
  <si>
    <t>76523982-6</t>
  </si>
  <si>
    <t>77225118-1</t>
  </si>
  <si>
    <t>77885825-8</t>
  </si>
  <si>
    <t>77002348-3</t>
  </si>
  <si>
    <t>89470200-1</t>
  </si>
  <si>
    <t>76343386-2</t>
  </si>
  <si>
    <t>77274308-4</t>
  </si>
  <si>
    <t>76913732-7</t>
  </si>
  <si>
    <t>76069910-1</t>
  </si>
  <si>
    <t>77695869-7</t>
  </si>
  <si>
    <t>77850619-K</t>
  </si>
  <si>
    <t>76652918-6</t>
  </si>
  <si>
    <t>84060600-7</t>
  </si>
  <si>
    <t>78747370-9</t>
  </si>
  <si>
    <t>76808242-1</t>
  </si>
  <si>
    <t>4612619-K</t>
  </si>
  <si>
    <t>6475833-0</t>
  </si>
  <si>
    <t>76862381-3</t>
  </si>
  <si>
    <t>50413920-4</t>
  </si>
  <si>
    <t>77917754-8</t>
  </si>
  <si>
    <t>76962050-8</t>
  </si>
  <si>
    <t>77154334-0</t>
  </si>
  <si>
    <t>76987478-K</t>
  </si>
  <si>
    <t>76187388-1</t>
  </si>
  <si>
    <t>77361091-6</t>
  </si>
  <si>
    <t>77907297-5</t>
  </si>
  <si>
    <t>10730171-2</t>
  </si>
  <si>
    <t>76506336-1</t>
  </si>
  <si>
    <t>77176830-K</t>
  </si>
  <si>
    <t>76164075-5</t>
  </si>
  <si>
    <t>77137806-4</t>
  </si>
  <si>
    <t>8849558-6</t>
  </si>
  <si>
    <t>77801672-9</t>
  </si>
  <si>
    <t>77288671-3</t>
  </si>
  <si>
    <t>78047391-6</t>
  </si>
  <si>
    <t>77294468-3</t>
  </si>
  <si>
    <t>16468608-6</t>
  </si>
  <si>
    <t>76113262-8</t>
  </si>
  <si>
    <t>76416561-6</t>
  </si>
  <si>
    <t>76303840-8</t>
  </si>
  <si>
    <t>77490759-9</t>
  </si>
  <si>
    <t>76309046-9</t>
  </si>
  <si>
    <t>76575710-K</t>
  </si>
  <si>
    <t>78003761-K</t>
  </si>
  <si>
    <t>77513077-6</t>
  </si>
  <si>
    <t>78648780-3</t>
  </si>
  <si>
    <t>77508244-5</t>
  </si>
  <si>
    <t>76311879-7</t>
  </si>
  <si>
    <t>77841885-1</t>
  </si>
  <si>
    <t>76350127-2</t>
  </si>
  <si>
    <t>77005394-3</t>
  </si>
  <si>
    <t>76953805-4</t>
  </si>
  <si>
    <t>78089646-9</t>
  </si>
  <si>
    <t>77320063-7</t>
  </si>
  <si>
    <t>76752001-8</t>
  </si>
  <si>
    <t>77193770-5</t>
  </si>
  <si>
    <t>76397007-8</t>
  </si>
  <si>
    <t>76918452-K</t>
  </si>
  <si>
    <t>78029565-1</t>
  </si>
  <si>
    <t>76493582-9</t>
  </si>
  <si>
    <t>77398963-K</t>
  </si>
  <si>
    <t>11189165-6</t>
  </si>
  <si>
    <t>77713103-6</t>
  </si>
  <si>
    <t>77082646-2</t>
  </si>
  <si>
    <t>69030200-4</t>
  </si>
  <si>
    <t>8834702-1</t>
  </si>
  <si>
    <t>76556170-1</t>
  </si>
  <si>
    <t>76537760-9</t>
  </si>
  <si>
    <t>78557210-6</t>
  </si>
  <si>
    <t>77069564-3</t>
  </si>
  <si>
    <t>76081327-3</t>
  </si>
  <si>
    <t>76219811-8</t>
  </si>
  <si>
    <t>76920615-9</t>
  </si>
  <si>
    <t>77661099-2</t>
  </si>
  <si>
    <t>76244049-0</t>
  </si>
  <si>
    <t>78152611-8</t>
  </si>
  <si>
    <t>77984044-1</t>
  </si>
  <si>
    <t>77080879-0</t>
  </si>
  <si>
    <t>10549624-9</t>
  </si>
  <si>
    <t>76057911-4</t>
  </si>
  <si>
    <t>76068932-7</t>
  </si>
  <si>
    <t>77529987-8</t>
  </si>
  <si>
    <t>77338558-0</t>
  </si>
  <si>
    <t>77231749-2</t>
  </si>
  <si>
    <t>77551117-6</t>
  </si>
  <si>
    <t>77823149-2</t>
  </si>
  <si>
    <t>78129529-9</t>
  </si>
  <si>
    <t>76667881-5</t>
  </si>
  <si>
    <t>76255245-0</t>
  </si>
  <si>
    <t>78057314-7</t>
  </si>
  <si>
    <t>78130200-7</t>
  </si>
  <si>
    <t>77928137-K</t>
  </si>
  <si>
    <t>96576440-2</t>
  </si>
  <si>
    <t>76512246-5</t>
  </si>
  <si>
    <t>76398726-4</t>
  </si>
  <si>
    <t>10002106-4</t>
  </si>
  <si>
    <t>77575868-6</t>
  </si>
  <si>
    <t>76947776-4</t>
  </si>
  <si>
    <t>76976580-8</t>
  </si>
  <si>
    <t>15612090-1</t>
  </si>
  <si>
    <t>77320970-7</t>
  </si>
  <si>
    <t>8601375-4</t>
  </si>
  <si>
    <t>76650779-4</t>
  </si>
  <si>
    <t>76096835-8</t>
  </si>
  <si>
    <t>78095644-5</t>
  </si>
  <si>
    <t>76864812-3</t>
  </si>
  <si>
    <t>77406968-2</t>
  </si>
  <si>
    <t>76518034-1</t>
  </si>
  <si>
    <t>76787662-9</t>
  </si>
  <si>
    <t>76655851-8</t>
  </si>
  <si>
    <t>70055500-3</t>
  </si>
  <si>
    <t>77936569-7</t>
  </si>
  <si>
    <t>19450089-0</t>
  </si>
  <si>
    <t>76118728-7</t>
  </si>
  <si>
    <t>15611576-2</t>
  </si>
  <si>
    <t>9364286-4</t>
  </si>
  <si>
    <t>99505900-2</t>
  </si>
  <si>
    <t>78511870-7</t>
  </si>
  <si>
    <t>83714300-4</t>
  </si>
  <si>
    <t>77449132-5</t>
  </si>
  <si>
    <t>77389370-5</t>
  </si>
  <si>
    <t>76366587-9</t>
  </si>
  <si>
    <t>76606960-6</t>
  </si>
  <si>
    <t>77062894-6</t>
  </si>
  <si>
    <t>76591503-1</t>
  </si>
  <si>
    <t>65583040-5</t>
  </si>
  <si>
    <t>25834369-7</t>
  </si>
  <si>
    <t>60505105-7</t>
  </si>
  <si>
    <t>78220086-0</t>
  </si>
  <si>
    <t>9515956-7</t>
  </si>
  <si>
    <t>77654554-6</t>
  </si>
  <si>
    <t>77903950-1</t>
  </si>
  <si>
    <t>76956816-6</t>
  </si>
  <si>
    <t>77111933-6</t>
  </si>
  <si>
    <t>76591748-4</t>
  </si>
  <si>
    <t>77840923-2</t>
  </si>
  <si>
    <t>77900448-1</t>
  </si>
  <si>
    <t>77916387-3</t>
  </si>
  <si>
    <t>76994396-K</t>
  </si>
  <si>
    <t>76183251-4</t>
  </si>
  <si>
    <t>77878342-8</t>
  </si>
  <si>
    <t>77437999-1</t>
  </si>
  <si>
    <t>10446368-1</t>
  </si>
  <si>
    <t>71236700-8</t>
  </si>
  <si>
    <t>76310683-7</t>
  </si>
  <si>
    <t>89622400-K</t>
  </si>
  <si>
    <t>77929415-3</t>
  </si>
  <si>
    <t>77317168-8</t>
  </si>
  <si>
    <t>76186894-2</t>
  </si>
  <si>
    <t>77288904-6</t>
  </si>
  <si>
    <t>77432213-2</t>
  </si>
  <si>
    <t>14333206-3</t>
  </si>
  <si>
    <t>65203258-3</t>
  </si>
  <si>
    <t>7175917-2</t>
  </si>
  <si>
    <t>78193252-3</t>
  </si>
  <si>
    <t>76198448-9</t>
  </si>
  <si>
    <t>76041220-1</t>
  </si>
  <si>
    <t>77563372-7</t>
  </si>
  <si>
    <t>77490067-5</t>
  </si>
  <si>
    <t>76377750-2</t>
  </si>
  <si>
    <t>77208815-9</t>
  </si>
  <si>
    <t>78018625-9</t>
  </si>
  <si>
    <t>78172191-3</t>
  </si>
  <si>
    <t>76478810-9</t>
  </si>
  <si>
    <t>77855920-K</t>
  </si>
  <si>
    <t>76272239-9</t>
  </si>
  <si>
    <t>77208603-2</t>
  </si>
  <si>
    <t>77622962-8</t>
  </si>
  <si>
    <t>77029848-2</t>
  </si>
  <si>
    <t>78088831-8</t>
  </si>
  <si>
    <t>78823250-0</t>
  </si>
  <si>
    <t>76093123-3</t>
  </si>
  <si>
    <t>77621582-1</t>
  </si>
  <si>
    <t>76783709-7</t>
  </si>
  <si>
    <t>76300628-K</t>
  </si>
  <si>
    <t>9232004-9</t>
  </si>
  <si>
    <t>83628100-4</t>
  </si>
  <si>
    <t>10193231-1</t>
  </si>
  <si>
    <t>77323546-5</t>
  </si>
  <si>
    <t>77919041-2</t>
  </si>
  <si>
    <t>76446430-3</t>
  </si>
  <si>
    <t>76402290-4</t>
  </si>
  <si>
    <t>77147537-K</t>
  </si>
  <si>
    <t>76921814-9</t>
  </si>
  <si>
    <t>78276657-0</t>
  </si>
  <si>
    <t>77228233-8</t>
  </si>
  <si>
    <t>78029033-1</t>
  </si>
  <si>
    <t>77591285-5</t>
  </si>
  <si>
    <t>76351223-1</t>
  </si>
  <si>
    <t>76686099-0</t>
  </si>
  <si>
    <t>78175978-3</t>
  </si>
  <si>
    <t>77866835-1</t>
  </si>
  <si>
    <t>73603200-7</t>
  </si>
  <si>
    <t>76639069-2</t>
  </si>
  <si>
    <t>78201362-9</t>
  </si>
  <si>
    <t>76393919-7</t>
  </si>
  <si>
    <t>76377720-0</t>
  </si>
  <si>
    <t>18968974-8</t>
  </si>
  <si>
    <t>76976894-7</t>
  </si>
  <si>
    <t>77672701-6</t>
  </si>
  <si>
    <t>77850528-2</t>
  </si>
  <si>
    <t>89696400-3</t>
  </si>
  <si>
    <t>9246657-4</t>
  </si>
  <si>
    <t>7861936-8</t>
  </si>
  <si>
    <t>77263041-7</t>
  </si>
  <si>
    <t>76220664-1</t>
  </si>
  <si>
    <t>78310281-1</t>
  </si>
  <si>
    <t>77481065-K</t>
  </si>
  <si>
    <t>77680509-2</t>
  </si>
  <si>
    <t>77880032-2</t>
  </si>
  <si>
    <t>77461548-2</t>
  </si>
  <si>
    <t>52003237-1</t>
  </si>
  <si>
    <t>78080199-9</t>
  </si>
  <si>
    <t>78121741-7</t>
  </si>
  <si>
    <t>77957597-7</t>
  </si>
  <si>
    <t>65174277-3</t>
  </si>
  <si>
    <t>77295766-1</t>
  </si>
  <si>
    <t>76833007-7</t>
  </si>
  <si>
    <t>78025350-9</t>
  </si>
  <si>
    <t>77779481-7</t>
  </si>
  <si>
    <t>78192732-5</t>
  </si>
  <si>
    <t>78202569-4</t>
  </si>
  <si>
    <t>10262923-K</t>
  </si>
  <si>
    <t>77363286-3</t>
  </si>
  <si>
    <t>16832653-K</t>
  </si>
  <si>
    <t>76674227-0</t>
  </si>
  <si>
    <t>76756768-5</t>
  </si>
  <si>
    <t>10955509-6</t>
  </si>
  <si>
    <t>78239647-1</t>
  </si>
  <si>
    <t>78028700-4</t>
  </si>
  <si>
    <t>76997670-1</t>
  </si>
  <si>
    <t>85674600-3</t>
  </si>
  <si>
    <t>70344400-8</t>
  </si>
  <si>
    <t>78330223-3</t>
  </si>
  <si>
    <t>77549794-7</t>
  </si>
  <si>
    <t>85840100-3</t>
  </si>
  <si>
    <t>76942022-3</t>
  </si>
  <si>
    <t>76587344-4</t>
  </si>
  <si>
    <t>76625089-0</t>
  </si>
  <si>
    <t>76380941-2</t>
  </si>
  <si>
    <t>76245525-0</t>
  </si>
  <si>
    <t>77748910-0</t>
  </si>
  <si>
    <t>76779803-2</t>
  </si>
  <si>
    <t>77764798-9</t>
  </si>
  <si>
    <t>76496563-9</t>
  </si>
  <si>
    <t>76006514-5</t>
  </si>
  <si>
    <t>78943670-3</t>
  </si>
  <si>
    <t>JERALDO TOPOGRAFÍA SUBTERRÁNEA Y GEODÉSICA SPA</t>
  </si>
  <si>
    <t>INVERSIONES RÍO BIO BIO SPA</t>
  </si>
  <si>
    <t>COMERCIAL SAN AGUSTÍN SPA</t>
  </si>
  <si>
    <t>DEFENSA Y JUSTICIA ASESORÍAS JURÍDICAS LIMITADA</t>
  </si>
  <si>
    <t>ESLABÓN CAPACITACIÓN MAURICIO CASTRO LÓPEZ E.I.R.L.</t>
  </si>
  <si>
    <t>CENTRO DE GESTIÓN Y NEGOCIOS SPA</t>
  </si>
  <si>
    <t>LAVADO DE VEHÍCULOS RICHARDS MICHAEL VILLALOBOS ROJAS E.I.R.L.</t>
  </si>
  <si>
    <t>RINCÓNTRD SPA</t>
  </si>
  <si>
    <t>BLAST TRUCK INGENIERÍA Y MANTENIMIENTO SPA</t>
  </si>
  <si>
    <t>SERVICIOS DE INGENIERÍA Y CONSTRUCCIÓN PIÑONES LIMITADA</t>
  </si>
  <si>
    <t>EMPRESA DE SERVICIOS DE INGENIERIA Y CONSTRUCCIÓN SERNEWMAS SPA</t>
  </si>
  <si>
    <t>RCR TÁCTICAL &amp; TECHNOLOGY SUPPORT SPA</t>
  </si>
  <si>
    <t>MARÌA BALLESTERO TARDON Y SERVICIOS E.I.R.L.</t>
  </si>
  <si>
    <t>CLIENTE GENERICO</t>
  </si>
  <si>
    <t>99999999-9</t>
  </si>
  <si>
    <t>CAMILA ACUÑA</t>
  </si>
  <si>
    <t>SAN RAFAEL INGENIERIA Y SERVICIOS LIMITADA</t>
  </si>
  <si>
    <t>JRVA INGENIERIA &amp; SERVICIOS SPA</t>
  </si>
  <si>
    <t>77421442-9</t>
  </si>
  <si>
    <t>PAULINA MUÑOZ</t>
  </si>
  <si>
    <t>00000000-0</t>
  </si>
  <si>
    <t>FVP MINING &amp; INDUSTRY SPA</t>
  </si>
  <si>
    <t>76227269-5</t>
  </si>
  <si>
    <t>J2 PUBLICIDAD SPA
77.551.117-6
Salas 357, Copiapó
+569 4966 1782
j2publicidadchile@gmail.com</t>
  </si>
  <si>
    <t>IVAN ANZA</t>
  </si>
  <si>
    <t>IACOP INGENIERIA SPA</t>
  </si>
  <si>
    <t>76369338-4</t>
  </si>
  <si>
    <t>SOCIEDAD CONTRACTUAL MINERA CAROLA</t>
  </si>
  <si>
    <t>79664330-7</t>
  </si>
  <si>
    <t>WILLIAM GALLARDO</t>
  </si>
  <si>
    <t>ODONTTOLINE</t>
  </si>
  <si>
    <t>LUBRIAHORRO</t>
  </si>
  <si>
    <t>EMPRESA DE TRANSPORTES DE PASAJEROS NUEVA COPIAPO</t>
  </si>
  <si>
    <t>78003369-K</t>
  </si>
  <si>
    <t>77704254-8</t>
  </si>
  <si>
    <t>CONSTRUCTORA BOL</t>
  </si>
  <si>
    <t>77711549-9</t>
  </si>
  <si>
    <t>MALQUINT SEGURIDAD</t>
  </si>
  <si>
    <t>SOCIEDAD CONCESIONARIA AEROPUERTO DEL NORTE S.A.</t>
  </si>
  <si>
    <t>77996929-0</t>
  </si>
  <si>
    <t>VERASALUD</t>
  </si>
  <si>
    <t>MAXIMO CEREÑO</t>
  </si>
  <si>
    <t>SERVICIOS EN ACCIONAMIENTO Y CONTROL AUTOMATICO</t>
  </si>
  <si>
    <t>76845043-9</t>
  </si>
  <si>
    <t>JAVI</t>
  </si>
  <si>
    <t>ED REPUESTOS</t>
  </si>
  <si>
    <t>SEW-EURODRIVE CHILE SPA</t>
  </si>
  <si>
    <t>78075630-6</t>
  </si>
  <si>
    <t>APRO</t>
  </si>
  <si>
    <t>TAMBLAY</t>
  </si>
  <si>
    <t>ISCIMAX LTDA</t>
  </si>
  <si>
    <t>76323214-K</t>
  </si>
  <si>
    <t>77230931-7</t>
  </si>
  <si>
    <t>ORTODONCIA</t>
  </si>
  <si>
    <t>MPF INGENIERIA CIVIL SPA</t>
  </si>
  <si>
    <t>77158216-8</t>
  </si>
  <si>
    <t>CLAVE 100</t>
  </si>
  <si>
    <t>HABITA CONSTRUCCIONES SA</t>
  </si>
  <si>
    <t>76217617-3</t>
  </si>
  <si>
    <t>CONSEJO DE BARRIO</t>
  </si>
  <si>
    <t>RNV SERVICIOS INTEGRALES</t>
  </si>
  <si>
    <t>76593959-3</t>
  </si>
  <si>
    <t>PRORADIO SPA</t>
  </si>
  <si>
    <t>MARTIN CEBALLOS</t>
  </si>
  <si>
    <t>20151850-4</t>
  </si>
  <si>
    <t>FISCALIA DE ATACAMA</t>
  </si>
  <si>
    <t>DAGO VEGA</t>
  </si>
  <si>
    <t>18397429-7</t>
  </si>
  <si>
    <t>MINERA SALAR BLANCO</t>
  </si>
  <si>
    <t>76602739-3</t>
  </si>
  <si>
    <t>MAURICIO LEYTON</t>
  </si>
  <si>
    <t>VIVIPRA SPA</t>
  </si>
  <si>
    <t>79606430-7</t>
  </si>
  <si>
    <t>YUMBER</t>
  </si>
  <si>
    <t>MINISTERIO PUBLICO</t>
  </si>
  <si>
    <t>61935400-1</t>
  </si>
  <si>
    <t>RAUL STUCKRATH</t>
  </si>
  <si>
    <t>8814922-K</t>
  </si>
  <si>
    <t>ESPACIO LIMPIO COPIAPO</t>
  </si>
  <si>
    <t>PESCO RENTAL SOCIEDAD ANONIMA</t>
  </si>
  <si>
    <t>76238635-6</t>
  </si>
  <si>
    <t>JORGE PACASA</t>
  </si>
  <si>
    <t>25826663-3</t>
  </si>
  <si>
    <t>ARRIENDO DE MAQUINARIAS CIBRUGG</t>
  </si>
  <si>
    <t>VENEZOLANA DE COLOR</t>
  </si>
  <si>
    <t>ANA CONTRERAS</t>
  </si>
  <si>
    <t>BENJAMIN TRASLAVIÑA</t>
  </si>
  <si>
    <t>20036585-2</t>
  </si>
  <si>
    <t>IT TRANSPORTES</t>
  </si>
  <si>
    <t>MARVAL SPA</t>
  </si>
  <si>
    <t>76754569-K</t>
  </si>
  <si>
    <t>JORGE CARRASCO</t>
  </si>
  <si>
    <t>ACADEMIA TERCERA REGION</t>
  </si>
  <si>
    <t>65130636-1</t>
  </si>
  <si>
    <t>KINROSS MINERA CHILE LIMITADA</t>
  </si>
  <si>
    <t>76028345-2</t>
  </si>
  <si>
    <t>COMUNIDAD LAS PALMAS</t>
  </si>
  <si>
    <t>56047750-3</t>
  </si>
  <si>
    <t>COMUNIDAD LOS CARRERA</t>
  </si>
  <si>
    <t>56041910-4</t>
  </si>
  <si>
    <t>COMUNIDAD CASA BERMEJA</t>
  </si>
  <si>
    <t>56038450-3</t>
  </si>
  <si>
    <t>DMC MINING</t>
  </si>
  <si>
    <t>77014665-8</t>
  </si>
  <si>
    <t>INVERSIONES NALAM SPA</t>
  </si>
  <si>
    <t>78171211-6</t>
  </si>
  <si>
    <t>CLUB DE PATINAJE ARTISTICO AMANCAY</t>
  </si>
  <si>
    <t>65217467-1</t>
  </si>
  <si>
    <t>RINCON CARNICERO</t>
  </si>
  <si>
    <t>HOTEL GIRASOL</t>
  </si>
  <si>
    <t>TW LOGISTICA SPA</t>
  </si>
  <si>
    <t>96808570-0</t>
  </si>
  <si>
    <t>AVIS BUDGET CHILE</t>
  </si>
  <si>
    <t>76095267-2</t>
  </si>
  <si>
    <t>INARCO</t>
  </si>
  <si>
    <t>96513310-0</t>
  </si>
  <si>
    <t>INGEGROUP INGENIERIA SPA</t>
  </si>
  <si>
    <t>DELILOVE</t>
  </si>
  <si>
    <t>99999999-0</t>
  </si>
  <si>
    <t>CENTRO GENERAL DE PADRES Y APODERADOS COLEGIO CERVANTINO</t>
  </si>
  <si>
    <t>BALONCESTO MOINCO</t>
  </si>
  <si>
    <t>PEDRO ESPINOZA</t>
  </si>
  <si>
    <t>INGENIERIA CYG</t>
  </si>
  <si>
    <t>DETRICK INGENIERIA &amp; MANTENCION SPA</t>
  </si>
  <si>
    <t>77714206-2</t>
  </si>
  <si>
    <t>JAIME CASTILLO</t>
  </si>
  <si>
    <t>CUERPO DE BOMBEROS DE COPIAPO</t>
  </si>
  <si>
    <t>82189900-1</t>
  </si>
  <si>
    <t>COMAC LOGISTICA SPA</t>
  </si>
  <si>
    <t>77306474-1</t>
  </si>
  <si>
    <t>IVETTE ROJAS</t>
  </si>
  <si>
    <t>11934610-K</t>
  </si>
  <si>
    <t>SEC TECNICO CASERONES</t>
  </si>
  <si>
    <t>DEPARTAMENTO DE APOYO A LAS OPERACIONES POLICIALES</t>
  </si>
  <si>
    <t>CLINICA DENTAL SANTIAGO</t>
  </si>
  <si>
    <t>PAPAS ROCKET</t>
  </si>
  <si>
    <t>GABRIEL MORGADO</t>
  </si>
  <si>
    <t>10980772-9</t>
  </si>
  <si>
    <t>J2-1276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</si>
</sst>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_(* #,##0_);_(* \(#,##0\);_(* &quot;-&quot;_);_(@_)"/>
    <numFmt numFmtId="167" formatCode="_(* #,##0.00_);_(* \(#,##0.00\);_(* &quot;-&quot;??_);_(@_)"/>
    <numFmt numFmtId="168" formatCode="_ [$$-340A]* #,##0_ ;_ [$$-340A]* \-#,##0_ ;_ [$$-340A]* &quot;-&quot;??_ ;_ @_ "/>
    <numFmt numFmtId="169" formatCode="[$-F800]dddd\,\ mmmm\ dd\,\ yyyy"/>
  </numFmts>
  <fonts count="45" x14ac:knownFonts="1">
    <font>
      <sz val="10"/>
      <name val="Arial"/>
      <family val="2"/>
    </font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8"/>
      <name val="Arial"/>
      <family val="2"/>
    </font>
    <font>
      <sz val="10"/>
      <color theme="1" tint="0.249977111117893"/>
      <name val="Century Gothic"/>
      <family val="1"/>
      <scheme val="minor"/>
    </font>
    <font>
      <sz val="8"/>
      <color theme="1" tint="0.249977111117893"/>
      <name val="Century Gothic"/>
      <family val="1"/>
      <scheme val="minor"/>
    </font>
    <font>
      <i/>
      <sz val="8"/>
      <color theme="1" tint="0.249977111117893"/>
      <name val="Century Gothic"/>
      <family val="1"/>
      <scheme val="minor"/>
    </font>
    <font>
      <b/>
      <sz val="10"/>
      <color theme="1" tint="0.249977111117893"/>
      <name val="Century Gothic"/>
      <family val="1"/>
      <scheme val="minor"/>
    </font>
    <font>
      <b/>
      <sz val="48"/>
      <color theme="6"/>
      <name val="Century Gothic"/>
      <family val="2"/>
      <scheme val="major"/>
    </font>
    <font>
      <sz val="9"/>
      <color theme="3"/>
      <name val="Century Gothic"/>
      <family val="2"/>
      <scheme val="minor"/>
    </font>
    <font>
      <b/>
      <sz val="10"/>
      <color theme="0"/>
      <name val="Century Gothic"/>
      <family val="2"/>
      <scheme val="major"/>
    </font>
    <font>
      <b/>
      <sz val="10"/>
      <color theme="6"/>
      <name val="Century Gothic"/>
      <family val="1"/>
      <scheme val="minor"/>
    </font>
    <font>
      <b/>
      <sz val="12"/>
      <color theme="6"/>
      <name val="Century Gothic"/>
      <family val="2"/>
      <scheme val="minor"/>
    </font>
    <font>
      <b/>
      <sz val="13"/>
      <color theme="3"/>
      <name val="Century Gothic"/>
      <family val="2"/>
      <scheme val="minor"/>
    </font>
    <font>
      <sz val="8"/>
      <name val="Century Gothic"/>
      <family val="2"/>
      <scheme val="minor"/>
    </font>
    <font>
      <sz val="18"/>
      <color theme="3"/>
      <name val="Century Gothic"/>
      <family val="2"/>
      <scheme val="major"/>
    </font>
    <font>
      <b/>
      <sz val="15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sz val="11"/>
      <color rgb="FF006100"/>
      <name val="Century Gothic"/>
      <family val="2"/>
      <scheme val="minor"/>
    </font>
    <font>
      <sz val="11"/>
      <color rgb="FF9C0006"/>
      <name val="Century Gothic"/>
      <family val="2"/>
      <scheme val="minor"/>
    </font>
    <font>
      <sz val="11"/>
      <color rgb="FF9C5700"/>
      <name val="Century Gothic"/>
      <family val="2"/>
      <scheme val="minor"/>
    </font>
    <font>
      <sz val="11"/>
      <color rgb="FF3F3F76"/>
      <name val="Century Gothic"/>
      <family val="2"/>
      <scheme val="minor"/>
    </font>
    <font>
      <b/>
      <sz val="11"/>
      <color rgb="FF3F3F3F"/>
      <name val="Century Gothic"/>
      <family val="2"/>
      <scheme val="minor"/>
    </font>
    <font>
      <b/>
      <sz val="11"/>
      <color rgb="FFFA7D00"/>
      <name val="Century Gothic"/>
      <family val="2"/>
      <scheme val="minor"/>
    </font>
    <font>
      <sz val="11"/>
      <color rgb="FFFA7D00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rgb="FFFF000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sz val="10"/>
      <name val="Arial"/>
      <family val="2"/>
    </font>
    <font>
      <b/>
      <sz val="10"/>
      <name val="Century Gothic"/>
      <family val="1"/>
      <scheme val="minor"/>
    </font>
    <font>
      <sz val="8"/>
      <color theme="0"/>
      <name val="Calibri"/>
      <family val="2"/>
    </font>
    <font>
      <sz val="8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9"/>
      <color theme="0"/>
      <name val="Century Gothic"/>
      <family val="2"/>
      <scheme val="minor"/>
    </font>
    <font>
      <b/>
      <sz val="14"/>
      <color theme="0"/>
      <name val="Century Gothic"/>
      <family val="2"/>
      <scheme val="minor"/>
    </font>
    <font>
      <b/>
      <sz val="10"/>
      <name val="Century Gothic"/>
      <family val="2"/>
      <scheme val="minor"/>
    </font>
    <font>
      <sz val="8"/>
      <name val="Century Gothic"/>
      <family val="2"/>
      <scheme val="major"/>
    </font>
    <font>
      <sz val="9"/>
      <color theme="1"/>
      <name val="Century Gothic"/>
      <family val="2"/>
      <scheme val="minor"/>
    </font>
    <font>
      <sz val="8"/>
      <color theme="1"/>
      <name val="Century Gothic"/>
      <family val="2"/>
      <scheme val="minor"/>
    </font>
    <font>
      <b/>
      <sz val="8"/>
      <color theme="1"/>
      <name val="Century Gothic"/>
      <family val="2"/>
      <scheme val="minor"/>
    </font>
    <font>
      <b/>
      <sz val="14"/>
      <color theme="0"/>
      <name val="Century Gothic"/>
      <family val="2"/>
      <scheme val="major"/>
    </font>
    <font>
      <b/>
      <sz val="8"/>
      <color theme="0"/>
      <name val="Century Gothic"/>
      <family val="2"/>
      <scheme val="minor"/>
    </font>
    <font>
      <sz val="9"/>
      <color theme="0"/>
      <name val="Century Gothic"/>
      <family val="2"/>
      <scheme val="minor"/>
    </font>
    <font>
      <sz val="8"/>
      <color theme="0"/>
      <name val="Century Gothic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DA63"/>
        <bgColor indexed="64"/>
      </patternFill>
    </fill>
    <fill>
      <patternFill patternType="solid">
        <fgColor rgb="FF002E58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/>
      <right style="medium">
        <color indexed="64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5">
    <xf numFmtId="0" fontId="0" fillId="0" borderId="0"/>
    <xf numFmtId="0" fontId="9" fillId="0" borderId="0" applyNumberFormat="0" applyFill="0" applyBorder="0" applyAlignment="0" applyProtection="0"/>
    <xf numFmtId="0" fontId="8" fillId="0" borderId="0">
      <alignment horizontal="right" vertical="center"/>
    </xf>
    <xf numFmtId="0" fontId="12" fillId="0" borderId="0" applyFill="0" applyBorder="0" applyAlignment="0" applyProtection="0"/>
    <xf numFmtId="0" fontId="11" fillId="0" borderId="0">
      <alignment horizontal="right"/>
    </xf>
    <xf numFmtId="0" fontId="11" fillId="0" borderId="0">
      <alignment horizontal="right"/>
    </xf>
    <xf numFmtId="0" fontId="10" fillId="3" borderId="0">
      <alignment horizontal="center" vertical="center"/>
    </xf>
    <xf numFmtId="0" fontId="10" fillId="4" borderId="0">
      <alignment horizontal="center" vertical="center"/>
    </xf>
    <xf numFmtId="0" fontId="13" fillId="0" borderId="1" applyNumberFormat="0" applyFill="0" applyAlignment="0" applyProtection="0"/>
    <xf numFmtId="167" fontId="29" fillId="0" borderId="0" applyFont="0" applyFill="0" applyBorder="0" applyAlignment="0" applyProtection="0"/>
    <xf numFmtId="166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164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2" applyNumberFormat="0" applyFill="0" applyAlignment="0" applyProtection="0"/>
    <xf numFmtId="0" fontId="17" fillId="0" borderId="3" applyNumberFormat="0" applyFill="0" applyAlignment="0" applyProtection="0"/>
    <xf numFmtId="0" fontId="17" fillId="0" borderId="0" applyNumberFormat="0" applyFill="0" applyBorder="0" applyAlignment="0" applyProtection="0"/>
    <xf numFmtId="0" fontId="18" fillId="6" borderId="0" applyNumberFormat="0" applyBorder="0" applyAlignment="0" applyProtection="0"/>
    <xf numFmtId="0" fontId="19" fillId="7" borderId="0" applyNumberFormat="0" applyBorder="0" applyAlignment="0" applyProtection="0"/>
    <xf numFmtId="0" fontId="20" fillId="8" borderId="0" applyNumberFormat="0" applyBorder="0" applyAlignment="0" applyProtection="0"/>
    <xf numFmtId="0" fontId="21" fillId="9" borderId="4" applyNumberFormat="0" applyAlignment="0" applyProtection="0"/>
    <xf numFmtId="0" fontId="22" fillId="10" borderId="5" applyNumberFormat="0" applyAlignment="0" applyProtection="0"/>
    <xf numFmtId="0" fontId="23" fillId="10" borderId="4" applyNumberFormat="0" applyAlignment="0" applyProtection="0"/>
    <xf numFmtId="0" fontId="24" fillId="0" borderId="6" applyNumberFormat="0" applyFill="0" applyAlignment="0" applyProtection="0"/>
    <xf numFmtId="0" fontId="25" fillId="11" borderId="7" applyNumberFormat="0" applyAlignment="0" applyProtection="0"/>
    <xf numFmtId="0" fontId="26" fillId="0" borderId="0" applyNumberFormat="0" applyFill="0" applyBorder="0" applyAlignment="0" applyProtection="0"/>
    <xf numFmtId="0" fontId="29" fillId="12" borderId="8" applyNumberFormat="0" applyFont="0" applyAlignment="0" applyProtection="0"/>
    <xf numFmtId="0" fontId="27" fillId="0" borderId="9" applyNumberFormat="0" applyFill="0" applyAlignment="0" applyProtection="0"/>
    <xf numFmtId="0" fontId="2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8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6" borderId="0" applyNumberFormat="0" applyBorder="0" applyAlignment="0" applyProtection="0"/>
    <xf numFmtId="0" fontId="14" fillId="37" borderId="0" applyAlignment="0">
      <alignment horizontal="left" vertical="center"/>
    </xf>
    <xf numFmtId="0" fontId="1" fillId="0" borderId="0"/>
  </cellStyleXfs>
  <cellXfs count="67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0" xfId="0" applyFont="1" applyAlignment="1">
      <alignment vertical="top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30" fillId="5" borderId="10" xfId="5" applyFont="1" applyFill="1" applyBorder="1">
      <alignment horizontal="right"/>
    </xf>
    <xf numFmtId="0" fontId="30" fillId="5" borderId="10" xfId="0" applyFont="1" applyFill="1" applyBorder="1" applyAlignment="1">
      <alignment horizontal="right"/>
    </xf>
    <xf numFmtId="168" fontId="39" fillId="0" borderId="10" xfId="0" applyNumberFormat="1" applyFont="1" applyBorder="1" applyAlignment="1">
      <alignment horizontal="right" vertical="center"/>
    </xf>
    <xf numFmtId="0" fontId="39" fillId="0" borderId="10" xfId="0" applyFont="1" applyBorder="1" applyAlignment="1">
      <alignment horizontal="left" vertical="center" wrapText="1"/>
    </xf>
    <xf numFmtId="0" fontId="39" fillId="0" borderId="14" xfId="0" applyFont="1" applyBorder="1" applyAlignment="1">
      <alignment horizontal="left" vertical="center" wrapText="1"/>
    </xf>
    <xf numFmtId="0" fontId="41" fillId="5" borderId="0" xfId="3" applyFont="1" applyFill="1" applyBorder="1" applyAlignment="1">
      <alignment vertical="center"/>
    </xf>
    <xf numFmtId="0" fontId="35" fillId="5" borderId="0" xfId="3" applyFont="1" applyFill="1" applyBorder="1" applyAlignment="1">
      <alignment horizontal="center" vertical="center"/>
    </xf>
    <xf numFmtId="0" fontId="41" fillId="5" borderId="16" xfId="3" applyFont="1" applyFill="1" applyBorder="1" applyAlignment="1">
      <alignment vertical="center"/>
    </xf>
    <xf numFmtId="0" fontId="41" fillId="5" borderId="17" xfId="3" applyFont="1" applyFill="1" applyBorder="1" applyAlignment="1">
      <alignment vertical="center"/>
    </xf>
    <xf numFmtId="0" fontId="41" fillId="5" borderId="19" xfId="3" applyFont="1" applyFill="1" applyBorder="1" applyAlignment="1">
      <alignment vertical="center"/>
    </xf>
    <xf numFmtId="0" fontId="35" fillId="5" borderId="19" xfId="3" applyFont="1" applyFill="1" applyBorder="1" applyAlignment="1">
      <alignment horizontal="center" vertical="center"/>
    </xf>
    <xf numFmtId="0" fontId="38" fillId="0" borderId="26" xfId="0" applyFont="1" applyBorder="1" applyAlignment="1">
      <alignment horizontal="center" vertical="center"/>
    </xf>
    <xf numFmtId="168" fontId="40" fillId="0" borderId="27" xfId="12" applyNumberFormat="1" applyFont="1" applyFill="1" applyBorder="1" applyAlignment="1">
      <alignment horizontal="right" vertical="center"/>
    </xf>
    <xf numFmtId="0" fontId="38" fillId="0" borderId="22" xfId="0" applyFont="1" applyBorder="1" applyAlignment="1">
      <alignment horizontal="center" vertical="center"/>
    </xf>
    <xf numFmtId="168" fontId="40" fillId="0" borderId="23" xfId="12" applyNumberFormat="1" applyFont="1" applyFill="1" applyBorder="1" applyAlignment="1">
      <alignment horizontal="right" vertical="center"/>
    </xf>
    <xf numFmtId="168" fontId="32" fillId="2" borderId="23" xfId="0" applyNumberFormat="1" applyFont="1" applyFill="1" applyBorder="1" applyAlignment="1">
      <alignment horizontal="right" vertical="center" indent="1"/>
    </xf>
    <xf numFmtId="49" fontId="25" fillId="38" borderId="21" xfId="0" applyNumberFormat="1" applyFont="1" applyFill="1" applyBorder="1" applyAlignment="1">
      <alignment horizontal="center" vertical="center"/>
    </xf>
    <xf numFmtId="49" fontId="44" fillId="38" borderId="19" xfId="0" applyNumberFormat="1" applyFont="1" applyFill="1" applyBorder="1" applyAlignment="1">
      <alignment vertical="center"/>
    </xf>
    <xf numFmtId="0" fontId="25" fillId="38" borderId="24" xfId="0" applyFont="1" applyFill="1" applyBorder="1" applyAlignment="1">
      <alignment horizontal="center" vertical="center"/>
    </xf>
    <xf numFmtId="0" fontId="25" fillId="38" borderId="15" xfId="0" applyFont="1" applyFill="1" applyBorder="1" applyAlignment="1">
      <alignment horizontal="center" vertical="center"/>
    </xf>
    <xf numFmtId="0" fontId="34" fillId="38" borderId="15" xfId="0" applyFont="1" applyFill="1" applyBorder="1" applyAlignment="1">
      <alignment horizontal="center" vertical="center" wrapText="1"/>
    </xf>
    <xf numFmtId="0" fontId="25" fillId="38" borderId="25" xfId="0" applyFont="1" applyFill="1" applyBorder="1" applyAlignment="1">
      <alignment horizontal="center" vertical="center"/>
    </xf>
    <xf numFmtId="168" fontId="31" fillId="38" borderId="23" xfId="12" applyNumberFormat="1" applyFont="1" applyFill="1" applyBorder="1" applyAlignment="1">
      <alignment horizontal="right" vertical="center" indent="1"/>
    </xf>
    <xf numFmtId="168" fontId="33" fillId="38" borderId="23" xfId="0" applyNumberFormat="1" applyFont="1" applyFill="1" applyBorder="1"/>
    <xf numFmtId="0" fontId="6" fillId="38" borderId="30" xfId="0" applyFont="1" applyFill="1" applyBorder="1"/>
    <xf numFmtId="0" fontId="5" fillId="38" borderId="31" xfId="0" applyFont="1" applyFill="1" applyBorder="1"/>
    <xf numFmtId="0" fontId="5" fillId="38" borderId="32" xfId="0" applyFont="1" applyFill="1" applyBorder="1"/>
    <xf numFmtId="0" fontId="0" fillId="0" borderId="0" xfId="0" applyAlignment="1">
      <alignment horizontal="center"/>
    </xf>
    <xf numFmtId="169" fontId="43" fillId="38" borderId="21" xfId="0" applyNumberFormat="1" applyFont="1" applyFill="1" applyBorder="1" applyAlignment="1">
      <alignment horizontal="center" vertical="center"/>
    </xf>
    <xf numFmtId="0" fontId="43" fillId="5" borderId="19" xfId="0" applyFont="1" applyFill="1" applyBorder="1" applyAlignment="1">
      <alignment vertical="center" wrapText="1"/>
    </xf>
    <xf numFmtId="0" fontId="43" fillId="5" borderId="0" xfId="0" applyFont="1" applyFill="1" applyAlignment="1">
      <alignment vertical="center" wrapText="1"/>
    </xf>
    <xf numFmtId="49" fontId="42" fillId="38" borderId="16" xfId="0" applyNumberFormat="1" applyFont="1" applyFill="1" applyBorder="1" applyAlignment="1">
      <alignment horizontal="left" vertical="center"/>
    </xf>
    <xf numFmtId="49" fontId="42" fillId="38" borderId="17" xfId="0" applyNumberFormat="1" applyFont="1" applyFill="1" applyBorder="1" applyAlignment="1">
      <alignment horizontal="left" vertical="center"/>
    </xf>
    <xf numFmtId="49" fontId="42" fillId="38" borderId="17" xfId="0" applyNumberFormat="1" applyFont="1" applyFill="1" applyBorder="1" applyAlignment="1">
      <alignment vertical="center"/>
    </xf>
    <xf numFmtId="49" fontId="42" fillId="38" borderId="33" xfId="0" applyNumberFormat="1" applyFont="1" applyFill="1" applyBorder="1" applyAlignment="1">
      <alignment vertical="center"/>
    </xf>
    <xf numFmtId="49" fontId="44" fillId="38" borderId="0" xfId="0" applyNumberFormat="1" applyFont="1" applyFill="1" applyAlignment="1">
      <alignment vertical="center"/>
    </xf>
    <xf numFmtId="49" fontId="44" fillId="38" borderId="30" xfId="0" applyNumberFormat="1" applyFont="1" applyFill="1" applyBorder="1" applyAlignment="1">
      <alignment vertical="center"/>
    </xf>
    <xf numFmtId="49" fontId="44" fillId="38" borderId="31" xfId="0" applyNumberFormat="1" applyFont="1" applyFill="1" applyBorder="1" applyAlignment="1">
      <alignment vertical="center"/>
    </xf>
    <xf numFmtId="49" fontId="43" fillId="38" borderId="32" xfId="0" applyNumberFormat="1" applyFont="1" applyFill="1" applyBorder="1" applyAlignment="1">
      <alignment vertical="center"/>
    </xf>
    <xf numFmtId="49" fontId="42" fillId="38" borderId="0" xfId="0" applyNumberFormat="1" applyFont="1" applyFill="1" applyAlignment="1">
      <alignment horizontal="center" vertical="center"/>
    </xf>
    <xf numFmtId="0" fontId="42" fillId="38" borderId="0" xfId="0" applyFont="1" applyFill="1" applyAlignment="1">
      <alignment horizontal="center" vertical="center"/>
    </xf>
    <xf numFmtId="0" fontId="39" fillId="0" borderId="14" xfId="0" applyFont="1" applyFill="1" applyBorder="1" applyAlignment="1">
      <alignment horizontal="left" vertical="center" wrapText="1"/>
    </xf>
    <xf numFmtId="0" fontId="40" fillId="5" borderId="18" xfId="0" applyFont="1" applyFill="1" applyBorder="1" applyAlignment="1">
      <alignment horizontal="center" vertical="center" wrapText="1"/>
    </xf>
    <xf numFmtId="0" fontId="40" fillId="5" borderId="2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5" borderId="22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/>
    </xf>
    <xf numFmtId="0" fontId="36" fillId="0" borderId="19" xfId="3" applyFont="1" applyFill="1" applyBorder="1" applyAlignment="1">
      <alignment horizontal="center" vertical="center"/>
    </xf>
    <xf numFmtId="0" fontId="36" fillId="0" borderId="0" xfId="3" applyFont="1" applyFill="1" applyBorder="1" applyAlignment="1">
      <alignment horizontal="center" vertical="center"/>
    </xf>
    <xf numFmtId="0" fontId="36" fillId="0" borderId="21" xfId="3" applyFont="1" applyFill="1" applyBorder="1" applyAlignment="1">
      <alignment horizontal="center" vertical="center"/>
    </xf>
    <xf numFmtId="0" fontId="37" fillId="0" borderId="34" xfId="3" applyFont="1" applyFill="1" applyBorder="1" applyAlignment="1">
      <alignment horizontal="center" vertical="center" wrapText="1"/>
    </xf>
    <xf numFmtId="0" fontId="37" fillId="0" borderId="35" xfId="3" applyFont="1" applyFill="1" applyBorder="1" applyAlignment="1">
      <alignment horizontal="center" vertical="center" wrapText="1"/>
    </xf>
    <xf numFmtId="0" fontId="37" fillId="0" borderId="36" xfId="3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</cellXfs>
  <cellStyles count="55">
    <cellStyle name="20% - Énfasis1" xfId="30" builtinId="30" customBuiltin="1"/>
    <cellStyle name="20% - Énfasis2" xfId="34" builtinId="34" customBuiltin="1"/>
    <cellStyle name="20% - Énfasis3" xfId="38" builtinId="38" customBuiltin="1"/>
    <cellStyle name="20% - Énfasis4" xfId="42" builtinId="42" customBuiltin="1"/>
    <cellStyle name="20% - Énfasis5" xfId="46" builtinId="46" customBuiltin="1"/>
    <cellStyle name="20% - Énfasis6" xfId="50" builtinId="50" customBuiltin="1"/>
    <cellStyle name="40% - Énfasis1" xfId="31" builtinId="31" customBuiltin="1"/>
    <cellStyle name="40% - Énfasis2" xfId="35" builtinId="35" customBuiltin="1"/>
    <cellStyle name="40% - Énfasis3" xfId="39" builtinId="39" customBuiltin="1"/>
    <cellStyle name="40% - Énfasis4" xfId="43" builtinId="43" customBuiltin="1"/>
    <cellStyle name="40% - Énfasis5" xfId="47" builtinId="47" customBuiltin="1"/>
    <cellStyle name="40% - Énfasis6" xfId="51" builtinId="51" customBuiltin="1"/>
    <cellStyle name="60% - Énfasis1" xfId="32" builtinId="32" customBuiltin="1"/>
    <cellStyle name="60% - Énfasis2" xfId="36" builtinId="36" customBuiltin="1"/>
    <cellStyle name="60% - Énfasis3" xfId="40" builtinId="40" customBuiltin="1"/>
    <cellStyle name="60% - Énfasis4" xfId="44" builtinId="44" customBuiltin="1"/>
    <cellStyle name="60% - Énfasis5" xfId="48" builtinId="48" customBuiltin="1"/>
    <cellStyle name="60% - Énfasis6" xfId="52" builtinId="52" customBuiltin="1"/>
    <cellStyle name="Bueno" xfId="18" builtinId="26" customBuiltin="1"/>
    <cellStyle name="Cálculo" xfId="23" builtinId="22" customBuiltin="1"/>
    <cellStyle name="Celda de comprobación" xfId="25" builtinId="23" customBuiltin="1"/>
    <cellStyle name="Celda vinculada" xfId="24" builtinId="24" customBuiltin="1"/>
    <cellStyle name="Encabezado 1" xfId="15" builtinId="16" customBuiltin="1"/>
    <cellStyle name="Encabezado 4" xfId="17" builtinId="19" customBuiltin="1"/>
    <cellStyle name="Énfasis1" xfId="29" builtinId="29" customBuiltin="1"/>
    <cellStyle name="Énfasis2" xfId="33" builtinId="33" customBuiltin="1"/>
    <cellStyle name="Énfasis3" xfId="37" builtinId="37" customBuiltin="1"/>
    <cellStyle name="Énfasis4" xfId="41" builtinId="41" customBuiltin="1"/>
    <cellStyle name="Énfasis5" xfId="45" builtinId="45" customBuiltin="1"/>
    <cellStyle name="Énfasis6" xfId="49" builtinId="49" customBuiltin="1"/>
    <cellStyle name="Entrada" xfId="21" builtinId="20" customBuiltin="1"/>
    <cellStyle name="Estilo 1" xfId="53" xr:uid="{6E884C3A-DB21-45BA-8C64-D182A7E060CC}"/>
    <cellStyle name="Incorrecto" xfId="19" builtinId="27" customBuiltin="1"/>
    <cellStyle name="Millares" xfId="9" builtinId="3" customBuiltin="1"/>
    <cellStyle name="Millares [0]" xfId="10" builtinId="6" customBuiltin="1"/>
    <cellStyle name="Moneda" xfId="11" builtinId="4" customBuiltin="1"/>
    <cellStyle name="Moneda [0]" xfId="12" builtinId="7" customBuiltin="1"/>
    <cellStyle name="Neutral" xfId="20" builtinId="28" customBuiltin="1"/>
    <cellStyle name="Normal" xfId="0" builtinId="0" customBuiltin="1"/>
    <cellStyle name="Normal 2" xfId="2" xr:uid="{00000000-0005-0000-0000-000004000000}"/>
    <cellStyle name="Normal 2 2 2" xfId="54" xr:uid="{FC87C4A0-4444-4DAA-A451-3DCE5E1AE317}"/>
    <cellStyle name="Normal 3" xfId="4" xr:uid="{00000000-0005-0000-0000-000005000000}"/>
    <cellStyle name="Normal 3 2" xfId="5" xr:uid="{00000000-0005-0000-0000-000006000000}"/>
    <cellStyle name="Normal 4" xfId="6" xr:uid="{00000000-0005-0000-0000-000007000000}"/>
    <cellStyle name="Normal 4 2" xfId="7" xr:uid="{00000000-0005-0000-0000-000008000000}"/>
    <cellStyle name="Notas" xfId="27" builtinId="10" customBuiltin="1"/>
    <cellStyle name="Porcentaje" xfId="13" builtinId="5" customBuiltin="1"/>
    <cellStyle name="Salida" xfId="22" builtinId="21" customBuiltin="1"/>
    <cellStyle name="Texto de advertencia" xfId="26" builtinId="11" customBuiltin="1"/>
    <cellStyle name="Texto explicativo" xfId="1" builtinId="53" customBuiltin="1"/>
    <cellStyle name="Texto explicativo 2" xfId="3" xr:uid="{00000000-0005-0000-0000-000001000000}"/>
    <cellStyle name="Título" xfId="14" builtinId="15" customBuiltin="1"/>
    <cellStyle name="Título 2" xfId="8" builtinId="17" customBuiltin="1"/>
    <cellStyle name="Título 3" xfId="16" builtinId="18" customBuiltin="1"/>
    <cellStyle name="Total" xfId="28" builtinId="25" customBuiltin="1"/>
  </cellStyles>
  <dxfs count="4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/>
        </patternFill>
      </fill>
    </dxf>
    <dxf>
      <border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</dxf>
  </dxfs>
  <tableStyles count="1" defaultTableStyle="TableStyleMedium2" defaultPivotStyle="PivotStyleLight16">
    <tableStyle name="Factura de servicio simple diseño azul" pivot="0" count="4" xr9:uid="{00000000-0011-0000-FFFF-FFFF00000000}">
      <tableStyleElement type="wholeTable" dxfId="3"/>
      <tableStyleElement type="headerRow" dxfId="2"/>
      <tableStyleElement type="lastColumn" dxfId="1"/>
      <tableStyleElement type="second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  <mruColors>
      <color rgb="FF002E58"/>
      <color rgb="FF0E4E62"/>
      <color rgb="FF992809"/>
      <color rgb="FFEC3E0E"/>
      <color rgb="FFCC3300"/>
      <color rgb="FFFF6600"/>
      <color rgb="FF000000"/>
      <color rgb="FF212121"/>
      <color rgb="FF232323"/>
      <color rgb="FF19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102576</xdr:colOff>
      <xdr:row>1</xdr:row>
      <xdr:rowOff>39794</xdr:rowOff>
    </xdr:from>
    <xdr:to>
      <xdr:col>8</xdr:col>
      <xdr:colOff>124558</xdr:colOff>
      <xdr:row>4</xdr:row>
      <xdr:rowOff>74562</xdr:rowOff>
    </xdr:to>
    <xdr:sp macro="[0]!NuevaCotizacion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686E4E8-AC7A-4A7C-83D8-D2FA0A8A93FB}"/>
            </a:ext>
          </a:extLst>
        </xdr:cNvPr>
        <xdr:cNvSpPr/>
      </xdr:nvSpPr>
      <xdr:spPr>
        <a:xfrm>
          <a:off x="7656634" y="1014275"/>
          <a:ext cx="1392116" cy="716172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NUEVA</a:t>
          </a:r>
        </a:p>
      </xdr:txBody>
    </xdr:sp>
    <xdr:clientData/>
  </xdr:twoCellAnchor>
  <xdr:twoCellAnchor editAs="oneCell">
    <xdr:from>
      <xdr:col>1</xdr:col>
      <xdr:colOff>143727</xdr:colOff>
      <xdr:row>41</xdr:row>
      <xdr:rowOff>71494</xdr:rowOff>
    </xdr:from>
    <xdr:to>
      <xdr:col>2</xdr:col>
      <xdr:colOff>537092</xdr:colOff>
      <xdr:row>46</xdr:row>
      <xdr:rowOff>96440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5FF230A5-2E71-563E-0139-5EC0F397B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0084" y="7990851"/>
          <a:ext cx="892294" cy="886731"/>
        </a:xfrm>
        <a:prstGeom prst="rect">
          <a:avLst/>
        </a:prstGeom>
      </xdr:spPr>
    </xdr:pic>
    <xdr:clientData/>
  </xdr:twoCellAnchor>
  <xdr:twoCellAnchor>
    <xdr:from>
      <xdr:col>2</xdr:col>
      <xdr:colOff>580571</xdr:colOff>
      <xdr:row>41</xdr:row>
      <xdr:rowOff>27214</xdr:rowOff>
    </xdr:from>
    <xdr:to>
      <xdr:col>2</xdr:col>
      <xdr:colOff>2689397</xdr:colOff>
      <xdr:row>46</xdr:row>
      <xdr:rowOff>155348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43FC93C-9F57-F8F1-0789-84F13B01BE34}"/>
            </a:ext>
          </a:extLst>
        </xdr:cNvPr>
        <xdr:cNvSpPr txBox="1"/>
      </xdr:nvSpPr>
      <xdr:spPr>
        <a:xfrm>
          <a:off x="1505857" y="7810500"/>
          <a:ext cx="2108826" cy="9899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001" sz="800" b="1"/>
            <a:t>J2</a:t>
          </a:r>
          <a:r>
            <a:rPr lang="en-001" sz="800" b="1" baseline="0"/>
            <a:t> PUIBLICIDAD SPA</a:t>
          </a:r>
          <a:endParaRPr lang="es-CL" sz="800" b="1"/>
        </a:p>
        <a:p>
          <a:r>
            <a:rPr lang="es-CL" sz="800"/>
            <a:t>77.551.117-6</a:t>
          </a:r>
          <a:endParaRPr lang="en-001" sz="800"/>
        </a:p>
        <a:p>
          <a:r>
            <a:rPr lang="es-CL" sz="800"/>
            <a:t>Banco de Chile</a:t>
          </a:r>
        </a:p>
        <a:p>
          <a:r>
            <a:rPr lang="es-CL" sz="800"/>
            <a:t>Cuenta Corriente</a:t>
          </a:r>
        </a:p>
        <a:p>
          <a:r>
            <a:rPr lang="es-CL" sz="800"/>
            <a:t>00-118-22467-00</a:t>
          </a:r>
        </a:p>
        <a:p>
          <a:r>
            <a:rPr lang="es-CL" sz="800"/>
            <a:t>j2publicidadchile@gmail.com</a:t>
          </a:r>
        </a:p>
      </xdr:txBody>
    </xdr:sp>
    <xdr:clientData/>
  </xdr:twoCellAnchor>
  <xdr:twoCellAnchor>
    <xdr:from>
      <xdr:col>4</xdr:col>
      <xdr:colOff>128588</xdr:colOff>
      <xdr:row>45</xdr:row>
      <xdr:rowOff>52</xdr:rowOff>
    </xdr:from>
    <xdr:to>
      <xdr:col>4</xdr:col>
      <xdr:colOff>2020956</xdr:colOff>
      <xdr:row>46</xdr:row>
      <xdr:rowOff>99391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B2D896A4-AC24-4B50-A740-3205E5319199}"/>
            </a:ext>
          </a:extLst>
        </xdr:cNvPr>
        <xdr:cNvSpPr txBox="1"/>
      </xdr:nvSpPr>
      <xdr:spPr>
        <a:xfrm>
          <a:off x="5089871" y="8199835"/>
          <a:ext cx="1892368" cy="2649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800" b="1">
              <a:solidFill>
                <a:srgbClr val="FF0000"/>
              </a:solidFill>
            </a:rPr>
            <a:t>COTIZACIÓN</a:t>
          </a:r>
          <a:r>
            <a:rPr lang="es-CL" sz="800" b="1" baseline="0">
              <a:solidFill>
                <a:srgbClr val="FF0000"/>
              </a:solidFill>
            </a:rPr>
            <a:t> VÁLIDA POR 10 DIAS</a:t>
          </a:r>
          <a:endParaRPr lang="es-CL" sz="800">
            <a:solidFill>
              <a:srgbClr val="FF0000"/>
            </a:solidFill>
          </a:endParaRPr>
        </a:p>
      </xdr:txBody>
    </xdr:sp>
    <xdr:clientData/>
  </xdr:twoCellAnchor>
  <xdr:twoCellAnchor>
    <xdr:from>
      <xdr:col>2</xdr:col>
      <xdr:colOff>0</xdr:colOff>
      <xdr:row>47</xdr:row>
      <xdr:rowOff>66260</xdr:rowOff>
    </xdr:from>
    <xdr:to>
      <xdr:col>4</xdr:col>
      <xdr:colOff>1573695</xdr:colOff>
      <xdr:row>47</xdr:row>
      <xdr:rowOff>339587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2E5B96EF-0F72-7441-BA41-DB945E8FC703}"/>
            </a:ext>
          </a:extLst>
        </xdr:cNvPr>
        <xdr:cNvSpPr txBox="1"/>
      </xdr:nvSpPr>
      <xdr:spPr>
        <a:xfrm>
          <a:off x="1374913" y="8630477"/>
          <a:ext cx="5160065" cy="2733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001" sz="900">
              <a:solidFill>
                <a:schemeClr val="bg1"/>
              </a:solidFill>
              <a:latin typeface="+mn-lt"/>
            </a:rPr>
            <a:t>J2 PUBLICIDAD</a:t>
          </a:r>
          <a:r>
            <a:rPr lang="en-001" sz="900" baseline="0">
              <a:solidFill>
                <a:schemeClr val="bg1"/>
              </a:solidFill>
              <a:latin typeface="+mn-lt"/>
            </a:rPr>
            <a:t> SPA</a:t>
          </a:r>
          <a:r>
            <a:rPr lang="es-CL" sz="900" baseline="0">
              <a:solidFill>
                <a:schemeClr val="bg1"/>
              </a:solidFill>
              <a:latin typeface="+mn-lt"/>
            </a:rPr>
            <a:t>| </a:t>
          </a:r>
          <a:r>
            <a:rPr lang="en-001" sz="900" baseline="0">
              <a:solidFill>
                <a:schemeClr val="bg1"/>
              </a:solidFill>
              <a:latin typeface="+mn-lt"/>
            </a:rPr>
            <a:t>contacto@j2publicidad.com</a:t>
          </a:r>
          <a:r>
            <a:rPr lang="es-CL" sz="900">
              <a:solidFill>
                <a:schemeClr val="bg1"/>
              </a:solidFill>
              <a:latin typeface="+mn-lt"/>
            </a:rPr>
            <a:t>|(+569)</a:t>
          </a:r>
          <a:r>
            <a:rPr lang="es-CL" sz="900" baseline="0">
              <a:solidFill>
                <a:schemeClr val="bg1"/>
              </a:solidFill>
              <a:latin typeface="+mn-lt"/>
            </a:rPr>
            <a:t> </a:t>
          </a:r>
          <a:r>
            <a:rPr lang="en-001" sz="900" baseline="0">
              <a:solidFill>
                <a:schemeClr val="bg1"/>
              </a:solidFill>
              <a:latin typeface="+mn-lt"/>
            </a:rPr>
            <a:t>4966 1782</a:t>
          </a:r>
          <a:endParaRPr lang="es-CL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5</xdr:col>
      <xdr:colOff>102577</xdr:colOff>
      <xdr:row>5</xdr:row>
      <xdr:rowOff>3160</xdr:rowOff>
    </xdr:from>
    <xdr:to>
      <xdr:col>8</xdr:col>
      <xdr:colOff>124559</xdr:colOff>
      <xdr:row>9</xdr:row>
      <xdr:rowOff>45255</xdr:rowOff>
    </xdr:to>
    <xdr:sp macro="[0]!ExportarCotizacionPDF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144AD712-25E3-47E1-BD83-15698406C5BA}"/>
            </a:ext>
          </a:extLst>
        </xdr:cNvPr>
        <xdr:cNvSpPr/>
      </xdr:nvSpPr>
      <xdr:spPr>
        <a:xfrm>
          <a:off x="7400192" y="1050910"/>
          <a:ext cx="1392117" cy="716172"/>
        </a:xfrm>
        <a:prstGeom prst="roundRect">
          <a:avLst/>
        </a:prstGeom>
        <a:solidFill>
          <a:srgbClr val="FF0000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chemeClr val="bg1"/>
              </a:solidFill>
            </a:rPr>
            <a:t>EXPORTAR</a:t>
          </a:r>
        </a:p>
      </xdr:txBody>
    </xdr:sp>
    <xdr:clientData/>
  </xdr:twoCellAnchor>
  <xdr:twoCellAnchor editAs="oneCell">
    <xdr:from>
      <xdr:col>2</xdr:col>
      <xdr:colOff>1936524</xdr:colOff>
      <xdr:row>1</xdr:row>
      <xdr:rowOff>126999</xdr:rowOff>
    </xdr:from>
    <xdr:to>
      <xdr:col>3</xdr:col>
      <xdr:colOff>472656</xdr:colOff>
      <xdr:row>3</xdr:row>
      <xdr:rowOff>215497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562DF309-55E7-11AA-F9F8-CA1B81D2A7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471" b="24911"/>
        <a:stretch/>
      </xdr:blipFill>
      <xdr:spPr>
        <a:xfrm>
          <a:off x="2861810" y="308428"/>
          <a:ext cx="1919775" cy="542069"/>
        </a:xfrm>
        <a:prstGeom prst="rect">
          <a:avLst/>
        </a:prstGeom>
      </xdr:spPr>
    </xdr:pic>
    <xdr:clientData/>
  </xdr:twoCellAnchor>
  <xdr:twoCellAnchor editAs="oneCell">
    <xdr:from>
      <xdr:col>2</xdr:col>
      <xdr:colOff>399143</xdr:colOff>
      <xdr:row>1</xdr:row>
      <xdr:rowOff>185431</xdr:rowOff>
    </xdr:from>
    <xdr:to>
      <xdr:col>2</xdr:col>
      <xdr:colOff>1725009</xdr:colOff>
      <xdr:row>3</xdr:row>
      <xdr:rowOff>164863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80C8CAB-4ACD-80D2-3579-954681AD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4429" y="366860"/>
          <a:ext cx="1325866" cy="4330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isclaimer-Smartsheet-Templates_Solution1-Tab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intenance Work Order"/>
      <sheetName val="BLANK - Maintenance Work Order "/>
      <sheetName val="- Disclaimer -"/>
    </sheetNames>
    <sheetDataSet>
      <sheetData sheetId="0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646B86"/>
      </a:dk2>
      <a:lt2>
        <a:srgbClr val="C5D1D7"/>
      </a:lt2>
      <a:accent1>
        <a:srgbClr val="D16349"/>
      </a:accent1>
      <a:accent2>
        <a:srgbClr val="CCB400"/>
      </a:accent2>
      <a:accent3>
        <a:srgbClr val="436784"/>
      </a:accent3>
      <a:accent4>
        <a:srgbClr val="8C7B70"/>
      </a:accent4>
      <a:accent5>
        <a:srgbClr val="3C81BA"/>
      </a:accent5>
      <a:accent6>
        <a:srgbClr val="F1FAFD"/>
      </a:accent6>
      <a:hlink>
        <a:srgbClr val="00A3D6"/>
      </a:hlink>
      <a:folHlink>
        <a:srgbClr val="694F07"/>
      </a:folHlink>
    </a:clrScheme>
    <a:fontScheme name="Century Gothic">
      <a:maj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F03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6"/>
    <pageSetUpPr fitToPage="1"/>
  </sheetPr>
  <dimension ref="B1:M52"/>
  <sheetViews>
    <sheetView showGridLines="0" tabSelected="1" zoomScale="105" zoomScaleNormal="105" workbookViewId="0">
      <selection activeCell="C7" sqref="C7"/>
    </sheetView>
  </sheetViews>
  <sheetFormatPr baseColWidth="10" defaultColWidth="9.140625" defaultRowHeight="13.5" x14ac:dyDescent="0.25"/>
  <cols>
    <col min="1" max="1" width="6.42578125" style="1" customWidth="1"/>
    <col min="2" max="2" width="7.42578125" style="1" customWidth="1"/>
    <col min="3" max="3" width="50.7109375" style="1" customWidth="1"/>
    <col min="4" max="4" width="13.7109375" style="1" customWidth="1"/>
    <col min="5" max="5" width="32.85546875" style="1" customWidth="1"/>
    <col min="6" max="6" width="2.28515625" style="1" customWidth="1"/>
    <col min="7" max="16384" width="9.140625" style="1"/>
  </cols>
  <sheetData>
    <row r="1" spans="2:13" ht="14.25" thickBot="1" x14ac:dyDescent="0.3"/>
    <row r="2" spans="2:13" ht="18" x14ac:dyDescent="0.25">
      <c r="B2" s="14"/>
      <c r="C2" s="15"/>
      <c r="D2" s="15"/>
      <c r="E2" s="49" t="s">
        <v>679</v>
      </c>
    </row>
    <row r="3" spans="2:13" ht="18" x14ac:dyDescent="0.25">
      <c r="B3" s="16"/>
      <c r="C3" s="12"/>
      <c r="D3" s="12"/>
      <c r="E3" s="50"/>
    </row>
    <row r="4" spans="2:13" ht="18" x14ac:dyDescent="0.25">
      <c r="B4" s="17"/>
      <c r="C4" s="13"/>
      <c r="D4" s="13"/>
      <c r="E4" s="50"/>
    </row>
    <row r="5" spans="2:13" s="2" customFormat="1" ht="15" thickBot="1" x14ac:dyDescent="0.35">
      <c r="B5" s="36"/>
      <c r="C5" s="37"/>
      <c r="D5" s="37"/>
      <c r="E5" s="50"/>
    </row>
    <row r="6" spans="2:13" s="2" customFormat="1" x14ac:dyDescent="0.3">
      <c r="B6" s="38"/>
      <c r="C6" s="39"/>
      <c r="D6" s="40"/>
      <c r="E6" s="41"/>
    </row>
    <row r="7" spans="2:13" s="2" customFormat="1" ht="14.25" x14ac:dyDescent="0.3">
      <c r="B7" s="24" t="s">
        <v>9</v>
      </c>
      <c r="C7" s="46"/>
      <c r="D7" s="42"/>
      <c r="E7" s="23" t="s">
        <v>5</v>
      </c>
    </row>
    <row r="8" spans="2:13" s="2" customFormat="1" ht="14.25" x14ac:dyDescent="0.3">
      <c r="B8" s="24" t="s">
        <v>10</v>
      </c>
      <c r="C8" s="47" t="str">
        <f>IFERROR(VLOOKUP(TRIM(C7),Hoja3!C:D,2,FALSE),"")</f>
        <v/>
      </c>
      <c r="D8" s="42"/>
      <c r="E8" s="23" t="s">
        <v>794</v>
      </c>
    </row>
    <row r="9" spans="2:13" s="3" customFormat="1" ht="14.25" x14ac:dyDescent="0.2">
      <c r="B9" s="24" t="s">
        <v>6</v>
      </c>
      <c r="C9" s="46"/>
      <c r="D9" s="42"/>
      <c r="E9" s="35">
        <f ca="1">TODAY()</f>
        <v>46190</v>
      </c>
    </row>
    <row r="10" spans="2:13" s="3" customFormat="1" ht="15" thickBot="1" x14ac:dyDescent="0.25">
      <c r="B10" s="43"/>
      <c r="C10" s="44"/>
      <c r="D10" s="44"/>
      <c r="E10" s="45"/>
    </row>
    <row r="11" spans="2:13" s="3" customFormat="1" ht="14.25" thickBot="1" x14ac:dyDescent="0.25">
      <c r="B11" s="60" t="s">
        <v>8</v>
      </c>
      <c r="C11" s="61"/>
      <c r="D11" s="61"/>
      <c r="E11" s="62"/>
    </row>
    <row r="12" spans="2:13" s="3" customFormat="1" ht="30" customHeight="1" thickBot="1" x14ac:dyDescent="0.25">
      <c r="B12" s="63"/>
      <c r="C12" s="64"/>
      <c r="D12" s="64"/>
      <c r="E12" s="65"/>
    </row>
    <row r="13" spans="2:13" ht="14.25" x14ac:dyDescent="0.25">
      <c r="B13" s="25" t="s">
        <v>11</v>
      </c>
      <c r="C13" s="26" t="s">
        <v>0</v>
      </c>
      <c r="D13" s="27" t="s">
        <v>7</v>
      </c>
      <c r="E13" s="28" t="s">
        <v>3</v>
      </c>
    </row>
    <row r="14" spans="2:13" ht="14.25" x14ac:dyDescent="0.25">
      <c r="B14" s="20"/>
      <c r="C14" s="11"/>
      <c r="D14" s="9"/>
      <c r="E14" s="19">
        <f>+Cotización!$B14*Cotización!$D14</f>
        <v>0</v>
      </c>
      <c r="M14"/>
    </row>
    <row r="15" spans="2:13" ht="14.25" x14ac:dyDescent="0.25">
      <c r="B15" s="20"/>
      <c r="C15" s="11"/>
      <c r="D15" s="9"/>
      <c r="E15" s="21">
        <f>+Cotización!$B15*Cotización!$D15</f>
        <v>0</v>
      </c>
    </row>
    <row r="16" spans="2:13" ht="14.25" x14ac:dyDescent="0.25">
      <c r="B16" s="20"/>
      <c r="C16" s="11"/>
      <c r="D16" s="9"/>
      <c r="E16" s="21">
        <f>+Cotización!$B16*Cotización!$D16</f>
        <v>0</v>
      </c>
    </row>
    <row r="17" spans="2:5" ht="14.25" x14ac:dyDescent="0.25">
      <c r="B17" s="18"/>
      <c r="C17" s="11"/>
      <c r="D17" s="9"/>
      <c r="E17" s="21">
        <f>+Cotización!$B17*Cotización!$D17</f>
        <v>0</v>
      </c>
    </row>
    <row r="18" spans="2:5" ht="14.25" x14ac:dyDescent="0.25">
      <c r="B18" s="20"/>
      <c r="C18" s="11"/>
      <c r="D18" s="9"/>
      <c r="E18" s="21">
        <f>+Cotización!$B18*Cotización!$D18</f>
        <v>0</v>
      </c>
    </row>
    <row r="19" spans="2:5" ht="14.25" x14ac:dyDescent="0.25">
      <c r="B19" s="20"/>
      <c r="C19" s="48"/>
      <c r="D19" s="9"/>
      <c r="E19" s="21">
        <f>+Cotización!$B19*Cotización!$D19</f>
        <v>0</v>
      </c>
    </row>
    <row r="20" spans="2:5" ht="14.25" x14ac:dyDescent="0.25">
      <c r="B20" s="20"/>
      <c r="C20" s="48"/>
      <c r="D20" s="9"/>
      <c r="E20" s="21">
        <f>+Cotización!$B20*Cotización!$D20</f>
        <v>0</v>
      </c>
    </row>
    <row r="21" spans="2:5" ht="14.25" x14ac:dyDescent="0.25">
      <c r="B21" s="20"/>
      <c r="C21" s="11"/>
      <c r="D21" s="9"/>
      <c r="E21" s="21">
        <f>+Cotización!$B21*Cotización!$D21</f>
        <v>0</v>
      </c>
    </row>
    <row r="22" spans="2:5" ht="14.25" x14ac:dyDescent="0.25">
      <c r="B22" s="20"/>
      <c r="C22" s="48"/>
      <c r="D22" s="9"/>
      <c r="E22" s="21">
        <f>+Cotización!$B22*Cotización!$D22</f>
        <v>0</v>
      </c>
    </row>
    <row r="23" spans="2:5" ht="14.25" x14ac:dyDescent="0.25">
      <c r="B23" s="20"/>
      <c r="C23" s="48"/>
      <c r="D23" s="9"/>
      <c r="E23" s="21">
        <f>+Cotización!$B23*Cotización!$D23</f>
        <v>0</v>
      </c>
    </row>
    <row r="24" spans="2:5" ht="14.25" x14ac:dyDescent="0.25">
      <c r="B24" s="20"/>
      <c r="C24" s="48"/>
      <c r="D24" s="9"/>
      <c r="E24" s="21">
        <f>+Cotización!$B24*Cotización!$D24</f>
        <v>0</v>
      </c>
    </row>
    <row r="25" spans="2:5" ht="14.25" x14ac:dyDescent="0.25">
      <c r="B25" s="20"/>
      <c r="C25" s="48"/>
      <c r="D25" s="9"/>
      <c r="E25" s="21">
        <f>+Cotización!$B25*Cotización!$D25</f>
        <v>0</v>
      </c>
    </row>
    <row r="26" spans="2:5" ht="14.25" x14ac:dyDescent="0.25">
      <c r="B26" s="20"/>
      <c r="C26" s="48"/>
      <c r="D26" s="9"/>
      <c r="E26" s="21">
        <f>+Cotización!$B26*Cotización!$D26</f>
        <v>0</v>
      </c>
    </row>
    <row r="27" spans="2:5" ht="14.25" x14ac:dyDescent="0.25">
      <c r="B27" s="20"/>
      <c r="C27" s="48"/>
      <c r="D27" s="9"/>
      <c r="E27" s="21">
        <f>+Cotización!$B27*Cotización!$D27</f>
        <v>0</v>
      </c>
    </row>
    <row r="28" spans="2:5" ht="14.25" x14ac:dyDescent="0.25">
      <c r="B28" s="20"/>
      <c r="C28" s="48"/>
      <c r="D28" s="9"/>
      <c r="E28" s="21">
        <f>+Cotización!$B28*Cotización!$D28</f>
        <v>0</v>
      </c>
    </row>
    <row r="29" spans="2:5" ht="14.25" x14ac:dyDescent="0.25">
      <c r="B29" s="20"/>
      <c r="C29" s="48"/>
      <c r="D29" s="9"/>
      <c r="E29" s="21">
        <f>+Cotización!$B29*Cotización!$D29</f>
        <v>0</v>
      </c>
    </row>
    <row r="30" spans="2:5" ht="14.25" x14ac:dyDescent="0.25">
      <c r="B30" s="20"/>
      <c r="C30" s="48"/>
      <c r="D30" s="9"/>
      <c r="E30" s="21">
        <f>+Cotización!$B30*Cotización!$D30</f>
        <v>0</v>
      </c>
    </row>
    <row r="31" spans="2:5" ht="14.25" x14ac:dyDescent="0.25">
      <c r="B31" s="20"/>
      <c r="C31" s="48"/>
      <c r="D31" s="9"/>
      <c r="E31" s="21">
        <f>+Cotización!$B31*Cotización!$D31</f>
        <v>0</v>
      </c>
    </row>
    <row r="32" spans="2:5" ht="14.25" x14ac:dyDescent="0.25">
      <c r="B32" s="20"/>
      <c r="C32" s="48"/>
      <c r="D32" s="9"/>
      <c r="E32" s="21">
        <f>+Cotización!$B32*Cotización!$D32</f>
        <v>0</v>
      </c>
    </row>
    <row r="33" spans="2:5" ht="14.25" x14ac:dyDescent="0.25">
      <c r="B33" s="20"/>
      <c r="C33" s="48"/>
      <c r="D33" s="9"/>
      <c r="E33" s="21">
        <f>+Cotización!$B33*Cotización!$D33</f>
        <v>0</v>
      </c>
    </row>
    <row r="34" spans="2:5" ht="14.25" x14ac:dyDescent="0.25">
      <c r="B34" s="20"/>
      <c r="C34" s="48"/>
      <c r="D34" s="9"/>
      <c r="E34" s="21">
        <f>+Cotización!$B34*Cotización!$D34</f>
        <v>0</v>
      </c>
    </row>
    <row r="35" spans="2:5" ht="14.25" x14ac:dyDescent="0.25">
      <c r="B35" s="20"/>
      <c r="C35" s="11"/>
      <c r="D35" s="9"/>
      <c r="E35" s="21">
        <f>+Cotización!$B35*Cotización!$D35</f>
        <v>0</v>
      </c>
    </row>
    <row r="36" spans="2:5" ht="14.25" x14ac:dyDescent="0.25">
      <c r="B36" s="20"/>
      <c r="C36" s="11"/>
      <c r="D36" s="9"/>
      <c r="E36" s="21">
        <f>+Cotización!$B36*Cotización!$D36</f>
        <v>0</v>
      </c>
    </row>
    <row r="37" spans="2:5" ht="14.25" x14ac:dyDescent="0.25">
      <c r="B37" s="20"/>
      <c r="C37" s="11"/>
      <c r="D37" s="9"/>
      <c r="E37" s="21">
        <f>+Cotización!$B37*Cotización!$D37</f>
        <v>0</v>
      </c>
    </row>
    <row r="38" spans="2:5" ht="14.25" x14ac:dyDescent="0.25">
      <c r="B38" s="20"/>
      <c r="C38" s="10"/>
      <c r="D38" s="9"/>
      <c r="E38" s="21">
        <f>+Cotización!$B38*Cotización!$D38</f>
        <v>0</v>
      </c>
    </row>
    <row r="39" spans="2:5" ht="14.25" x14ac:dyDescent="0.25">
      <c r="B39" s="20"/>
      <c r="C39" s="10"/>
      <c r="D39" s="9"/>
      <c r="E39" s="21">
        <f>+Cotización!$B39*Cotización!$D39</f>
        <v>0</v>
      </c>
    </row>
    <row r="40" spans="2:5" ht="14.25" x14ac:dyDescent="0.25">
      <c r="B40" s="20"/>
      <c r="C40" s="10"/>
      <c r="D40" s="9"/>
      <c r="E40" s="21">
        <f>+Cotización!$B40*Cotización!$D40</f>
        <v>0</v>
      </c>
    </row>
    <row r="41" spans="2:5" ht="14.25" x14ac:dyDescent="0.25">
      <c r="B41" s="20"/>
      <c r="C41" s="10"/>
      <c r="D41" s="9"/>
      <c r="E41" s="21">
        <f>+Cotización!$B41*Cotización!$D41</f>
        <v>0</v>
      </c>
    </row>
    <row r="42" spans="2:5" x14ac:dyDescent="0.25">
      <c r="B42" s="52"/>
      <c r="C42" s="53"/>
      <c r="D42" s="7" t="s">
        <v>1</v>
      </c>
      <c r="E42" s="29">
        <f>SUBTOTAL(109,E14:E41)</f>
        <v>0</v>
      </c>
    </row>
    <row r="43" spans="2:5" x14ac:dyDescent="0.25">
      <c r="B43" s="52"/>
      <c r="C43" s="53"/>
      <c r="D43" s="7" t="s">
        <v>4</v>
      </c>
      <c r="E43" s="22">
        <f>E42*0.19</f>
        <v>0</v>
      </c>
    </row>
    <row r="44" spans="2:5" x14ac:dyDescent="0.25">
      <c r="B44" s="52"/>
      <c r="C44" s="53"/>
      <c r="D44" s="8" t="s">
        <v>2</v>
      </c>
      <c r="E44" s="30">
        <f>+SUM(E42:E43)</f>
        <v>0</v>
      </c>
    </row>
    <row r="45" spans="2:5" x14ac:dyDescent="0.25">
      <c r="B45" s="52"/>
      <c r="C45" s="53"/>
      <c r="D45" s="54"/>
      <c r="E45" s="55"/>
    </row>
    <row r="46" spans="2:5" s="6" customFormat="1" x14ac:dyDescent="0.25">
      <c r="B46" s="52"/>
      <c r="C46" s="53"/>
      <c r="D46" s="56"/>
      <c r="E46" s="57"/>
    </row>
    <row r="47" spans="2:5" x14ac:dyDescent="0.25">
      <c r="B47" s="52"/>
      <c r="C47" s="53"/>
      <c r="D47" s="58"/>
      <c r="E47" s="59"/>
    </row>
    <row r="48" spans="2:5" ht="27.75" customHeight="1" thickBot="1" x14ac:dyDescent="0.35">
      <c r="B48" s="31"/>
      <c r="C48" s="32"/>
      <c r="D48" s="32"/>
      <c r="E48" s="33"/>
    </row>
    <row r="49" spans="2:5" x14ac:dyDescent="0.25">
      <c r="C49" s="51"/>
      <c r="D49" s="51"/>
    </row>
    <row r="50" spans="2:5" x14ac:dyDescent="0.25">
      <c r="C50" s="4"/>
      <c r="D50" s="4"/>
    </row>
    <row r="52" spans="2:5" x14ac:dyDescent="0.25">
      <c r="B52" s="5"/>
      <c r="C52" s="5"/>
      <c r="D52" s="5"/>
      <c r="E52" s="5"/>
    </row>
  </sheetData>
  <protectedRanges>
    <protectedRange algorithmName="SHA-512" hashValue="XUYKoPBPunDmXmOrR3PCAx4oUwWYmIwffPBbF2RmfO9nCHPOL/TlWpiS3ZXMKBbrRGHvSEZiLakCO0JszDwIpQ==" saltValue="c5BB43Hp/1edHsYDc2M12g==" spinCount="100000" sqref="B5:B6 E8 D34:D41 C26:C27 C30:C41 B18:B41" name="DATOS"/>
    <protectedRange algorithmName="SHA-512" hashValue="XUYKoPBPunDmXmOrR3PCAx4oUwWYmIwffPBbF2RmfO9nCHPOL/TlWpiS3ZXMKBbrRGHvSEZiLakCO0JszDwIpQ==" saltValue="c5BB43Hp/1edHsYDc2M12g==" spinCount="100000" sqref="D15:D33 B15:C16 B14:D14 C17:C25" name="DATOS_2"/>
    <protectedRange algorithmName="SHA-512" hashValue="XUYKoPBPunDmXmOrR3PCAx4oUwWYmIwffPBbF2RmfO9nCHPOL/TlWpiS3ZXMKBbrRGHvSEZiLakCO0JszDwIpQ==" saltValue="c5BB43Hp/1edHsYDc2M12g==" spinCount="100000" sqref="B17" name="DATOS_4"/>
  </protectedRanges>
  <mergeCells count="6">
    <mergeCell ref="E2:E5"/>
    <mergeCell ref="C49:D49"/>
    <mergeCell ref="B42:C47"/>
    <mergeCell ref="D45:E47"/>
    <mergeCell ref="B11:E11"/>
    <mergeCell ref="B12:E12"/>
  </mergeCells>
  <phoneticPr fontId="3" type="noConversion"/>
  <printOptions horizontalCentered="1" verticalCentered="1"/>
  <pageMargins left="0.06" right="0" top="0.47" bottom="0.74803149606299213" header="0.31496062992125984" footer="0.31496062992125984"/>
  <pageSetup paperSize="9" scale="9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16542BC8-5DF4-4A5F-A45F-93126BCC2820}">
          <x14:formula1>
            <xm:f>Hoja3!$C$6:$C$1500</xm:f>
          </x14:formula1>
          <xm:sqref>C7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BF2EC-EE5F-4F49-93C3-9C75D0FF156F}">
  <sheetPr codeName="Hoja2"/>
  <dimension ref="C4:D411"/>
  <sheetViews>
    <sheetView workbookViewId="0">
      <selection activeCell="C23" sqref="C23"/>
    </sheetView>
  </sheetViews>
  <sheetFormatPr baseColWidth="10" defaultRowHeight="12.75" x14ac:dyDescent="0.2"/>
  <cols>
    <col min="3" max="3" width="82.5703125" bestFit="1" customWidth="1"/>
  </cols>
  <sheetData>
    <row r="4" spans="3:4" x14ac:dyDescent="0.2">
      <c r="C4" s="66" t="s">
        <v>14</v>
      </c>
      <c r="D4" s="66"/>
    </row>
    <row r="5" spans="3:4" x14ac:dyDescent="0.2">
      <c r="C5" s="34" t="s">
        <v>15</v>
      </c>
      <c r="D5" s="34" t="s">
        <v>13</v>
      </c>
    </row>
    <row r="6" spans="3:4" x14ac:dyDescent="0.2">
      <c r="C6" t="s">
        <v>81</v>
      </c>
      <c r="D6" t="s">
        <v>394</v>
      </c>
    </row>
    <row r="7" spans="3:4" x14ac:dyDescent="0.2">
      <c r="C7" t="s">
        <v>290</v>
      </c>
      <c r="D7" t="s">
        <v>616</v>
      </c>
    </row>
    <row r="8" spans="3:4" x14ac:dyDescent="0.2">
      <c r="C8" t="s">
        <v>283</v>
      </c>
      <c r="D8" t="s">
        <v>607</v>
      </c>
    </row>
    <row r="9" spans="3:4" x14ac:dyDescent="0.2">
      <c r="C9" t="s">
        <v>240</v>
      </c>
      <c r="D9" t="s">
        <v>561</v>
      </c>
    </row>
    <row r="10" spans="3:4" x14ac:dyDescent="0.2">
      <c r="C10" t="s">
        <v>25</v>
      </c>
      <c r="D10" t="s">
        <v>337</v>
      </c>
    </row>
    <row r="11" spans="3:4" x14ac:dyDescent="0.2">
      <c r="C11" t="s">
        <v>300</v>
      </c>
      <c r="D11" t="s">
        <v>627</v>
      </c>
    </row>
    <row r="12" spans="3:4" x14ac:dyDescent="0.2">
      <c r="C12" t="s">
        <v>184</v>
      </c>
      <c r="D12" t="s">
        <v>504</v>
      </c>
    </row>
    <row r="13" spans="3:4" x14ac:dyDescent="0.2">
      <c r="C13" t="s">
        <v>86</v>
      </c>
      <c r="D13" t="s">
        <v>399</v>
      </c>
    </row>
    <row r="14" spans="3:4" x14ac:dyDescent="0.2">
      <c r="C14" t="s">
        <v>208</v>
      </c>
      <c r="D14" t="s">
        <v>528</v>
      </c>
    </row>
    <row r="15" spans="3:4" x14ac:dyDescent="0.2">
      <c r="C15" t="s">
        <v>147</v>
      </c>
      <c r="D15" t="s">
        <v>463</v>
      </c>
    </row>
    <row r="16" spans="3:4" x14ac:dyDescent="0.2">
      <c r="C16" t="s">
        <v>259</v>
      </c>
      <c r="D16" t="s">
        <v>581</v>
      </c>
    </row>
    <row r="17" spans="3:4" x14ac:dyDescent="0.2">
      <c r="C17" t="s">
        <v>60</v>
      </c>
      <c r="D17" t="s">
        <v>373</v>
      </c>
    </row>
    <row r="18" spans="3:4" x14ac:dyDescent="0.2">
      <c r="C18" t="s">
        <v>107</v>
      </c>
      <c r="D18" t="s">
        <v>422</v>
      </c>
    </row>
    <row r="19" spans="3:4" x14ac:dyDescent="0.2">
      <c r="C19" t="s">
        <v>170</v>
      </c>
      <c r="D19" t="s">
        <v>487</v>
      </c>
    </row>
    <row r="20" spans="3:4" x14ac:dyDescent="0.2">
      <c r="C20" t="s">
        <v>293</v>
      </c>
      <c r="D20" t="s">
        <v>620</v>
      </c>
    </row>
    <row r="21" spans="3:4" x14ac:dyDescent="0.2">
      <c r="C21" t="s">
        <v>246</v>
      </c>
      <c r="D21" t="s">
        <v>568</v>
      </c>
    </row>
    <row r="22" spans="3:4" x14ac:dyDescent="0.2">
      <c r="C22" t="s">
        <v>38</v>
      </c>
      <c r="D22" t="s">
        <v>351</v>
      </c>
    </row>
    <row r="23" spans="3:4" x14ac:dyDescent="0.2">
      <c r="C23" t="s">
        <v>33</v>
      </c>
      <c r="D23" t="s">
        <v>346</v>
      </c>
    </row>
    <row r="24" spans="3:4" x14ac:dyDescent="0.2">
      <c r="C24" t="s">
        <v>320</v>
      </c>
      <c r="D24" t="s">
        <v>649</v>
      </c>
    </row>
    <row r="25" spans="3:4" x14ac:dyDescent="0.2">
      <c r="C25" t="s">
        <v>327</v>
      </c>
      <c r="D25" t="s">
        <v>645</v>
      </c>
    </row>
    <row r="26" spans="3:4" x14ac:dyDescent="0.2">
      <c r="C26" t="s">
        <v>303</v>
      </c>
      <c r="D26" t="s">
        <v>630</v>
      </c>
    </row>
    <row r="27" spans="3:4" x14ac:dyDescent="0.2">
      <c r="C27" t="s">
        <v>168</v>
      </c>
      <c r="D27" t="s">
        <v>485</v>
      </c>
    </row>
    <row r="28" spans="3:4" x14ac:dyDescent="0.2">
      <c r="C28" t="s">
        <v>227</v>
      </c>
      <c r="D28" t="s">
        <v>547</v>
      </c>
    </row>
    <row r="29" spans="3:4" x14ac:dyDescent="0.2">
      <c r="C29" t="s">
        <v>278</v>
      </c>
      <c r="D29" t="s">
        <v>601</v>
      </c>
    </row>
    <row r="30" spans="3:4" x14ac:dyDescent="0.2">
      <c r="C30" t="s">
        <v>101</v>
      </c>
      <c r="D30" t="s">
        <v>416</v>
      </c>
    </row>
    <row r="31" spans="3:4" x14ac:dyDescent="0.2">
      <c r="C31" t="s">
        <v>261</v>
      </c>
      <c r="D31" t="s">
        <v>583</v>
      </c>
    </row>
    <row r="32" spans="3:4" x14ac:dyDescent="0.2">
      <c r="C32" t="s">
        <v>260</v>
      </c>
      <c r="D32" t="s">
        <v>582</v>
      </c>
    </row>
    <row r="33" spans="3:4" x14ac:dyDescent="0.2">
      <c r="C33" t="s">
        <v>82</v>
      </c>
      <c r="D33" t="s">
        <v>395</v>
      </c>
    </row>
    <row r="34" spans="3:4" x14ac:dyDescent="0.2">
      <c r="C34" t="s">
        <v>41</v>
      </c>
      <c r="D34" t="s">
        <v>354</v>
      </c>
    </row>
    <row r="35" spans="3:4" x14ac:dyDescent="0.2">
      <c r="C35" t="s">
        <v>20</v>
      </c>
      <c r="D35" t="s">
        <v>332</v>
      </c>
    </row>
    <row r="36" spans="3:4" x14ac:dyDescent="0.2">
      <c r="C36" t="s">
        <v>305</v>
      </c>
      <c r="D36" t="s">
        <v>632</v>
      </c>
    </row>
    <row r="37" spans="3:4" x14ac:dyDescent="0.2">
      <c r="C37" t="s">
        <v>318</v>
      </c>
      <c r="D37" t="s">
        <v>647</v>
      </c>
    </row>
    <row r="38" spans="3:4" x14ac:dyDescent="0.2">
      <c r="C38" t="s">
        <v>664</v>
      </c>
      <c r="D38" t="s">
        <v>603</v>
      </c>
    </row>
    <row r="39" spans="3:4" x14ac:dyDescent="0.2">
      <c r="C39" t="s">
        <v>103</v>
      </c>
      <c r="D39" t="s">
        <v>418</v>
      </c>
    </row>
    <row r="40" spans="3:4" x14ac:dyDescent="0.2">
      <c r="C40" t="s">
        <v>671</v>
      </c>
      <c r="D40" t="s">
        <v>670</v>
      </c>
    </row>
    <row r="41" spans="3:4" x14ac:dyDescent="0.2">
      <c r="C41" t="s">
        <v>218</v>
      </c>
      <c r="D41" t="s">
        <v>538</v>
      </c>
    </row>
    <row r="42" spans="3:4" x14ac:dyDescent="0.2">
      <c r="C42" t="s">
        <v>58</v>
      </c>
      <c r="D42" t="s">
        <v>371</v>
      </c>
    </row>
    <row r="43" spans="3:4" x14ac:dyDescent="0.2">
      <c r="C43" t="s">
        <v>112</v>
      </c>
      <c r="D43" t="s">
        <v>427</v>
      </c>
    </row>
    <row r="44" spans="3:4" x14ac:dyDescent="0.2">
      <c r="C44" t="s">
        <v>52</v>
      </c>
      <c r="D44" t="s">
        <v>365</v>
      </c>
    </row>
    <row r="45" spans="3:4" x14ac:dyDescent="0.2">
      <c r="C45" t="s">
        <v>661</v>
      </c>
      <c r="D45" t="s">
        <v>503</v>
      </c>
    </row>
    <row r="46" spans="3:4" x14ac:dyDescent="0.2">
      <c r="C46" t="s">
        <v>47</v>
      </c>
      <c r="D46" t="s">
        <v>360</v>
      </c>
    </row>
    <row r="47" spans="3:4" x14ac:dyDescent="0.2">
      <c r="C47" t="s">
        <v>89</v>
      </c>
      <c r="D47" t="s">
        <v>402</v>
      </c>
    </row>
    <row r="48" spans="3:4" x14ac:dyDescent="0.2">
      <c r="C48" t="s">
        <v>274</v>
      </c>
      <c r="D48" t="s">
        <v>597</v>
      </c>
    </row>
    <row r="49" spans="3:4" x14ac:dyDescent="0.2">
      <c r="C49" t="s">
        <v>190</v>
      </c>
      <c r="D49" t="s">
        <v>510</v>
      </c>
    </row>
    <row r="50" spans="3:4" x14ac:dyDescent="0.2">
      <c r="C50" t="s">
        <v>669</v>
      </c>
      <c r="D50" t="s">
        <v>670</v>
      </c>
    </row>
    <row r="51" spans="3:4" x14ac:dyDescent="0.2">
      <c r="C51" t="s">
        <v>297</v>
      </c>
      <c r="D51" t="s">
        <v>624</v>
      </c>
    </row>
    <row r="52" spans="3:4" x14ac:dyDescent="0.2">
      <c r="C52" t="s">
        <v>214</v>
      </c>
      <c r="D52" t="s">
        <v>534</v>
      </c>
    </row>
    <row r="53" spans="3:4" x14ac:dyDescent="0.2">
      <c r="C53" t="s">
        <v>302</v>
      </c>
      <c r="D53" t="s">
        <v>629</v>
      </c>
    </row>
    <row r="54" spans="3:4" x14ac:dyDescent="0.2">
      <c r="C54" t="s">
        <v>115</v>
      </c>
      <c r="D54" t="s">
        <v>431</v>
      </c>
    </row>
    <row r="55" spans="3:4" x14ac:dyDescent="0.2">
      <c r="C55" t="s">
        <v>93</v>
      </c>
      <c r="D55" t="s">
        <v>407</v>
      </c>
    </row>
    <row r="56" spans="3:4" x14ac:dyDescent="0.2">
      <c r="C56" t="s">
        <v>163</v>
      </c>
      <c r="D56" t="s">
        <v>480</v>
      </c>
    </row>
    <row r="57" spans="3:4" x14ac:dyDescent="0.2">
      <c r="C57" t="s">
        <v>161</v>
      </c>
      <c r="D57" t="s">
        <v>478</v>
      </c>
    </row>
    <row r="58" spans="3:4" x14ac:dyDescent="0.2">
      <c r="C58" t="s">
        <v>307</v>
      </c>
      <c r="D58" t="s">
        <v>634</v>
      </c>
    </row>
    <row r="59" spans="3:4" x14ac:dyDescent="0.2">
      <c r="C59" t="s">
        <v>80</v>
      </c>
      <c r="D59" t="s">
        <v>393</v>
      </c>
    </row>
    <row r="60" spans="3:4" x14ac:dyDescent="0.2">
      <c r="C60" t="s">
        <v>658</v>
      </c>
      <c r="D60" t="s">
        <v>467</v>
      </c>
    </row>
    <row r="61" spans="3:4" x14ac:dyDescent="0.2">
      <c r="C61" t="s">
        <v>57</v>
      </c>
      <c r="D61" t="s">
        <v>370</v>
      </c>
    </row>
    <row r="62" spans="3:4" x14ac:dyDescent="0.2">
      <c r="C62" t="s">
        <v>192</v>
      </c>
      <c r="D62" t="s">
        <v>512</v>
      </c>
    </row>
    <row r="63" spans="3:4" x14ac:dyDescent="0.2">
      <c r="C63" t="s">
        <v>134</v>
      </c>
      <c r="D63" t="s">
        <v>450</v>
      </c>
    </row>
    <row r="64" spans="3:4" x14ac:dyDescent="0.2">
      <c r="C64" t="s">
        <v>267</v>
      </c>
      <c r="D64" t="s">
        <v>589</v>
      </c>
    </row>
    <row r="65" spans="3:4" x14ac:dyDescent="0.2">
      <c r="C65" t="s">
        <v>289</v>
      </c>
      <c r="D65" t="s">
        <v>615</v>
      </c>
    </row>
    <row r="66" spans="3:4" x14ac:dyDescent="0.2">
      <c r="C66" t="s">
        <v>71</v>
      </c>
      <c r="D66" t="s">
        <v>384</v>
      </c>
    </row>
    <row r="67" spans="3:4" x14ac:dyDescent="0.2">
      <c r="C67" t="s">
        <v>316</v>
      </c>
      <c r="D67" t="s">
        <v>644</v>
      </c>
    </row>
    <row r="68" spans="3:4" x14ac:dyDescent="0.2">
      <c r="C68" t="s">
        <v>207</v>
      </c>
      <c r="D68" t="s">
        <v>527</v>
      </c>
    </row>
    <row r="69" spans="3:4" x14ac:dyDescent="0.2">
      <c r="C69" t="s">
        <v>77</v>
      </c>
      <c r="D69" t="s">
        <v>390</v>
      </c>
    </row>
    <row r="70" spans="3:4" x14ac:dyDescent="0.2">
      <c r="C70" t="s">
        <v>53</v>
      </c>
      <c r="D70" t="s">
        <v>366</v>
      </c>
    </row>
    <row r="71" spans="3:4" x14ac:dyDescent="0.2">
      <c r="C71" t="s">
        <v>106</v>
      </c>
      <c r="D71" t="s">
        <v>421</v>
      </c>
    </row>
    <row r="72" spans="3:4" x14ac:dyDescent="0.2">
      <c r="C72" t="s">
        <v>123</v>
      </c>
      <c r="D72" t="s">
        <v>439</v>
      </c>
    </row>
    <row r="73" spans="3:4" x14ac:dyDescent="0.2">
      <c r="C73" t="s">
        <v>299</v>
      </c>
      <c r="D73" t="s">
        <v>626</v>
      </c>
    </row>
    <row r="74" spans="3:4" x14ac:dyDescent="0.2">
      <c r="C74" t="s">
        <v>30</v>
      </c>
      <c r="D74" t="s">
        <v>342</v>
      </c>
    </row>
    <row r="75" spans="3:4" x14ac:dyDescent="0.2">
      <c r="C75" t="s">
        <v>210</v>
      </c>
      <c r="D75" t="s">
        <v>530</v>
      </c>
    </row>
    <row r="76" spans="3:4" x14ac:dyDescent="0.2">
      <c r="C76" t="s">
        <v>113</v>
      </c>
      <c r="D76" t="s">
        <v>428</v>
      </c>
    </row>
    <row r="77" spans="3:4" x14ac:dyDescent="0.2">
      <c r="C77" t="s">
        <v>37</v>
      </c>
      <c r="D77" t="s">
        <v>350</v>
      </c>
    </row>
    <row r="78" spans="3:4" x14ac:dyDescent="0.2">
      <c r="C78" t="s">
        <v>257</v>
      </c>
      <c r="D78" t="s">
        <v>579</v>
      </c>
    </row>
    <row r="79" spans="3:4" x14ac:dyDescent="0.2">
      <c r="C79" t="s">
        <v>26</v>
      </c>
      <c r="D79" t="s">
        <v>338</v>
      </c>
    </row>
    <row r="80" spans="3:4" x14ac:dyDescent="0.2">
      <c r="C80" t="s">
        <v>264</v>
      </c>
      <c r="D80" t="s">
        <v>586</v>
      </c>
    </row>
    <row r="81" spans="3:4" x14ac:dyDescent="0.2">
      <c r="C81" t="s">
        <v>659</v>
      </c>
      <c r="D81" t="s">
        <v>495</v>
      </c>
    </row>
    <row r="82" spans="3:4" x14ac:dyDescent="0.2">
      <c r="C82" t="s">
        <v>226</v>
      </c>
      <c r="D82" t="s">
        <v>546</v>
      </c>
    </row>
    <row r="83" spans="3:4" x14ac:dyDescent="0.2">
      <c r="C83" t="s">
        <v>150</v>
      </c>
      <c r="D83" t="s">
        <v>466</v>
      </c>
    </row>
    <row r="84" spans="3:4" x14ac:dyDescent="0.2">
      <c r="C84" t="s">
        <v>205</v>
      </c>
      <c r="D84" t="s">
        <v>525</v>
      </c>
    </row>
    <row r="85" spans="3:4" x14ac:dyDescent="0.2">
      <c r="C85" t="s">
        <v>165</v>
      </c>
      <c r="D85" t="s">
        <v>482</v>
      </c>
    </row>
    <row r="86" spans="3:4" x14ac:dyDescent="0.2">
      <c r="C86" t="s">
        <v>46</v>
      </c>
      <c r="D86" t="s">
        <v>359</v>
      </c>
    </row>
    <row r="87" spans="3:4" x14ac:dyDescent="0.2">
      <c r="C87" t="s">
        <v>262</v>
      </c>
      <c r="D87" t="s">
        <v>584</v>
      </c>
    </row>
    <row r="88" spans="3:4" x14ac:dyDescent="0.2">
      <c r="C88" t="s">
        <v>12</v>
      </c>
      <c r="D88" t="s">
        <v>405</v>
      </c>
    </row>
    <row r="89" spans="3:4" x14ac:dyDescent="0.2">
      <c r="C89" t="s">
        <v>180</v>
      </c>
      <c r="D89" t="s">
        <v>498</v>
      </c>
    </row>
    <row r="90" spans="3:4" x14ac:dyDescent="0.2">
      <c r="C90" t="s">
        <v>279</v>
      </c>
      <c r="D90" t="s">
        <v>602</v>
      </c>
    </row>
    <row r="91" spans="3:4" x14ac:dyDescent="0.2">
      <c r="C91" t="s">
        <v>75</v>
      </c>
      <c r="D91" t="s">
        <v>388</v>
      </c>
    </row>
    <row r="92" spans="3:4" x14ac:dyDescent="0.2">
      <c r="C92" t="s">
        <v>228</v>
      </c>
      <c r="D92" t="s">
        <v>548</v>
      </c>
    </row>
    <row r="93" spans="3:4" x14ac:dyDescent="0.2">
      <c r="C93" t="s">
        <v>201</v>
      </c>
      <c r="D93" t="s">
        <v>521</v>
      </c>
    </row>
    <row r="94" spans="3:4" x14ac:dyDescent="0.2">
      <c r="C94" t="s">
        <v>666</v>
      </c>
      <c r="D94" t="s">
        <v>613</v>
      </c>
    </row>
    <row r="95" spans="3:4" x14ac:dyDescent="0.2">
      <c r="C95" t="s">
        <v>206</v>
      </c>
      <c r="D95" t="s">
        <v>526</v>
      </c>
    </row>
    <row r="96" spans="3:4" x14ac:dyDescent="0.2">
      <c r="C96" t="s">
        <v>275</v>
      </c>
      <c r="D96" t="s">
        <v>598</v>
      </c>
    </row>
    <row r="97" spans="3:4" x14ac:dyDescent="0.2">
      <c r="C97" t="s">
        <v>88</v>
      </c>
      <c r="D97" t="s">
        <v>401</v>
      </c>
    </row>
    <row r="98" spans="3:4" x14ac:dyDescent="0.2">
      <c r="C98" t="s">
        <v>44</v>
      </c>
      <c r="D98" t="s">
        <v>357</v>
      </c>
    </row>
    <row r="99" spans="3:4" x14ac:dyDescent="0.2">
      <c r="C99" t="s">
        <v>660</v>
      </c>
      <c r="D99" t="s">
        <v>502</v>
      </c>
    </row>
    <row r="100" spans="3:4" x14ac:dyDescent="0.2">
      <c r="C100" t="s">
        <v>68</v>
      </c>
      <c r="D100" t="s">
        <v>381</v>
      </c>
    </row>
    <row r="101" spans="3:4" x14ac:dyDescent="0.2">
      <c r="C101" t="s">
        <v>133</v>
      </c>
      <c r="D101" t="s">
        <v>449</v>
      </c>
    </row>
    <row r="102" spans="3:4" x14ac:dyDescent="0.2">
      <c r="C102" t="s">
        <v>211</v>
      </c>
      <c r="D102" t="s">
        <v>531</v>
      </c>
    </row>
    <row r="103" spans="3:4" x14ac:dyDescent="0.2">
      <c r="C103" t="s">
        <v>247</v>
      </c>
      <c r="D103" t="s">
        <v>569</v>
      </c>
    </row>
    <row r="104" spans="3:4" x14ac:dyDescent="0.2">
      <c r="C104" t="s">
        <v>18</v>
      </c>
      <c r="D104" t="s">
        <v>330</v>
      </c>
    </row>
    <row r="105" spans="3:4" x14ac:dyDescent="0.2">
      <c r="C105" t="s">
        <v>78</v>
      </c>
      <c r="D105" t="s">
        <v>391</v>
      </c>
    </row>
    <row r="106" spans="3:4" x14ac:dyDescent="0.2">
      <c r="C106" t="s">
        <v>239</v>
      </c>
      <c r="D106" t="s">
        <v>560</v>
      </c>
    </row>
    <row r="107" spans="3:4" x14ac:dyDescent="0.2">
      <c r="C107" t="s">
        <v>98</v>
      </c>
      <c r="D107" t="s">
        <v>413</v>
      </c>
    </row>
    <row r="108" spans="3:4" x14ac:dyDescent="0.2">
      <c r="C108" t="s">
        <v>677</v>
      </c>
      <c r="D108" t="s">
        <v>678</v>
      </c>
    </row>
    <row r="109" spans="3:4" x14ac:dyDescent="0.2">
      <c r="C109" t="s">
        <v>135</v>
      </c>
      <c r="D109" t="s">
        <v>451</v>
      </c>
    </row>
    <row r="110" spans="3:4" x14ac:dyDescent="0.2">
      <c r="C110" t="s">
        <v>296</v>
      </c>
      <c r="D110" t="s">
        <v>623</v>
      </c>
    </row>
    <row r="111" spans="3:4" x14ac:dyDescent="0.2">
      <c r="C111" t="s">
        <v>128</v>
      </c>
      <c r="D111" t="s">
        <v>444</v>
      </c>
    </row>
    <row r="112" spans="3:4" x14ac:dyDescent="0.2">
      <c r="C112" t="s">
        <v>62</v>
      </c>
      <c r="D112" t="s">
        <v>375</v>
      </c>
    </row>
    <row r="113" spans="3:4" x14ac:dyDescent="0.2">
      <c r="C113" t="s">
        <v>187</v>
      </c>
      <c r="D113" t="s">
        <v>507</v>
      </c>
    </row>
    <row r="114" spans="3:4" x14ac:dyDescent="0.2">
      <c r="C114" t="s">
        <v>122</v>
      </c>
      <c r="D114" t="s">
        <v>438</v>
      </c>
    </row>
    <row r="115" spans="3:4" x14ac:dyDescent="0.2">
      <c r="C115" t="s">
        <v>288</v>
      </c>
      <c r="D115" t="s">
        <v>614</v>
      </c>
    </row>
    <row r="116" spans="3:4" x14ac:dyDescent="0.2">
      <c r="C116" t="s">
        <v>204</v>
      </c>
      <c r="D116" t="s">
        <v>524</v>
      </c>
    </row>
    <row r="117" spans="3:4" x14ac:dyDescent="0.2">
      <c r="C117" t="s">
        <v>200</v>
      </c>
      <c r="D117" t="s">
        <v>520</v>
      </c>
    </row>
    <row r="118" spans="3:4" x14ac:dyDescent="0.2">
      <c r="C118" t="s">
        <v>281</v>
      </c>
      <c r="D118" t="s">
        <v>605</v>
      </c>
    </row>
    <row r="119" spans="3:4" x14ac:dyDescent="0.2">
      <c r="C119" t="s">
        <v>156</v>
      </c>
      <c r="D119" t="s">
        <v>473</v>
      </c>
    </row>
    <row r="120" spans="3:4" x14ac:dyDescent="0.2">
      <c r="C120" t="s">
        <v>681</v>
      </c>
      <c r="D120" t="s">
        <v>682</v>
      </c>
    </row>
    <row r="121" spans="3:4" x14ac:dyDescent="0.2">
      <c r="C121" t="s">
        <v>312</v>
      </c>
      <c r="D121" t="s">
        <v>640</v>
      </c>
    </row>
    <row r="122" spans="3:4" x14ac:dyDescent="0.2">
      <c r="C122" t="s">
        <v>59</v>
      </c>
      <c r="D122" t="s">
        <v>372</v>
      </c>
    </row>
    <row r="123" spans="3:4" x14ac:dyDescent="0.2">
      <c r="C123" t="s">
        <v>185</v>
      </c>
      <c r="D123" t="s">
        <v>505</v>
      </c>
    </row>
    <row r="124" spans="3:4" x14ac:dyDescent="0.2">
      <c r="C124" t="s">
        <v>772</v>
      </c>
      <c r="D124" t="s">
        <v>345</v>
      </c>
    </row>
    <row r="125" spans="3:4" x14ac:dyDescent="0.2">
      <c r="C125" t="s">
        <v>56</v>
      </c>
      <c r="D125" t="s">
        <v>369</v>
      </c>
    </row>
    <row r="126" spans="3:4" x14ac:dyDescent="0.2">
      <c r="C126" t="s">
        <v>224</v>
      </c>
      <c r="D126" t="s">
        <v>544</v>
      </c>
    </row>
    <row r="127" spans="3:4" x14ac:dyDescent="0.2">
      <c r="C127" t="s">
        <v>202</v>
      </c>
      <c r="D127" t="s">
        <v>522</v>
      </c>
    </row>
    <row r="128" spans="3:4" x14ac:dyDescent="0.2">
      <c r="C128" t="s">
        <v>72</v>
      </c>
      <c r="D128" t="s">
        <v>385</v>
      </c>
    </row>
    <row r="129" spans="3:4" x14ac:dyDescent="0.2">
      <c r="C129" t="s">
        <v>324</v>
      </c>
      <c r="D129" t="s">
        <v>653</v>
      </c>
    </row>
    <row r="130" spans="3:4" x14ac:dyDescent="0.2">
      <c r="C130" t="s">
        <v>48</v>
      </c>
      <c r="D130" t="s">
        <v>361</v>
      </c>
    </row>
    <row r="131" spans="3:4" x14ac:dyDescent="0.2">
      <c r="C131" t="s">
        <v>28</v>
      </c>
      <c r="D131" t="s">
        <v>340</v>
      </c>
    </row>
    <row r="132" spans="3:4" x14ac:dyDescent="0.2">
      <c r="C132" t="s">
        <v>272</v>
      </c>
      <c r="D132" t="s">
        <v>595</v>
      </c>
    </row>
    <row r="133" spans="3:4" x14ac:dyDescent="0.2">
      <c r="C133" t="s">
        <v>311</v>
      </c>
      <c r="D133" t="s">
        <v>638</v>
      </c>
    </row>
    <row r="134" spans="3:4" x14ac:dyDescent="0.2">
      <c r="C134" t="s">
        <v>284</v>
      </c>
      <c r="D134" t="s">
        <v>608</v>
      </c>
    </row>
    <row r="135" spans="3:4" x14ac:dyDescent="0.2">
      <c r="C135" t="s">
        <v>148</v>
      </c>
      <c r="D135" t="s">
        <v>464</v>
      </c>
    </row>
    <row r="136" spans="3:4" x14ac:dyDescent="0.2">
      <c r="C136" t="s">
        <v>252</v>
      </c>
      <c r="D136" t="s">
        <v>574</v>
      </c>
    </row>
    <row r="137" spans="3:4" x14ac:dyDescent="0.2">
      <c r="C137" t="s">
        <v>254</v>
      </c>
      <c r="D137" t="s">
        <v>576</v>
      </c>
    </row>
    <row r="138" spans="3:4" x14ac:dyDescent="0.2">
      <c r="C138" t="s">
        <v>245</v>
      </c>
      <c r="D138" t="s">
        <v>567</v>
      </c>
    </row>
    <row r="139" spans="3:4" x14ac:dyDescent="0.2">
      <c r="C139" t="s">
        <v>87</v>
      </c>
      <c r="D139" t="s">
        <v>400</v>
      </c>
    </row>
    <row r="140" spans="3:4" x14ac:dyDescent="0.2">
      <c r="C140" t="s">
        <v>171</v>
      </c>
      <c r="D140" t="s">
        <v>488</v>
      </c>
    </row>
    <row r="141" spans="3:4" x14ac:dyDescent="0.2">
      <c r="C141" t="s">
        <v>143</v>
      </c>
      <c r="D141" t="s">
        <v>459</v>
      </c>
    </row>
    <row r="142" spans="3:4" x14ac:dyDescent="0.2">
      <c r="C142" t="s">
        <v>310</v>
      </c>
      <c r="D142" t="s">
        <v>637</v>
      </c>
    </row>
    <row r="143" spans="3:4" x14ac:dyDescent="0.2">
      <c r="C143" t="s">
        <v>219</v>
      </c>
      <c r="D143" t="s">
        <v>539</v>
      </c>
    </row>
    <row r="144" spans="3:4" x14ac:dyDescent="0.2">
      <c r="C144" t="s">
        <v>139</v>
      </c>
      <c r="D144" t="s">
        <v>455</v>
      </c>
    </row>
    <row r="145" spans="3:4" x14ac:dyDescent="0.2">
      <c r="C145" t="s">
        <v>657</v>
      </c>
      <c r="D145" t="s">
        <v>430</v>
      </c>
    </row>
    <row r="146" spans="3:4" x14ac:dyDescent="0.2">
      <c r="C146" t="s">
        <v>230</v>
      </c>
      <c r="D146" t="s">
        <v>550</v>
      </c>
    </row>
    <row r="147" spans="3:4" x14ac:dyDescent="0.2">
      <c r="C147" t="s">
        <v>194</v>
      </c>
      <c r="D147" t="s">
        <v>514</v>
      </c>
    </row>
    <row r="148" spans="3:4" x14ac:dyDescent="0.2">
      <c r="C148" t="s">
        <v>169</v>
      </c>
      <c r="D148" t="s">
        <v>486</v>
      </c>
    </row>
    <row r="149" spans="3:4" x14ac:dyDescent="0.2">
      <c r="C149" t="s">
        <v>680</v>
      </c>
      <c r="D149" t="s">
        <v>670</v>
      </c>
    </row>
    <row r="150" spans="3:4" x14ac:dyDescent="0.2">
      <c r="C150" t="s">
        <v>176</v>
      </c>
      <c r="D150" t="s">
        <v>493</v>
      </c>
    </row>
    <row r="151" spans="3:4" x14ac:dyDescent="0.2">
      <c r="C151" t="s">
        <v>43</v>
      </c>
      <c r="D151" t="s">
        <v>356</v>
      </c>
    </row>
    <row r="152" spans="3:4" x14ac:dyDescent="0.2">
      <c r="C152" t="s">
        <v>223</v>
      </c>
      <c r="D152" t="s">
        <v>543</v>
      </c>
    </row>
    <row r="153" spans="3:4" x14ac:dyDescent="0.2">
      <c r="C153" t="s">
        <v>188</v>
      </c>
      <c r="D153" t="s">
        <v>508</v>
      </c>
    </row>
    <row r="154" spans="3:4" x14ac:dyDescent="0.2">
      <c r="C154" t="s">
        <v>129</v>
      </c>
      <c r="D154" t="s">
        <v>445</v>
      </c>
    </row>
    <row r="155" spans="3:4" x14ac:dyDescent="0.2">
      <c r="C155" t="s">
        <v>656</v>
      </c>
      <c r="D155" t="s">
        <v>410</v>
      </c>
    </row>
    <row r="156" spans="3:4" x14ac:dyDescent="0.2">
      <c r="C156" t="s">
        <v>215</v>
      </c>
      <c r="D156" t="s">
        <v>535</v>
      </c>
    </row>
    <row r="157" spans="3:4" x14ac:dyDescent="0.2">
      <c r="C157" t="s">
        <v>21</v>
      </c>
      <c r="D157" t="s">
        <v>333</v>
      </c>
    </row>
    <row r="158" spans="3:4" x14ac:dyDescent="0.2">
      <c r="C158" t="s">
        <v>92</v>
      </c>
      <c r="D158" t="s">
        <v>406</v>
      </c>
    </row>
    <row r="159" spans="3:4" x14ac:dyDescent="0.2">
      <c r="C159" t="s">
        <v>673</v>
      </c>
      <c r="D159" t="s">
        <v>674</v>
      </c>
    </row>
    <row r="160" spans="3:4" x14ac:dyDescent="0.2">
      <c r="C160" t="s">
        <v>85</v>
      </c>
      <c r="D160" t="s">
        <v>398</v>
      </c>
    </row>
    <row r="161" spans="3:4" x14ac:dyDescent="0.2">
      <c r="C161" t="s">
        <v>270</v>
      </c>
      <c r="D161" t="s">
        <v>592</v>
      </c>
    </row>
    <row r="162" spans="3:4" x14ac:dyDescent="0.2">
      <c r="C162" t="s">
        <v>306</v>
      </c>
      <c r="D162" t="s">
        <v>633</v>
      </c>
    </row>
    <row r="163" spans="3:4" x14ac:dyDescent="0.2">
      <c r="C163" t="s">
        <v>109</v>
      </c>
      <c r="D163" t="s">
        <v>424</v>
      </c>
    </row>
    <row r="164" spans="3:4" x14ac:dyDescent="0.2">
      <c r="C164" t="s">
        <v>309</v>
      </c>
      <c r="D164" t="s">
        <v>636</v>
      </c>
    </row>
    <row r="165" spans="3:4" x14ac:dyDescent="0.2">
      <c r="C165" t="s">
        <v>313</v>
      </c>
      <c r="D165" t="s">
        <v>641</v>
      </c>
    </row>
    <row r="166" spans="3:4" x14ac:dyDescent="0.2">
      <c r="C166" t="s">
        <v>203</v>
      </c>
      <c r="D166" t="s">
        <v>523</v>
      </c>
    </row>
    <row r="167" spans="3:4" x14ac:dyDescent="0.2">
      <c r="C167" t="s">
        <v>19</v>
      </c>
      <c r="D167" t="s">
        <v>331</v>
      </c>
    </row>
    <row r="168" spans="3:4" x14ac:dyDescent="0.2">
      <c r="C168" t="s">
        <v>120</v>
      </c>
      <c r="D168" t="s">
        <v>436</v>
      </c>
    </row>
    <row r="169" spans="3:4" x14ac:dyDescent="0.2">
      <c r="C169" t="s">
        <v>74</v>
      </c>
      <c r="D169" t="s">
        <v>387</v>
      </c>
    </row>
    <row r="170" spans="3:4" x14ac:dyDescent="0.2">
      <c r="C170" t="s">
        <v>152</v>
      </c>
      <c r="D170" t="s">
        <v>469</v>
      </c>
    </row>
    <row r="171" spans="3:4" x14ac:dyDescent="0.2">
      <c r="C171" t="s">
        <v>268</v>
      </c>
      <c r="D171" t="s">
        <v>590</v>
      </c>
    </row>
    <row r="172" spans="3:4" x14ac:dyDescent="0.2">
      <c r="C172" t="s">
        <v>304</v>
      </c>
      <c r="D172" t="s">
        <v>631</v>
      </c>
    </row>
    <row r="173" spans="3:4" x14ac:dyDescent="0.2">
      <c r="C173" t="s">
        <v>298</v>
      </c>
      <c r="D173" t="s">
        <v>625</v>
      </c>
    </row>
    <row r="174" spans="3:4" x14ac:dyDescent="0.2">
      <c r="C174" t="s">
        <v>294</v>
      </c>
      <c r="D174" t="s">
        <v>621</v>
      </c>
    </row>
    <row r="175" spans="3:4" x14ac:dyDescent="0.2">
      <c r="C175" t="s">
        <v>662</v>
      </c>
      <c r="D175" t="s">
        <v>563</v>
      </c>
    </row>
    <row r="176" spans="3:4" x14ac:dyDescent="0.2">
      <c r="C176" t="s">
        <v>24</v>
      </c>
      <c r="D176" t="s">
        <v>336</v>
      </c>
    </row>
    <row r="177" spans="3:4" x14ac:dyDescent="0.2">
      <c r="C177" t="s">
        <v>118</v>
      </c>
      <c r="D177" t="s">
        <v>434</v>
      </c>
    </row>
    <row r="178" spans="3:4" x14ac:dyDescent="0.2">
      <c r="C178" t="s">
        <v>248</v>
      </c>
      <c r="D178" t="s">
        <v>570</v>
      </c>
    </row>
    <row r="179" spans="3:4" x14ac:dyDescent="0.2">
      <c r="C179" t="s">
        <v>17</v>
      </c>
      <c r="D179" t="s">
        <v>329</v>
      </c>
    </row>
    <row r="180" spans="3:4" x14ac:dyDescent="0.2">
      <c r="C180" t="s">
        <v>197</v>
      </c>
      <c r="D180" t="s">
        <v>517</v>
      </c>
    </row>
    <row r="181" spans="3:4" x14ac:dyDescent="0.2">
      <c r="C181" t="s">
        <v>119</v>
      </c>
      <c r="D181" t="s">
        <v>435</v>
      </c>
    </row>
    <row r="182" spans="3:4" x14ac:dyDescent="0.2">
      <c r="C182" t="s">
        <v>110</v>
      </c>
      <c r="D182" t="s">
        <v>425</v>
      </c>
    </row>
    <row r="183" spans="3:4" x14ac:dyDescent="0.2">
      <c r="C183" t="s">
        <v>145</v>
      </c>
      <c r="D183" t="s">
        <v>461</v>
      </c>
    </row>
    <row r="184" spans="3:4" x14ac:dyDescent="0.2">
      <c r="C184" t="s">
        <v>198</v>
      </c>
      <c r="D184" t="s">
        <v>518</v>
      </c>
    </row>
    <row r="185" spans="3:4" x14ac:dyDescent="0.2">
      <c r="C185" t="s">
        <v>175</v>
      </c>
      <c r="D185" t="s">
        <v>492</v>
      </c>
    </row>
    <row r="186" spans="3:4" x14ac:dyDescent="0.2">
      <c r="C186" t="s">
        <v>174</v>
      </c>
      <c r="D186" t="s">
        <v>491</v>
      </c>
    </row>
    <row r="187" spans="3:4" x14ac:dyDescent="0.2">
      <c r="C187" t="s">
        <v>183</v>
      </c>
      <c r="D187" t="s">
        <v>501</v>
      </c>
    </row>
    <row r="188" spans="3:4" x14ac:dyDescent="0.2">
      <c r="C188" t="s">
        <v>157</v>
      </c>
      <c r="D188" t="s">
        <v>474</v>
      </c>
    </row>
    <row r="189" spans="3:4" x14ac:dyDescent="0.2">
      <c r="C189" t="s">
        <v>233</v>
      </c>
      <c r="D189" t="s">
        <v>553</v>
      </c>
    </row>
    <row r="190" spans="3:4" x14ac:dyDescent="0.2">
      <c r="C190" t="s">
        <v>287</v>
      </c>
      <c r="D190" t="s">
        <v>612</v>
      </c>
    </row>
    <row r="191" spans="3:4" x14ac:dyDescent="0.2">
      <c r="C191" t="s">
        <v>668</v>
      </c>
      <c r="D191" t="s">
        <v>639</v>
      </c>
    </row>
    <row r="192" spans="3:4" x14ac:dyDescent="0.2">
      <c r="C192" t="s">
        <v>286</v>
      </c>
      <c r="D192" t="s">
        <v>611</v>
      </c>
    </row>
    <row r="193" spans="3:4" x14ac:dyDescent="0.2">
      <c r="C193" t="s">
        <v>124</v>
      </c>
      <c r="D193" t="s">
        <v>440</v>
      </c>
    </row>
    <row r="194" spans="3:4" x14ac:dyDescent="0.2">
      <c r="C194" t="s">
        <v>154</v>
      </c>
      <c r="D194" t="s">
        <v>471</v>
      </c>
    </row>
    <row r="195" spans="3:4" x14ac:dyDescent="0.2">
      <c r="C195" t="s">
        <v>231</v>
      </c>
      <c r="D195" t="s">
        <v>551</v>
      </c>
    </row>
    <row r="196" spans="3:4" x14ac:dyDescent="0.2">
      <c r="C196" t="s">
        <v>277</v>
      </c>
      <c r="D196" t="s">
        <v>600</v>
      </c>
    </row>
    <row r="197" spans="3:4" x14ac:dyDescent="0.2">
      <c r="C197" t="s">
        <v>241</v>
      </c>
      <c r="D197" t="s">
        <v>562</v>
      </c>
    </row>
    <row r="198" spans="3:4" x14ac:dyDescent="0.2">
      <c r="C198" t="s">
        <v>308</v>
      </c>
      <c r="D198" t="s">
        <v>635</v>
      </c>
    </row>
    <row r="199" spans="3:4" x14ac:dyDescent="0.2">
      <c r="C199" t="s">
        <v>104</v>
      </c>
      <c r="D199" t="s">
        <v>419</v>
      </c>
    </row>
    <row r="200" spans="3:4" x14ac:dyDescent="0.2">
      <c r="C200" t="s">
        <v>70</v>
      </c>
      <c r="D200" t="s">
        <v>383</v>
      </c>
    </row>
    <row r="201" spans="3:4" x14ac:dyDescent="0.2">
      <c r="C201" t="s">
        <v>212</v>
      </c>
      <c r="D201" t="s">
        <v>532</v>
      </c>
    </row>
    <row r="202" spans="3:4" x14ac:dyDescent="0.2">
      <c r="C202" t="s">
        <v>250</v>
      </c>
      <c r="D202" t="s">
        <v>572</v>
      </c>
    </row>
    <row r="203" spans="3:4" x14ac:dyDescent="0.2">
      <c r="C203" t="s">
        <v>73</v>
      </c>
      <c r="D203" t="s">
        <v>386</v>
      </c>
    </row>
    <row r="204" spans="3:4" x14ac:dyDescent="0.2">
      <c r="C204" t="s">
        <v>42</v>
      </c>
      <c r="D204" t="s">
        <v>355</v>
      </c>
    </row>
    <row r="205" spans="3:4" x14ac:dyDescent="0.2">
      <c r="C205" t="s">
        <v>172</v>
      </c>
      <c r="D205" t="s">
        <v>489</v>
      </c>
    </row>
    <row r="206" spans="3:4" x14ac:dyDescent="0.2">
      <c r="C206" t="s">
        <v>265</v>
      </c>
      <c r="D206" t="s">
        <v>587</v>
      </c>
    </row>
    <row r="207" spans="3:4" x14ac:dyDescent="0.2">
      <c r="C207" t="s">
        <v>36</v>
      </c>
      <c r="D207" t="s">
        <v>349</v>
      </c>
    </row>
    <row r="208" spans="3:4" x14ac:dyDescent="0.2">
      <c r="C208" t="s">
        <v>178</v>
      </c>
      <c r="D208" t="s">
        <v>496</v>
      </c>
    </row>
    <row r="209" spans="3:4" x14ac:dyDescent="0.2">
      <c r="C209" t="s">
        <v>50</v>
      </c>
      <c r="D209" t="s">
        <v>363</v>
      </c>
    </row>
    <row r="210" spans="3:4" x14ac:dyDescent="0.2">
      <c r="C210" t="s">
        <v>266</v>
      </c>
      <c r="D210" t="s">
        <v>588</v>
      </c>
    </row>
    <row r="211" spans="3:4" x14ac:dyDescent="0.2">
      <c r="C211" t="s">
        <v>238</v>
      </c>
      <c r="D211" t="s">
        <v>559</v>
      </c>
    </row>
    <row r="212" spans="3:4" x14ac:dyDescent="0.2">
      <c r="C212" t="s">
        <v>189</v>
      </c>
      <c r="D212" t="s">
        <v>509</v>
      </c>
    </row>
    <row r="213" spans="3:4" x14ac:dyDescent="0.2">
      <c r="C213" t="s">
        <v>116</v>
      </c>
      <c r="D213" t="s">
        <v>432</v>
      </c>
    </row>
    <row r="214" spans="3:4" x14ac:dyDescent="0.2">
      <c r="C214" t="s">
        <v>199</v>
      </c>
      <c r="D214" t="s">
        <v>519</v>
      </c>
    </row>
    <row r="215" spans="3:4" x14ac:dyDescent="0.2">
      <c r="C215" t="s">
        <v>65</v>
      </c>
      <c r="D215" t="s">
        <v>378</v>
      </c>
    </row>
    <row r="216" spans="3:4" x14ac:dyDescent="0.2">
      <c r="C216" t="s">
        <v>291</v>
      </c>
      <c r="D216" t="s">
        <v>618</v>
      </c>
    </row>
    <row r="217" spans="3:4" x14ac:dyDescent="0.2">
      <c r="C217" t="s">
        <v>117</v>
      </c>
      <c r="D217" t="s">
        <v>433</v>
      </c>
    </row>
    <row r="218" spans="3:4" x14ac:dyDescent="0.2">
      <c r="C218" t="s">
        <v>243</v>
      </c>
      <c r="D218" t="s">
        <v>565</v>
      </c>
    </row>
    <row r="219" spans="3:4" x14ac:dyDescent="0.2">
      <c r="C219" t="s">
        <v>27</v>
      </c>
      <c r="D219" t="s">
        <v>339</v>
      </c>
    </row>
    <row r="220" spans="3:4" x14ac:dyDescent="0.2">
      <c r="C220" t="s">
        <v>76</v>
      </c>
      <c r="D220" t="s">
        <v>389</v>
      </c>
    </row>
    <row r="221" spans="3:4" x14ac:dyDescent="0.2">
      <c r="C221" t="s">
        <v>34</v>
      </c>
      <c r="D221" t="s">
        <v>347</v>
      </c>
    </row>
    <row r="222" spans="3:4" x14ac:dyDescent="0.2">
      <c r="C222" t="s">
        <v>153</v>
      </c>
      <c r="D222" t="s">
        <v>470</v>
      </c>
    </row>
    <row r="223" spans="3:4" x14ac:dyDescent="0.2">
      <c r="C223" t="s">
        <v>675</v>
      </c>
      <c r="D223" t="s">
        <v>676</v>
      </c>
    </row>
    <row r="224" spans="3:4" x14ac:dyDescent="0.2">
      <c r="C224" t="s">
        <v>39</v>
      </c>
      <c r="D224" t="s">
        <v>352</v>
      </c>
    </row>
    <row r="225" spans="3:4" x14ac:dyDescent="0.2">
      <c r="C225" t="s">
        <v>255</v>
      </c>
      <c r="D225" t="s">
        <v>577</v>
      </c>
    </row>
    <row r="226" spans="3:4" x14ac:dyDescent="0.2">
      <c r="C226" t="s">
        <v>282</v>
      </c>
      <c r="D226" t="s">
        <v>606</v>
      </c>
    </row>
    <row r="227" spans="3:4" x14ac:dyDescent="0.2">
      <c r="C227" t="s">
        <v>323</v>
      </c>
      <c r="D227" t="s">
        <v>652</v>
      </c>
    </row>
    <row r="228" spans="3:4" x14ac:dyDescent="0.2">
      <c r="C228" t="s">
        <v>105</v>
      </c>
      <c r="D228" t="s">
        <v>420</v>
      </c>
    </row>
    <row r="229" spans="3:4" x14ac:dyDescent="0.2">
      <c r="C229" t="s">
        <v>166</v>
      </c>
      <c r="D229" t="s">
        <v>483</v>
      </c>
    </row>
    <row r="230" spans="3:4" x14ac:dyDescent="0.2">
      <c r="C230" t="s">
        <v>209</v>
      </c>
      <c r="D230" t="s">
        <v>529</v>
      </c>
    </row>
    <row r="231" spans="3:4" x14ac:dyDescent="0.2">
      <c r="C231" t="s">
        <v>234</v>
      </c>
      <c r="D231" t="s">
        <v>554</v>
      </c>
    </row>
    <row r="232" spans="3:4" x14ac:dyDescent="0.2">
      <c r="C232" t="s">
        <v>100</v>
      </c>
      <c r="D232" t="s">
        <v>415</v>
      </c>
    </row>
    <row r="233" spans="3:4" x14ac:dyDescent="0.2">
      <c r="C233" t="s">
        <v>91</v>
      </c>
      <c r="D233" t="s">
        <v>404</v>
      </c>
    </row>
    <row r="234" spans="3:4" x14ac:dyDescent="0.2">
      <c r="C234" t="s">
        <v>276</v>
      </c>
      <c r="D234" t="s">
        <v>599</v>
      </c>
    </row>
    <row r="235" spans="3:4" x14ac:dyDescent="0.2">
      <c r="C235" t="s">
        <v>186</v>
      </c>
      <c r="D235" t="s">
        <v>506</v>
      </c>
    </row>
    <row r="236" spans="3:4" x14ac:dyDescent="0.2">
      <c r="C236" t="s">
        <v>667</v>
      </c>
      <c r="D236" t="s">
        <v>617</v>
      </c>
    </row>
    <row r="237" spans="3:4" x14ac:dyDescent="0.2">
      <c r="C237" t="s">
        <v>242</v>
      </c>
      <c r="D237" t="s">
        <v>564</v>
      </c>
    </row>
    <row r="238" spans="3:4" x14ac:dyDescent="0.2">
      <c r="C238" t="s">
        <v>285</v>
      </c>
      <c r="D238" t="s">
        <v>610</v>
      </c>
    </row>
    <row r="239" spans="3:4" x14ac:dyDescent="0.2">
      <c r="C239" t="s">
        <v>35</v>
      </c>
      <c r="D239" t="s">
        <v>348</v>
      </c>
    </row>
    <row r="240" spans="3:4" x14ac:dyDescent="0.2">
      <c r="C240" t="s">
        <v>663</v>
      </c>
      <c r="D240" t="s">
        <v>594</v>
      </c>
    </row>
    <row r="241" spans="3:4" x14ac:dyDescent="0.2">
      <c r="C241" t="s">
        <v>249</v>
      </c>
      <c r="D241" t="s">
        <v>571</v>
      </c>
    </row>
    <row r="242" spans="3:4" x14ac:dyDescent="0.2">
      <c r="C242" t="s">
        <v>195</v>
      </c>
      <c r="D242" t="s">
        <v>515</v>
      </c>
    </row>
    <row r="243" spans="3:4" x14ac:dyDescent="0.2">
      <c r="C243" t="s">
        <v>237</v>
      </c>
      <c r="D243" t="s">
        <v>558</v>
      </c>
    </row>
    <row r="244" spans="3:4" x14ac:dyDescent="0.2">
      <c r="C244" t="s">
        <v>55</v>
      </c>
      <c r="D244" t="s">
        <v>368</v>
      </c>
    </row>
    <row r="245" spans="3:4" x14ac:dyDescent="0.2">
      <c r="C245" t="s">
        <v>672</v>
      </c>
      <c r="D245" t="s">
        <v>557</v>
      </c>
    </row>
    <row r="246" spans="3:4" x14ac:dyDescent="0.2">
      <c r="C246" t="s">
        <v>136</v>
      </c>
      <c r="D246" t="s">
        <v>452</v>
      </c>
    </row>
    <row r="247" spans="3:4" x14ac:dyDescent="0.2">
      <c r="C247" t="s">
        <v>83</v>
      </c>
      <c r="D247" t="s">
        <v>396</v>
      </c>
    </row>
    <row r="248" spans="3:4" x14ac:dyDescent="0.2">
      <c r="C248" t="s">
        <v>49</v>
      </c>
      <c r="D248" t="s">
        <v>362</v>
      </c>
    </row>
    <row r="249" spans="3:4" x14ac:dyDescent="0.2">
      <c r="C249" t="s">
        <v>102</v>
      </c>
      <c r="D249" t="s">
        <v>417</v>
      </c>
    </row>
    <row r="250" spans="3:4" x14ac:dyDescent="0.2">
      <c r="C250" t="s">
        <v>130</v>
      </c>
      <c r="D250" t="s">
        <v>446</v>
      </c>
    </row>
    <row r="251" spans="3:4" x14ac:dyDescent="0.2">
      <c r="C251" t="s">
        <v>149</v>
      </c>
      <c r="D251" t="s">
        <v>465</v>
      </c>
    </row>
    <row r="252" spans="3:4" x14ac:dyDescent="0.2">
      <c r="C252" t="s">
        <v>280</v>
      </c>
      <c r="D252" t="s">
        <v>604</v>
      </c>
    </row>
    <row r="253" spans="3:4" x14ac:dyDescent="0.2">
      <c r="C253" t="s">
        <v>96</v>
      </c>
      <c r="D253" t="s">
        <v>411</v>
      </c>
    </row>
    <row r="254" spans="3:4" x14ac:dyDescent="0.2">
      <c r="C254" t="s">
        <v>84</v>
      </c>
      <c r="D254" t="s">
        <v>397</v>
      </c>
    </row>
    <row r="255" spans="3:4" x14ac:dyDescent="0.2">
      <c r="C255" t="s">
        <v>61</v>
      </c>
      <c r="D255" t="s">
        <v>374</v>
      </c>
    </row>
    <row r="256" spans="3:4" x14ac:dyDescent="0.2">
      <c r="C256" t="s">
        <v>665</v>
      </c>
      <c r="D256" t="s">
        <v>609</v>
      </c>
    </row>
    <row r="257" spans="3:4" x14ac:dyDescent="0.2">
      <c r="C257" t="s">
        <v>31</v>
      </c>
      <c r="D257" t="s">
        <v>343</v>
      </c>
    </row>
    <row r="258" spans="3:4" x14ac:dyDescent="0.2">
      <c r="C258" t="s">
        <v>221</v>
      </c>
      <c r="D258" t="s">
        <v>541</v>
      </c>
    </row>
    <row r="259" spans="3:4" x14ac:dyDescent="0.2">
      <c r="C259" t="s">
        <v>229</v>
      </c>
      <c r="D259" t="s">
        <v>549</v>
      </c>
    </row>
    <row r="260" spans="3:4" x14ac:dyDescent="0.2">
      <c r="C260" t="s">
        <v>67</v>
      </c>
      <c r="D260" t="s">
        <v>380</v>
      </c>
    </row>
    <row r="261" spans="3:4" x14ac:dyDescent="0.2">
      <c r="C261" t="s">
        <v>97</v>
      </c>
      <c r="D261" t="s">
        <v>412</v>
      </c>
    </row>
    <row r="262" spans="3:4" x14ac:dyDescent="0.2">
      <c r="C262" t="s">
        <v>22</v>
      </c>
      <c r="D262" t="s">
        <v>334</v>
      </c>
    </row>
    <row r="263" spans="3:4" x14ac:dyDescent="0.2">
      <c r="C263" t="s">
        <v>69</v>
      </c>
      <c r="D263" t="s">
        <v>382</v>
      </c>
    </row>
    <row r="264" spans="3:4" x14ac:dyDescent="0.2">
      <c r="C264" t="s">
        <v>258</v>
      </c>
      <c r="D264" t="s">
        <v>580</v>
      </c>
    </row>
    <row r="265" spans="3:4" x14ac:dyDescent="0.2">
      <c r="C265" t="s">
        <v>314</v>
      </c>
      <c r="D265" t="s">
        <v>642</v>
      </c>
    </row>
    <row r="266" spans="3:4" x14ac:dyDescent="0.2">
      <c r="C266" t="s">
        <v>235</v>
      </c>
      <c r="D266" t="s">
        <v>555</v>
      </c>
    </row>
    <row r="267" spans="3:4" x14ac:dyDescent="0.2">
      <c r="C267" t="s">
        <v>23</v>
      </c>
      <c r="D267" t="s">
        <v>335</v>
      </c>
    </row>
    <row r="268" spans="3:4" x14ac:dyDescent="0.2">
      <c r="C268" t="s">
        <v>301</v>
      </c>
      <c r="D268" t="s">
        <v>628</v>
      </c>
    </row>
    <row r="269" spans="3:4" x14ac:dyDescent="0.2">
      <c r="C269" t="s">
        <v>144</v>
      </c>
      <c r="D269" t="s">
        <v>460</v>
      </c>
    </row>
    <row r="270" spans="3:4" x14ac:dyDescent="0.2">
      <c r="C270" t="s">
        <v>253</v>
      </c>
      <c r="D270" t="s">
        <v>575</v>
      </c>
    </row>
    <row r="271" spans="3:4" x14ac:dyDescent="0.2">
      <c r="C271" t="s">
        <v>54</v>
      </c>
      <c r="D271" t="s">
        <v>367</v>
      </c>
    </row>
    <row r="272" spans="3:4" x14ac:dyDescent="0.2">
      <c r="C272" t="s">
        <v>179</v>
      </c>
      <c r="D272" t="s">
        <v>497</v>
      </c>
    </row>
    <row r="273" spans="3:4" x14ac:dyDescent="0.2">
      <c r="C273" t="s">
        <v>32</v>
      </c>
      <c r="D273" t="s">
        <v>344</v>
      </c>
    </row>
    <row r="274" spans="3:4" x14ac:dyDescent="0.2">
      <c r="C274" t="s">
        <v>121</v>
      </c>
      <c r="D274" t="s">
        <v>437</v>
      </c>
    </row>
    <row r="275" spans="3:4" x14ac:dyDescent="0.2">
      <c r="C275" t="s">
        <v>160</v>
      </c>
      <c r="D275" t="s">
        <v>477</v>
      </c>
    </row>
    <row r="276" spans="3:4" x14ac:dyDescent="0.2">
      <c r="C276" t="s">
        <v>220</v>
      </c>
      <c r="D276" t="s">
        <v>540</v>
      </c>
    </row>
    <row r="277" spans="3:4" x14ac:dyDescent="0.2">
      <c r="C277" t="s">
        <v>79</v>
      </c>
      <c r="D277" t="s">
        <v>392</v>
      </c>
    </row>
    <row r="278" spans="3:4" x14ac:dyDescent="0.2">
      <c r="C278" t="s">
        <v>251</v>
      </c>
      <c r="D278" t="s">
        <v>573</v>
      </c>
    </row>
    <row r="279" spans="3:4" x14ac:dyDescent="0.2">
      <c r="C279" t="s">
        <v>111</v>
      </c>
      <c r="D279" t="s">
        <v>426</v>
      </c>
    </row>
    <row r="280" spans="3:4" x14ac:dyDescent="0.2">
      <c r="C280" t="s">
        <v>317</v>
      </c>
      <c r="D280" t="s">
        <v>646</v>
      </c>
    </row>
    <row r="281" spans="3:4" x14ac:dyDescent="0.2">
      <c r="C281" t="s">
        <v>90</v>
      </c>
      <c r="D281" t="s">
        <v>403</v>
      </c>
    </row>
    <row r="282" spans="3:4" x14ac:dyDescent="0.2">
      <c r="C282" t="s">
        <v>63</v>
      </c>
      <c r="D282" t="s">
        <v>376</v>
      </c>
    </row>
    <row r="283" spans="3:4" x14ac:dyDescent="0.2">
      <c r="C283" t="s">
        <v>164</v>
      </c>
      <c r="D283" t="s">
        <v>481</v>
      </c>
    </row>
    <row r="284" spans="3:4" x14ac:dyDescent="0.2">
      <c r="C284" t="s">
        <v>315</v>
      </c>
      <c r="D284" t="s">
        <v>643</v>
      </c>
    </row>
    <row r="285" spans="3:4" x14ac:dyDescent="0.2">
      <c r="C285" t="s">
        <v>155</v>
      </c>
      <c r="D285" t="s">
        <v>472</v>
      </c>
    </row>
    <row r="286" spans="3:4" x14ac:dyDescent="0.2">
      <c r="C286" t="s">
        <v>225</v>
      </c>
      <c r="D286" t="s">
        <v>545</v>
      </c>
    </row>
    <row r="287" spans="3:4" x14ac:dyDescent="0.2">
      <c r="C287" t="s">
        <v>99</v>
      </c>
      <c r="D287" t="s">
        <v>414</v>
      </c>
    </row>
    <row r="288" spans="3:4" x14ac:dyDescent="0.2">
      <c r="C288" t="s">
        <v>140</v>
      </c>
      <c r="D288" t="s">
        <v>456</v>
      </c>
    </row>
    <row r="289" spans="3:4" x14ac:dyDescent="0.2">
      <c r="C289" t="s">
        <v>66</v>
      </c>
      <c r="D289" t="s">
        <v>379</v>
      </c>
    </row>
    <row r="290" spans="3:4" x14ac:dyDescent="0.2">
      <c r="C290" t="s">
        <v>151</v>
      </c>
      <c r="D290" t="s">
        <v>468</v>
      </c>
    </row>
    <row r="291" spans="3:4" x14ac:dyDescent="0.2">
      <c r="C291" t="s">
        <v>138</v>
      </c>
      <c r="D291" t="s">
        <v>454</v>
      </c>
    </row>
    <row r="292" spans="3:4" x14ac:dyDescent="0.2">
      <c r="C292" t="s">
        <v>325</v>
      </c>
      <c r="D292" t="s">
        <v>654</v>
      </c>
    </row>
    <row r="293" spans="3:4" x14ac:dyDescent="0.2">
      <c r="C293" t="s">
        <v>114</v>
      </c>
      <c r="D293" t="s">
        <v>429</v>
      </c>
    </row>
    <row r="294" spans="3:4" x14ac:dyDescent="0.2">
      <c r="C294" t="s">
        <v>131</v>
      </c>
      <c r="D294" t="s">
        <v>447</v>
      </c>
    </row>
    <row r="295" spans="3:4" x14ac:dyDescent="0.2">
      <c r="C295" t="s">
        <v>181</v>
      </c>
      <c r="D295" t="s">
        <v>499</v>
      </c>
    </row>
    <row r="296" spans="3:4" x14ac:dyDescent="0.2">
      <c r="C296" t="s">
        <v>137</v>
      </c>
      <c r="D296" t="s">
        <v>453</v>
      </c>
    </row>
    <row r="297" spans="3:4" x14ac:dyDescent="0.2">
      <c r="C297" t="s">
        <v>40</v>
      </c>
      <c r="D297" t="s">
        <v>353</v>
      </c>
    </row>
    <row r="298" spans="3:4" x14ac:dyDescent="0.2">
      <c r="C298" t="s">
        <v>51</v>
      </c>
      <c r="D298" t="s">
        <v>364</v>
      </c>
    </row>
    <row r="299" spans="3:4" x14ac:dyDescent="0.2">
      <c r="C299" t="s">
        <v>191</v>
      </c>
      <c r="D299" t="s">
        <v>511</v>
      </c>
    </row>
    <row r="300" spans="3:4" x14ac:dyDescent="0.2">
      <c r="C300" t="s">
        <v>269</v>
      </c>
      <c r="D300" t="s">
        <v>591</v>
      </c>
    </row>
    <row r="301" spans="3:4" x14ac:dyDescent="0.2">
      <c r="C301" t="s">
        <v>263</v>
      </c>
      <c r="D301" t="s">
        <v>585</v>
      </c>
    </row>
    <row r="302" spans="3:4" x14ac:dyDescent="0.2">
      <c r="C302" t="s">
        <v>95</v>
      </c>
      <c r="D302" t="s">
        <v>409</v>
      </c>
    </row>
    <row r="303" spans="3:4" x14ac:dyDescent="0.2">
      <c r="C303" t="s">
        <v>159</v>
      </c>
      <c r="D303" t="s">
        <v>476</v>
      </c>
    </row>
    <row r="304" spans="3:4" x14ac:dyDescent="0.2">
      <c r="C304" t="s">
        <v>236</v>
      </c>
      <c r="D304" t="s">
        <v>556</v>
      </c>
    </row>
    <row r="305" spans="3:4" x14ac:dyDescent="0.2">
      <c r="C305" t="s">
        <v>158</v>
      </c>
      <c r="D305" t="s">
        <v>475</v>
      </c>
    </row>
    <row r="306" spans="3:4" x14ac:dyDescent="0.2">
      <c r="C306" t="s">
        <v>319</v>
      </c>
      <c r="D306" t="s">
        <v>648</v>
      </c>
    </row>
    <row r="307" spans="3:4" x14ac:dyDescent="0.2">
      <c r="C307" t="s">
        <v>244</v>
      </c>
      <c r="D307" t="s">
        <v>566</v>
      </c>
    </row>
    <row r="308" spans="3:4" x14ac:dyDescent="0.2">
      <c r="C308" t="s">
        <v>108</v>
      </c>
      <c r="D308" t="s">
        <v>423</v>
      </c>
    </row>
    <row r="309" spans="3:4" x14ac:dyDescent="0.2">
      <c r="C309" t="s">
        <v>29</v>
      </c>
      <c r="D309" t="s">
        <v>341</v>
      </c>
    </row>
    <row r="310" spans="3:4" x14ac:dyDescent="0.2">
      <c r="C310" t="s">
        <v>127</v>
      </c>
      <c r="D310" t="s">
        <v>443</v>
      </c>
    </row>
    <row r="311" spans="3:4" x14ac:dyDescent="0.2">
      <c r="C311" t="s">
        <v>193</v>
      </c>
      <c r="D311" t="s">
        <v>513</v>
      </c>
    </row>
    <row r="312" spans="3:4" x14ac:dyDescent="0.2">
      <c r="C312" t="s">
        <v>64</v>
      </c>
      <c r="D312" t="s">
        <v>377</v>
      </c>
    </row>
    <row r="313" spans="3:4" x14ac:dyDescent="0.2">
      <c r="C313" t="s">
        <v>142</v>
      </c>
      <c r="D313" t="s">
        <v>458</v>
      </c>
    </row>
    <row r="314" spans="3:4" x14ac:dyDescent="0.2">
      <c r="C314" t="s">
        <v>271</v>
      </c>
      <c r="D314" t="s">
        <v>593</v>
      </c>
    </row>
    <row r="315" spans="3:4" x14ac:dyDescent="0.2">
      <c r="C315" t="s">
        <v>126</v>
      </c>
      <c r="D315" t="s">
        <v>442</v>
      </c>
    </row>
    <row r="316" spans="3:4" x14ac:dyDescent="0.2">
      <c r="C316" t="s">
        <v>295</v>
      </c>
      <c r="D316" t="s">
        <v>622</v>
      </c>
    </row>
    <row r="317" spans="3:4" x14ac:dyDescent="0.2">
      <c r="C317" t="s">
        <v>292</v>
      </c>
      <c r="D317" t="s">
        <v>619</v>
      </c>
    </row>
    <row r="318" spans="3:4" x14ac:dyDescent="0.2">
      <c r="C318" t="s">
        <v>177</v>
      </c>
      <c r="D318" t="s">
        <v>494</v>
      </c>
    </row>
    <row r="319" spans="3:4" x14ac:dyDescent="0.2">
      <c r="C319" t="s">
        <v>321</v>
      </c>
      <c r="D319" t="s">
        <v>650</v>
      </c>
    </row>
    <row r="320" spans="3:4" x14ac:dyDescent="0.2">
      <c r="C320" t="s">
        <v>141</v>
      </c>
      <c r="D320" t="s">
        <v>457</v>
      </c>
    </row>
    <row r="321" spans="3:4" x14ac:dyDescent="0.2">
      <c r="C321" t="s">
        <v>132</v>
      </c>
      <c r="D321" t="s">
        <v>448</v>
      </c>
    </row>
    <row r="322" spans="3:4" x14ac:dyDescent="0.2">
      <c r="C322" t="s">
        <v>167</v>
      </c>
      <c r="D322" t="s">
        <v>484</v>
      </c>
    </row>
    <row r="323" spans="3:4" x14ac:dyDescent="0.2">
      <c r="C323" t="s">
        <v>182</v>
      </c>
      <c r="D323" t="s">
        <v>500</v>
      </c>
    </row>
    <row r="324" spans="3:4" x14ac:dyDescent="0.2">
      <c r="C324" t="s">
        <v>273</v>
      </c>
      <c r="D324" t="s">
        <v>596</v>
      </c>
    </row>
    <row r="325" spans="3:4" x14ac:dyDescent="0.2">
      <c r="C325" t="s">
        <v>322</v>
      </c>
      <c r="D325" t="s">
        <v>651</v>
      </c>
    </row>
    <row r="326" spans="3:4" x14ac:dyDescent="0.2">
      <c r="C326" t="s">
        <v>256</v>
      </c>
      <c r="D326" t="s">
        <v>578</v>
      </c>
    </row>
    <row r="327" spans="3:4" x14ac:dyDescent="0.2">
      <c r="C327" t="s">
        <v>125</v>
      </c>
      <c r="D327" t="s">
        <v>441</v>
      </c>
    </row>
    <row r="328" spans="3:4" x14ac:dyDescent="0.2">
      <c r="C328" t="s">
        <v>173</v>
      </c>
      <c r="D328" t="s">
        <v>490</v>
      </c>
    </row>
    <row r="329" spans="3:4" x14ac:dyDescent="0.2">
      <c r="C329" t="s">
        <v>232</v>
      </c>
      <c r="D329" t="s">
        <v>552</v>
      </c>
    </row>
    <row r="330" spans="3:4" x14ac:dyDescent="0.2">
      <c r="C330" t="s">
        <v>196</v>
      </c>
      <c r="D330" t="s">
        <v>516</v>
      </c>
    </row>
    <row r="331" spans="3:4" x14ac:dyDescent="0.2">
      <c r="C331" t="s">
        <v>162</v>
      </c>
      <c r="D331" t="s">
        <v>479</v>
      </c>
    </row>
    <row r="332" spans="3:4" x14ac:dyDescent="0.2">
      <c r="C332" t="s">
        <v>213</v>
      </c>
      <c r="D332" t="s">
        <v>533</v>
      </c>
    </row>
    <row r="333" spans="3:4" x14ac:dyDescent="0.2">
      <c r="C333" t="s">
        <v>94</v>
      </c>
      <c r="D333" t="s">
        <v>408</v>
      </c>
    </row>
    <row r="334" spans="3:4" x14ac:dyDescent="0.2">
      <c r="C334" t="s">
        <v>222</v>
      </c>
      <c r="D334" t="s">
        <v>542</v>
      </c>
    </row>
    <row r="335" spans="3:4" x14ac:dyDescent="0.2">
      <c r="C335" t="s">
        <v>217</v>
      </c>
      <c r="D335" t="s">
        <v>537</v>
      </c>
    </row>
    <row r="336" spans="3:4" x14ac:dyDescent="0.2">
      <c r="C336" t="s">
        <v>16</v>
      </c>
      <c r="D336" t="s">
        <v>328</v>
      </c>
    </row>
    <row r="337" spans="3:4" x14ac:dyDescent="0.2">
      <c r="C337" t="s">
        <v>146</v>
      </c>
      <c r="D337" t="s">
        <v>462</v>
      </c>
    </row>
    <row r="338" spans="3:4" x14ac:dyDescent="0.2">
      <c r="C338" t="s">
        <v>45</v>
      </c>
      <c r="D338" t="s">
        <v>358</v>
      </c>
    </row>
    <row r="339" spans="3:4" x14ac:dyDescent="0.2">
      <c r="C339" t="s">
        <v>326</v>
      </c>
      <c r="D339" t="s">
        <v>655</v>
      </c>
    </row>
    <row r="340" spans="3:4" x14ac:dyDescent="0.2">
      <c r="C340" t="s">
        <v>216</v>
      </c>
      <c r="D340" t="s">
        <v>536</v>
      </c>
    </row>
    <row r="341" spans="3:4" x14ac:dyDescent="0.2">
      <c r="C341" t="s">
        <v>683</v>
      </c>
      <c r="D341" t="s">
        <v>684</v>
      </c>
    </row>
    <row r="342" spans="3:4" x14ac:dyDescent="0.2">
      <c r="C342" t="s">
        <v>685</v>
      </c>
      <c r="D342" t="s">
        <v>670</v>
      </c>
    </row>
    <row r="343" spans="3:4" x14ac:dyDescent="0.2">
      <c r="C343" t="s">
        <v>686</v>
      </c>
      <c r="D343" t="s">
        <v>708</v>
      </c>
    </row>
    <row r="344" spans="3:4" x14ac:dyDescent="0.2">
      <c r="C344" t="s">
        <v>687</v>
      </c>
      <c r="D344" t="s">
        <v>670</v>
      </c>
    </row>
    <row r="345" spans="3:4" x14ac:dyDescent="0.2">
      <c r="C345" t="s">
        <v>688</v>
      </c>
      <c r="D345" t="s">
        <v>689</v>
      </c>
    </row>
    <row r="346" spans="3:4" x14ac:dyDescent="0.2">
      <c r="C346" t="s">
        <v>691</v>
      </c>
      <c r="D346" t="s">
        <v>690</v>
      </c>
    </row>
    <row r="347" spans="3:4" x14ac:dyDescent="0.2">
      <c r="C347" t="s">
        <v>693</v>
      </c>
      <c r="D347" t="s">
        <v>692</v>
      </c>
    </row>
    <row r="348" spans="3:4" x14ac:dyDescent="0.2">
      <c r="C348" t="s">
        <v>694</v>
      </c>
      <c r="D348" t="s">
        <v>695</v>
      </c>
    </row>
    <row r="349" spans="3:4" x14ac:dyDescent="0.2">
      <c r="C349" t="s">
        <v>696</v>
      </c>
      <c r="D349" t="s">
        <v>670</v>
      </c>
    </row>
    <row r="350" spans="3:4" x14ac:dyDescent="0.2">
      <c r="C350" t="s">
        <v>697</v>
      </c>
      <c r="D350" t="s">
        <v>670</v>
      </c>
    </row>
    <row r="351" spans="3:4" x14ac:dyDescent="0.2">
      <c r="C351" t="s">
        <v>698</v>
      </c>
      <c r="D351" t="s">
        <v>699</v>
      </c>
    </row>
    <row r="352" spans="3:4" x14ac:dyDescent="0.2">
      <c r="C352" t="s">
        <v>700</v>
      </c>
      <c r="D352" t="s">
        <v>670</v>
      </c>
    </row>
    <row r="353" spans="3:4" x14ac:dyDescent="0.2">
      <c r="C353" t="s">
        <v>701</v>
      </c>
      <c r="D353" t="s">
        <v>670</v>
      </c>
    </row>
    <row r="354" spans="3:4" x14ac:dyDescent="0.2">
      <c r="C354" t="s">
        <v>702</v>
      </c>
      <c r="D354" t="s">
        <v>703</v>
      </c>
    </row>
    <row r="355" spans="3:4" x14ac:dyDescent="0.2">
      <c r="C355" t="s">
        <v>704</v>
      </c>
      <c r="D355" t="s">
        <v>670</v>
      </c>
    </row>
    <row r="356" spans="3:4" x14ac:dyDescent="0.2">
      <c r="C356" t="s">
        <v>705</v>
      </c>
      <c r="D356" t="s">
        <v>670</v>
      </c>
    </row>
    <row r="357" spans="3:4" x14ac:dyDescent="0.2">
      <c r="C357" t="s">
        <v>706</v>
      </c>
      <c r="D357" t="s">
        <v>707</v>
      </c>
    </row>
    <row r="358" spans="3:4" x14ac:dyDescent="0.2">
      <c r="C358" t="s">
        <v>709</v>
      </c>
      <c r="D358" t="s">
        <v>670</v>
      </c>
    </row>
    <row r="359" spans="3:4" x14ac:dyDescent="0.2">
      <c r="C359" t="s">
        <v>710</v>
      </c>
      <c r="D359" t="s">
        <v>711</v>
      </c>
    </row>
    <row r="360" spans="3:4" x14ac:dyDescent="0.2">
      <c r="C360" t="s">
        <v>712</v>
      </c>
      <c r="D360" t="s">
        <v>670</v>
      </c>
    </row>
    <row r="361" spans="3:4" x14ac:dyDescent="0.2">
      <c r="C361" t="s">
        <v>713</v>
      </c>
      <c r="D361" t="s">
        <v>714</v>
      </c>
    </row>
    <row r="362" spans="3:4" x14ac:dyDescent="0.2">
      <c r="C362" t="s">
        <v>715</v>
      </c>
      <c r="D362" t="s">
        <v>670</v>
      </c>
    </row>
    <row r="363" spans="3:4" x14ac:dyDescent="0.2">
      <c r="C363" t="s">
        <v>716</v>
      </c>
      <c r="D363" t="s">
        <v>670</v>
      </c>
    </row>
    <row r="364" spans="3:4" x14ac:dyDescent="0.2">
      <c r="C364" t="s">
        <v>718</v>
      </c>
      <c r="D364" t="s">
        <v>717</v>
      </c>
    </row>
    <row r="365" spans="3:4" x14ac:dyDescent="0.2">
      <c r="C365" t="s">
        <v>719</v>
      </c>
      <c r="D365" t="s">
        <v>720</v>
      </c>
    </row>
    <row r="366" spans="3:4" x14ac:dyDescent="0.2">
      <c r="C366" t="s">
        <v>721</v>
      </c>
      <c r="D366" t="s">
        <v>670</v>
      </c>
    </row>
    <row r="367" spans="3:4" x14ac:dyDescent="0.2">
      <c r="C367" t="s">
        <v>722</v>
      </c>
      <c r="D367" t="s">
        <v>723</v>
      </c>
    </row>
    <row r="368" spans="3:4" x14ac:dyDescent="0.2">
      <c r="C368" t="s">
        <v>724</v>
      </c>
      <c r="D368" t="s">
        <v>725</v>
      </c>
    </row>
    <row r="369" spans="3:4" x14ac:dyDescent="0.2">
      <c r="C369" t="s">
        <v>726</v>
      </c>
      <c r="D369" t="s">
        <v>670</v>
      </c>
    </row>
    <row r="370" spans="3:4" x14ac:dyDescent="0.2">
      <c r="C370" t="s">
        <v>727</v>
      </c>
      <c r="D370" t="s">
        <v>728</v>
      </c>
    </row>
    <row r="371" spans="3:4" x14ac:dyDescent="0.2">
      <c r="C371" t="s">
        <v>729</v>
      </c>
      <c r="D371" t="s">
        <v>670</v>
      </c>
    </row>
    <row r="372" spans="3:4" x14ac:dyDescent="0.2">
      <c r="C372" t="s">
        <v>730</v>
      </c>
      <c r="D372" t="s">
        <v>731</v>
      </c>
    </row>
    <row r="373" spans="3:4" x14ac:dyDescent="0.2">
      <c r="C373" t="s">
        <v>732</v>
      </c>
      <c r="D373" t="s">
        <v>733</v>
      </c>
    </row>
    <row r="374" spans="3:4" x14ac:dyDescent="0.2">
      <c r="C374" t="s">
        <v>734</v>
      </c>
      <c r="D374" t="s">
        <v>670</v>
      </c>
    </row>
    <row r="375" spans="3:4" x14ac:dyDescent="0.2">
      <c r="C375" t="s">
        <v>735</v>
      </c>
      <c r="D375" t="s">
        <v>736</v>
      </c>
    </row>
    <row r="376" spans="3:4" x14ac:dyDescent="0.2">
      <c r="C376" t="s">
        <v>737</v>
      </c>
      <c r="D376" t="s">
        <v>738</v>
      </c>
    </row>
    <row r="377" spans="3:4" x14ac:dyDescent="0.2">
      <c r="C377" t="s">
        <v>739</v>
      </c>
      <c r="D377" t="s">
        <v>367</v>
      </c>
    </row>
    <row r="378" spans="3:4" x14ac:dyDescent="0.2">
      <c r="C378" t="s">
        <v>740</v>
      </c>
      <c r="D378" t="s">
        <v>670</v>
      </c>
    </row>
    <row r="379" spans="3:4" x14ac:dyDescent="0.2">
      <c r="C379" t="s">
        <v>741</v>
      </c>
      <c r="D379" t="s">
        <v>670</v>
      </c>
    </row>
    <row r="380" spans="3:4" x14ac:dyDescent="0.2">
      <c r="C380" t="s">
        <v>742</v>
      </c>
      <c r="D380" t="s">
        <v>743</v>
      </c>
    </row>
    <row r="381" spans="3:4" x14ac:dyDescent="0.2">
      <c r="C381" t="s">
        <v>744</v>
      </c>
      <c r="D381" t="s">
        <v>670</v>
      </c>
    </row>
    <row r="382" spans="3:4" x14ac:dyDescent="0.2">
      <c r="C382" t="s">
        <v>745</v>
      </c>
      <c r="D382" t="s">
        <v>746</v>
      </c>
    </row>
    <row r="383" spans="3:4" x14ac:dyDescent="0.2">
      <c r="C383" t="s">
        <v>747</v>
      </c>
      <c r="D383" t="s">
        <v>670</v>
      </c>
    </row>
    <row r="384" spans="3:4" x14ac:dyDescent="0.2">
      <c r="C384" t="s">
        <v>748</v>
      </c>
      <c r="D384" t="s">
        <v>749</v>
      </c>
    </row>
    <row r="385" spans="3:4" x14ac:dyDescent="0.2">
      <c r="C385" t="s">
        <v>750</v>
      </c>
      <c r="D385" t="s">
        <v>751</v>
      </c>
    </row>
    <row r="386" spans="3:4" x14ac:dyDescent="0.2">
      <c r="C386" t="s">
        <v>752</v>
      </c>
      <c r="D386" t="s">
        <v>753</v>
      </c>
    </row>
    <row r="387" spans="3:4" x14ac:dyDescent="0.2">
      <c r="C387" t="s">
        <v>754</v>
      </c>
      <c r="D387" t="s">
        <v>755</v>
      </c>
    </row>
    <row r="388" spans="3:4" x14ac:dyDescent="0.2">
      <c r="C388" t="s">
        <v>756</v>
      </c>
      <c r="D388" t="s">
        <v>757</v>
      </c>
    </row>
    <row r="389" spans="3:4" x14ac:dyDescent="0.2">
      <c r="C389" t="s">
        <v>758</v>
      </c>
      <c r="D389" t="s">
        <v>759</v>
      </c>
    </row>
    <row r="390" spans="3:4" x14ac:dyDescent="0.2">
      <c r="C390" t="s">
        <v>760</v>
      </c>
      <c r="D390" t="s">
        <v>761</v>
      </c>
    </row>
    <row r="391" spans="3:4" x14ac:dyDescent="0.2">
      <c r="C391" t="s">
        <v>762</v>
      </c>
      <c r="D391" t="s">
        <v>763</v>
      </c>
    </row>
    <row r="392" spans="3:4" x14ac:dyDescent="0.2">
      <c r="C392" t="s">
        <v>764</v>
      </c>
      <c r="D392" t="s">
        <v>670</v>
      </c>
    </row>
    <row r="393" spans="3:4" x14ac:dyDescent="0.2">
      <c r="C393" t="s">
        <v>765</v>
      </c>
      <c r="D393" t="s">
        <v>670</v>
      </c>
    </row>
    <row r="394" spans="3:4" x14ac:dyDescent="0.2">
      <c r="C394" t="s">
        <v>766</v>
      </c>
      <c r="D394" t="s">
        <v>767</v>
      </c>
    </row>
    <row r="395" spans="3:4" x14ac:dyDescent="0.2">
      <c r="C395" t="s">
        <v>768</v>
      </c>
      <c r="D395" t="s">
        <v>769</v>
      </c>
    </row>
    <row r="396" spans="3:4" x14ac:dyDescent="0.2">
      <c r="C396" t="s">
        <v>770</v>
      </c>
      <c r="D396" t="s">
        <v>771</v>
      </c>
    </row>
    <row r="397" spans="3:4" x14ac:dyDescent="0.2">
      <c r="C397" t="s">
        <v>773</v>
      </c>
      <c r="D397" t="s">
        <v>774</v>
      </c>
    </row>
    <row r="398" spans="3:4" x14ac:dyDescent="0.2">
      <c r="C398" t="s">
        <v>775</v>
      </c>
      <c r="D398" t="s">
        <v>774</v>
      </c>
    </row>
    <row r="399" spans="3:4" x14ac:dyDescent="0.2">
      <c r="C399" t="s">
        <v>776</v>
      </c>
      <c r="D399" t="s">
        <v>670</v>
      </c>
    </row>
    <row r="400" spans="3:4" x14ac:dyDescent="0.2">
      <c r="C400" t="s">
        <v>777</v>
      </c>
      <c r="D400" t="s">
        <v>670</v>
      </c>
    </row>
    <row r="401" spans="3:4" x14ac:dyDescent="0.2">
      <c r="C401" t="s">
        <v>778</v>
      </c>
      <c r="D401" t="s">
        <v>369</v>
      </c>
    </row>
    <row r="402" spans="3:4" x14ac:dyDescent="0.2">
      <c r="C402" t="s">
        <v>779</v>
      </c>
      <c r="D402" t="s">
        <v>780</v>
      </c>
    </row>
    <row r="403" spans="3:4" x14ac:dyDescent="0.2">
      <c r="C403" t="s">
        <v>781</v>
      </c>
      <c r="D403" t="s">
        <v>670</v>
      </c>
    </row>
    <row r="404" spans="3:4" x14ac:dyDescent="0.2">
      <c r="C404" t="s">
        <v>782</v>
      </c>
      <c r="D404" t="s">
        <v>783</v>
      </c>
    </row>
    <row r="405" spans="3:4" x14ac:dyDescent="0.2">
      <c r="C405" t="s">
        <v>784</v>
      </c>
      <c r="D405" t="s">
        <v>785</v>
      </c>
    </row>
    <row r="406" spans="3:4" x14ac:dyDescent="0.2">
      <c r="C406" t="s">
        <v>786</v>
      </c>
      <c r="D406" t="s">
        <v>787</v>
      </c>
    </row>
    <row r="407" spans="3:4" x14ac:dyDescent="0.2">
      <c r="C407" t="s">
        <v>788</v>
      </c>
      <c r="D407" t="s">
        <v>670</v>
      </c>
    </row>
    <row r="408" spans="3:4" x14ac:dyDescent="0.2">
      <c r="C408" t="s">
        <v>789</v>
      </c>
      <c r="D408" t="s">
        <v>670</v>
      </c>
    </row>
    <row r="409" spans="3:4" x14ac:dyDescent="0.2">
      <c r="C409" t="s">
        <v>790</v>
      </c>
      <c r="D409" t="s">
        <v>670</v>
      </c>
    </row>
    <row r="410" spans="3:4" x14ac:dyDescent="0.2">
      <c r="C410" t="s">
        <v>791</v>
      </c>
      <c r="D410" t="s">
        <v>670</v>
      </c>
    </row>
    <row r="411" spans="3:4" x14ac:dyDescent="0.2">
      <c r="C411" t="s">
        <v>792</v>
      </c>
      <c r="D411" t="s">
        <v>793</v>
      </c>
    </row>
  </sheetData>
  <autoFilter ref="C5:D396" xr:uid="{9F1BF2EC-EE5F-4F49-93C3-9C75D0FF156F}">
    <sortState xmlns:xlrd2="http://schemas.microsoft.com/office/spreadsheetml/2017/richdata2" ref="C6:D340">
      <sortCondition ref="C5:C336"/>
    </sortState>
  </autoFilter>
  <mergeCells count="1">
    <mergeCell ref="C4:D4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ServiceKeyPoints xmlns="71af3243-3dd4-4a8d-8c0d-dd76da1f02a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1" ma:contentTypeDescription="Create a new document." ma:contentTypeScope="" ma:versionID="1c2eb7a32e66fb6e4260f3771546a5e2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04e1f6479c48b08974ba73b5ca973489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8ED06D3-77A2-41C3-BB5B-A18A597E36A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72D0B32-C18A-409B-8D98-C5E956A80A4D}">
  <ds:schemaRefs>
    <ds:schemaRef ds:uri="16c05727-aa75-4e4a-9b5f-8a80a1165891"/>
    <ds:schemaRef ds:uri="http://schemas.microsoft.com/office/2006/metadata/properties"/>
    <ds:schemaRef ds:uri="71af3243-3dd4-4a8d-8c0d-dd76da1f02a5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F67A352-85B0-4842-AE5F-A9C6F9C0336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Cotización</vt:lpstr>
      <vt:lpstr>Hoja3</vt:lpstr>
      <vt:lpstr>Cotización!Área_de_impresión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Jashpro2.0</dc:creator>
  <cp:lastModifiedBy>JOEL SOSA</cp:lastModifiedBy>
  <cp:lastPrinted>2026-06-16T21:41:13Z</cp:lastPrinted>
  <dcterms:created xsi:type="dcterms:W3CDTF">2019-03-04T05:46:05Z</dcterms:created>
  <dcterms:modified xsi:type="dcterms:W3CDTF">2026-06-17T14:03:09Z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