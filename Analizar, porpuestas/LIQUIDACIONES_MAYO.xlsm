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OEL SOSA\Downloads\"/>
    </mc:Choice>
  </mc:AlternateContent>
  <xr:revisionPtr revIDLastSave="0" documentId="8_{956668CB-E982-40EF-9796-A5E9EA4805FC}" xr6:coauthVersionLast="47" xr6:coauthVersionMax="47" xr10:uidLastSave="{00000000-0000-0000-0000-000000000000}"/>
  <bookViews>
    <workbookView xWindow="-120" yWindow="-120" windowWidth="29040" windowHeight="15720" activeTab="1" xr2:uid="{A5CC938A-2084-48C1-B1E0-CABE2A69F7EA}"/>
  </bookViews>
  <sheets>
    <sheet name="FORMATO LIQUIDACION" sheetId="15" r:id="rId1"/>
    <sheet name="CARLOS PIZARRO - MAYO 2026" sheetId="29" r:id="rId2"/>
    <sheet name="MIGUEL BERRIOS - MAYO 2026" sheetId="30" r:id="rId3"/>
    <sheet name="FERNANDO VILLALBA-MAYO 2026" sheetId="31" r:id="rId4"/>
    <sheet name="RICARDO - MAYO 2026" sheetId="26" r:id="rId5"/>
  </sheets>
  <functionGroups builtInGroupCount="19"/>
  <externalReferences>
    <externalReference r:id="rId6"/>
  </externalReferences>
  <definedNames>
    <definedName name="afc_val">#REF!</definedName>
    <definedName name="afp_val">#REF!</definedName>
    <definedName name="_xlnm.Print_Area" localSheetId="1">'CARLOS PIZARRO - MAYO 2026'!$A$1:$H$57</definedName>
    <definedName name="_xlnm.Print_Area" localSheetId="3">'FERNANDO VILLALBA-MAYO 2026'!$A$1:$H$58</definedName>
    <definedName name="_xlnm.Print_Area" localSheetId="0">'FORMATO LIQUIDACION'!$A$1:$H$57</definedName>
    <definedName name="_xlnm.Print_Area" localSheetId="2">'MIGUEL BERRIOS - MAYO 2026'!$A$1:$H$57</definedName>
    <definedName name="_xlnm.Print_Area" localSheetId="4">'RICARDO - MAYO 2026'!$A$1:$H$58</definedName>
    <definedName name="base_imponible_valor">#REF!</definedName>
    <definedName name="base_tributable_valor">#REF!</definedName>
    <definedName name="cot_vol_val">#REF!</definedName>
    <definedName name="dato_afp_texto">#REF!</definedName>
    <definedName name="dato_cargo">#REF!</definedName>
    <definedName name="dato_contrato">#REF!</definedName>
    <definedName name="dato_dias">#REF!</definedName>
    <definedName name="dato_fecha">#REF!</definedName>
    <definedName name="dato_fecha_ingreso">#REF!</definedName>
    <definedName name="dato_nombre">#REF!</definedName>
    <definedName name="dato_prevision">#REF!</definedName>
    <definedName name="dato_rut">#REF!</definedName>
    <definedName name="dato_salud">#REF!</definedName>
    <definedName name="dato_salud_texto">#REF!</definedName>
    <definedName name="desc_afc">#REF!</definedName>
    <definedName name="desc_impuesto">#REF!</definedName>
    <definedName name="desc_otros">#REF!</definedName>
    <definedName name="desc_prevision">#REF!</definedName>
    <definedName name="desc_salud">#REF!</definedName>
    <definedName name="desc_voluntaria">#REF!</definedName>
    <definedName name="gratificacion_val">#REF!</definedName>
    <definedName name="imp_gratificacion">#REF!</definedName>
    <definedName name="imp_otros">#REF!</definedName>
    <definedName name="imp_sueldo_base">#REF!</definedName>
    <definedName name="imp_total">#REF!</definedName>
    <definedName name="impuesto_val">#REF!</definedName>
    <definedName name="liquido_val">#REF!</definedName>
    <definedName name="monto_palabras">#REF!</definedName>
    <definedName name="movilizacion_val">#REF!</definedName>
    <definedName name="noimp_movilizacion">#REF!</definedName>
    <definedName name="noimp_otros">#REF!</definedName>
    <definedName name="otros_desc_val">#REF!</definedName>
    <definedName name="otros_imp_val">#REF!</definedName>
    <definedName name="otros_noimp_val">#REF!</definedName>
    <definedName name="salud_val">#REF!</definedName>
    <definedName name="sueldo_base_val">#REF!</definedName>
    <definedName name="total_descuentos">#REF!</definedName>
    <definedName name="total_descuentos_val">#REF!</definedName>
    <definedName name="total_haberes">#REF!</definedName>
    <definedName name="total_imponibles_val">#REF!</definedName>
    <definedName name="total_liquido">#REF!</definedName>
    <definedName name="total_noimponibles_v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0" i="26" l="1"/>
  <c r="E34" i="30" l="1"/>
  <c r="H45" i="30" s="1"/>
  <c r="C37" i="31"/>
  <c r="E34" i="31"/>
  <c r="H32" i="31"/>
  <c r="H31" i="31"/>
  <c r="H30" i="31"/>
  <c r="H37" i="31" s="1"/>
  <c r="D24" i="31"/>
  <c r="C37" i="26"/>
  <c r="H45" i="31" l="1"/>
  <c r="B45" i="31" a="1"/>
  <c r="B45" i="31" l="1"/>
  <c r="H32" i="26" l="1"/>
  <c r="H31" i="26"/>
  <c r="H37" i="26"/>
  <c r="A24" i="29"/>
  <c r="E34" i="29"/>
  <c r="C31" i="29"/>
  <c r="C37" i="29" s="1"/>
  <c r="H37" i="30"/>
  <c r="H32" i="30"/>
  <c r="H31" i="30"/>
  <c r="H30" i="30"/>
  <c r="C31" i="30"/>
  <c r="C37" i="30"/>
  <c r="D24" i="26" l="1"/>
  <c r="H32" i="29"/>
  <c r="H31" i="29"/>
  <c r="H30" i="29"/>
  <c r="D24" i="29" s="1"/>
  <c r="H37" i="29"/>
  <c r="H45" i="29" s="1"/>
  <c r="E34" i="26"/>
  <c r="H45" i="26" s="1"/>
  <c r="B45" i="26" a="1"/>
  <c r="B45" i="29" a="1"/>
  <c r="B45" i="30" a="1"/>
  <c r="B45" i="29" l="1"/>
  <c r="B45" i="30"/>
  <c r="B45" i="2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<sst xmlns="http://schemas.openxmlformats.org/spreadsheetml/2006/main" count="296" uniqueCount="75">
  <si>
    <t>Cargo:</t>
  </si>
  <si>
    <t>Sueldo Base</t>
  </si>
  <si>
    <t>Movilización</t>
  </si>
  <si>
    <t>Transporte</t>
  </si>
  <si>
    <t>Otros</t>
  </si>
  <si>
    <t>Nombre:</t>
  </si>
  <si>
    <t>Base Imponible</t>
  </si>
  <si>
    <t>Base Tributable</t>
  </si>
  <si>
    <t>Haberes Imponibles</t>
  </si>
  <si>
    <t>Haberes No Imponibles</t>
  </si>
  <si>
    <t>Descuentos</t>
  </si>
  <si>
    <t>Cotización Voluntaria</t>
  </si>
  <si>
    <t>Otros Descuentos</t>
  </si>
  <si>
    <t>Total Descuentos:</t>
  </si>
  <si>
    <t>R.U.T.</t>
  </si>
  <si>
    <t>:</t>
  </si>
  <si>
    <t>Dirección</t>
  </si>
  <si>
    <t>Giro</t>
  </si>
  <si>
    <t>e-mail</t>
  </si>
  <si>
    <t>Teléfono</t>
  </si>
  <si>
    <t>Liquidación de Remuneraciones</t>
  </si>
  <si>
    <t>||</t>
  </si>
  <si>
    <t>Datos del Trabajador</t>
  </si>
  <si>
    <t>Centro de Costos:</t>
  </si>
  <si>
    <t>Matriz</t>
  </si>
  <si>
    <t>Rut:</t>
  </si>
  <si>
    <t>Días Trabajados:</t>
  </si>
  <si>
    <t>Fecha Ingreso:</t>
  </si>
  <si>
    <t>Institución Previsional:</t>
  </si>
  <si>
    <t>Institución de Salud:</t>
  </si>
  <si>
    <t>Detalle Conceptos Haber y Descuento</t>
  </si>
  <si>
    <t>Gratificación Legal</t>
  </si>
  <si>
    <t>Otros Imponibles</t>
  </si>
  <si>
    <t>Cotización Previsional AFP</t>
  </si>
  <si>
    <t>Fonasa</t>
  </si>
  <si>
    <t>Seguro de Cesantía</t>
  </si>
  <si>
    <t>Impuesto Único</t>
  </si>
  <si>
    <t>Total No Imponibles:</t>
  </si>
  <si>
    <t>Son:</t>
  </si>
  <si>
    <t>Alcance Liquido:</t>
  </si>
  <si>
    <t>Certifico que he recibido a entera satisfacción los valores contenidos en la presente liquidación de sueldo por lo cual no tengo ningún cargo o reclamo posterior que efectuar a mi empleador.</t>
  </si>
  <si>
    <t>Recibí Conforme</t>
  </si>
  <si>
    <t>77.551.117-6</t>
  </si>
  <si>
    <t>SALAS 357</t>
  </si>
  <si>
    <t>FONASA (7,00%)</t>
  </si>
  <si>
    <t>Alimentación</t>
  </si>
  <si>
    <t>Total Imponibles:</t>
  </si>
  <si>
    <t>un millón doscientos cincuenta y dos mil setenta y uno pesos.</t>
  </si>
  <si>
    <t>EMPRESA SPA</t>
  </si>
  <si>
    <t>Periodo de Remuneraciones:</t>
  </si>
  <si>
    <t>+569 4966 1782</t>
  </si>
  <si>
    <t>PUBLICIDAD</t>
  </si>
  <si>
    <t>contacto@j2publicidad.com</t>
  </si>
  <si>
    <t>18141630-0</t>
  </si>
  <si>
    <t>15-11-2024</t>
  </si>
  <si>
    <t>PLANVITAL (11,16%)</t>
  </si>
  <si>
    <t>J2 PUBLICIDAD SPA</t>
  </si>
  <si>
    <t>CARLOS PIZARRO</t>
  </si>
  <si>
    <t>DECORADOR</t>
  </si>
  <si>
    <t>UNO (10,46%)</t>
  </si>
  <si>
    <t>DISEÑADOR</t>
  </si>
  <si>
    <t>19450421-7</t>
  </si>
  <si>
    <t>MIGUEL BERRIOS</t>
  </si>
  <si>
    <t>MODELO (10,58%)</t>
  </si>
  <si>
    <t>Anticipo</t>
  </si>
  <si>
    <t>Periodo de Remuneraciones: MAYO 2026</t>
  </si>
  <si>
    <t>FERNANDO VILLALBA</t>
  </si>
  <si>
    <t>28826908-4</t>
  </si>
  <si>
    <t>INSTALADOR</t>
  </si>
  <si>
    <t>VILLYCAR SPA</t>
  </si>
  <si>
    <t>78263871-8</t>
  </si>
  <si>
    <t>contacto@villycartuning.com</t>
  </si>
  <si>
    <t>RICARDO ROJAS</t>
  </si>
  <si>
    <t>18140776-K</t>
  </si>
  <si>
    <t>Periodo de Remuneraciones: Mayo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</si>
</sst>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\ #,##0"/>
  </numFmts>
  <fonts count="7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D9D9D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1" fillId="0" borderId="0" xfId="0" applyFont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right" vertical="center"/>
    </xf>
    <xf numFmtId="0" fontId="1" fillId="2" borderId="7" xfId="0" applyFont="1" applyFill="1" applyBorder="1" applyAlignment="1">
      <alignment horizontal="left" vertical="center"/>
    </xf>
    <xf numFmtId="164" fontId="1" fillId="2" borderId="0" xfId="0" applyNumberFormat="1" applyFont="1" applyFill="1" applyBorder="1" applyAlignment="1">
      <alignment horizontal="left" vertical="center"/>
    </xf>
    <xf numFmtId="0" fontId="1" fillId="2" borderId="9" xfId="0" applyFont="1" applyFill="1" applyBorder="1" applyAlignment="1">
      <alignment horizontal="left" vertical="center"/>
    </xf>
    <xf numFmtId="0" fontId="1" fillId="2" borderId="10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164" fontId="1" fillId="2" borderId="10" xfId="0" applyNumberFormat="1" applyFont="1" applyFill="1" applyBorder="1" applyAlignment="1">
      <alignment horizontal="left" vertical="center"/>
    </xf>
    <xf numFmtId="164" fontId="2" fillId="2" borderId="10" xfId="0" applyNumberFormat="1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left" vertical="center"/>
    </xf>
    <xf numFmtId="0" fontId="1" fillId="2" borderId="1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10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64" fontId="5" fillId="2" borderId="3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1" fillId="2" borderId="10" xfId="0" applyFont="1" applyFill="1" applyBorder="1" applyAlignment="1">
      <alignment horizontal="left" vertical="center"/>
    </xf>
    <xf numFmtId="14" fontId="1" fillId="2" borderId="0" xfId="0" applyNumberFormat="1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6" fillId="2" borderId="0" xfId="1" applyFill="1" applyBorder="1" applyAlignment="1">
      <alignment horizontal="left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</xdr:row>
      <xdr:rowOff>56030</xdr:rowOff>
    </xdr:from>
    <xdr:to>
      <xdr:col>7</xdr:col>
      <xdr:colOff>607609</xdr:colOff>
      <xdr:row>5</xdr:row>
      <xdr:rowOff>11207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A3FBFF7-B74C-0AEE-5982-9479F49F54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7706" y="156883"/>
          <a:ext cx="1593727" cy="8964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156882</xdr:colOff>
      <xdr:row>1</xdr:row>
      <xdr:rowOff>134471</xdr:rowOff>
    </xdr:from>
    <xdr:to>
      <xdr:col>7</xdr:col>
      <xdr:colOff>764491</xdr:colOff>
      <xdr:row>5</xdr:row>
      <xdr:rowOff>89648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3394034-DB1D-496A-9E4C-EA19D078B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4588" y="235324"/>
          <a:ext cx="1593727" cy="8964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134471</xdr:colOff>
      <xdr:row>1</xdr:row>
      <xdr:rowOff>100852</xdr:rowOff>
    </xdr:from>
    <xdr:to>
      <xdr:col>7</xdr:col>
      <xdr:colOff>742080</xdr:colOff>
      <xdr:row>5</xdr:row>
      <xdr:rowOff>56029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A4880C2-A523-4D74-820A-6590AA6CC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177" y="201705"/>
          <a:ext cx="1593727" cy="8964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89647</xdr:colOff>
      <xdr:row>1</xdr:row>
      <xdr:rowOff>56029</xdr:rowOff>
    </xdr:from>
    <xdr:to>
      <xdr:col>7</xdr:col>
      <xdr:colOff>697256</xdr:colOff>
      <xdr:row>5</xdr:row>
      <xdr:rowOff>11206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85845BF-386A-49D1-9B71-077B624C8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6147" y="151279"/>
          <a:ext cx="1588684" cy="90767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1143000</xdr:colOff>
      <xdr:row>0</xdr:row>
      <xdr:rowOff>0</xdr:rowOff>
    </xdr:from>
    <xdr:to>
      <xdr:col>7</xdr:col>
      <xdr:colOff>745813</xdr:colOff>
      <xdr:row>4</xdr:row>
      <xdr:rowOff>224117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D9FAED5-287B-62FC-E3A6-BCEFA34268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6853" y="0"/>
          <a:ext cx="1832784" cy="103094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EL%20SOSA\Documents\NumeroLetras.xlam" TargetMode="External"/><Relationship Id="rId1" Type="http://schemas.openxmlformats.org/officeDocument/2006/relationships/externalLinkPath" Target="/Users/JOEL%20SOSA/Documents/NumeroLetra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  <sheetName val="Hoja2"/>
      <sheetName val="Hoja3"/>
    </sheetNames>
    <definedNames>
      <definedName name="NumeroLetra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contacto@villycartuning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E5B47-B926-426A-95F5-3803B0882A9F}">
  <sheetPr codeName="Hoja8">
    <pageSetUpPr fitToPage="1"/>
  </sheetPr>
  <dimension ref="A1:H57"/>
  <sheetViews>
    <sheetView zoomScale="85" zoomScaleNormal="85" workbookViewId="0">
      <selection activeCell="L28" sqref="L28"/>
    </sheetView>
  </sheetViews>
  <sheetFormatPr baseColWidth="10" defaultRowHeight="12.75" x14ac:dyDescent="0.25"/>
  <cols>
    <col min="1" max="1" width="16.7109375" style="1" customWidth="1"/>
    <col min="2" max="5" width="14.7109375" style="1" customWidth="1"/>
    <col min="6" max="6" width="18.7109375" style="1" customWidth="1"/>
    <col min="7" max="8" width="14.7109375" style="1" customWidth="1"/>
    <col min="9" max="16384" width="11.42578125" style="1"/>
  </cols>
  <sheetData>
    <row r="1" spans="1:8" ht="8.1" customHeight="1" x14ac:dyDescent="0.25">
      <c r="A1" s="45"/>
      <c r="B1" s="45"/>
      <c r="C1" s="45"/>
      <c r="D1" s="45"/>
      <c r="E1" s="45"/>
      <c r="F1" s="45"/>
      <c r="G1" s="45"/>
      <c r="H1" s="45"/>
    </row>
    <row r="2" spans="1:8" ht="18.95" customHeight="1" x14ac:dyDescent="0.25">
      <c r="A2" s="19"/>
      <c r="B2" s="19"/>
      <c r="C2" s="19"/>
      <c r="D2" s="19" t="s">
        <v>48</v>
      </c>
      <c r="E2" s="19"/>
      <c r="F2" s="19"/>
      <c r="G2" s="19"/>
      <c r="H2" s="19"/>
    </row>
    <row r="3" spans="1:8" ht="18.95" customHeight="1" x14ac:dyDescent="0.25">
      <c r="A3" s="2" t="s">
        <v>14</v>
      </c>
      <c r="B3" s="2" t="s">
        <v>15</v>
      </c>
      <c r="C3" s="2"/>
      <c r="D3" s="2"/>
      <c r="E3" s="2"/>
      <c r="F3" s="2"/>
      <c r="G3" s="2"/>
      <c r="H3" s="2"/>
    </row>
    <row r="4" spans="1:8" ht="18.95" customHeight="1" x14ac:dyDescent="0.25">
      <c r="A4" s="2" t="s">
        <v>16</v>
      </c>
      <c r="B4" s="2" t="s">
        <v>15</v>
      </c>
      <c r="C4" s="39"/>
      <c r="D4" s="39"/>
      <c r="E4" s="39"/>
      <c r="F4" s="39"/>
      <c r="G4" s="39"/>
      <c r="H4" s="39"/>
    </row>
    <row r="5" spans="1:8" ht="18.95" customHeight="1" x14ac:dyDescent="0.25">
      <c r="A5" s="2" t="s">
        <v>17</v>
      </c>
      <c r="B5" s="2" t="s">
        <v>15</v>
      </c>
      <c r="C5" s="39"/>
      <c r="D5" s="39"/>
      <c r="E5" s="39"/>
      <c r="F5" s="39"/>
      <c r="G5" s="39"/>
      <c r="H5" s="39"/>
    </row>
    <row r="6" spans="1:8" ht="18.95" customHeight="1" x14ac:dyDescent="0.25">
      <c r="A6" s="2"/>
      <c r="B6" s="2"/>
      <c r="C6" s="2"/>
      <c r="D6" s="2"/>
      <c r="E6" s="2"/>
      <c r="F6" s="2"/>
      <c r="G6" s="2"/>
      <c r="H6" s="2"/>
    </row>
    <row r="7" spans="1:8" ht="18.95" customHeight="1" x14ac:dyDescent="0.25">
      <c r="A7" s="2" t="s">
        <v>18</v>
      </c>
      <c r="B7" s="2" t="s">
        <v>15</v>
      </c>
      <c r="C7" s="39"/>
      <c r="D7" s="39"/>
      <c r="E7" s="39"/>
      <c r="F7" s="39"/>
      <c r="G7" s="39"/>
      <c r="H7" s="39"/>
    </row>
    <row r="8" spans="1:8" ht="18.95" customHeight="1" x14ac:dyDescent="0.25">
      <c r="A8" s="2" t="s">
        <v>19</v>
      </c>
      <c r="B8" s="2" t="s">
        <v>15</v>
      </c>
      <c r="C8" s="2"/>
      <c r="D8" s="2"/>
      <c r="E8" s="2"/>
      <c r="F8" s="2"/>
      <c r="G8" s="2"/>
      <c r="H8" s="2"/>
    </row>
    <row r="9" spans="1:8" ht="18.95" customHeight="1" x14ac:dyDescent="0.25">
      <c r="A9" s="2"/>
      <c r="B9" s="2"/>
      <c r="C9" s="2"/>
      <c r="D9" s="2"/>
      <c r="E9" s="2"/>
      <c r="F9" s="2"/>
      <c r="G9" s="2"/>
      <c r="H9" s="2"/>
    </row>
    <row r="10" spans="1:8" ht="18.95" customHeight="1" x14ac:dyDescent="0.25">
      <c r="A10" s="2"/>
      <c r="B10" s="5" t="s">
        <v>21</v>
      </c>
      <c r="C10" s="46" t="s">
        <v>20</v>
      </c>
      <c r="D10" s="46"/>
      <c r="E10" s="46"/>
      <c r="F10" s="46"/>
      <c r="G10" s="4" t="s">
        <v>21</v>
      </c>
      <c r="H10" s="2"/>
    </row>
    <row r="11" spans="1:8" ht="18.95" customHeight="1" x14ac:dyDescent="0.25">
      <c r="A11" s="2"/>
      <c r="B11" s="2"/>
      <c r="C11" s="18" t="s">
        <v>49</v>
      </c>
      <c r="D11" s="18"/>
      <c r="E11" s="18"/>
      <c r="F11" s="18"/>
      <c r="G11" s="2"/>
      <c r="H11" s="2"/>
    </row>
    <row r="12" spans="1:8" ht="18.95" customHeight="1" x14ac:dyDescent="0.25">
      <c r="A12" s="2"/>
      <c r="B12" s="2"/>
      <c r="C12" s="2"/>
      <c r="D12" s="2"/>
      <c r="E12" s="2"/>
      <c r="F12" s="2"/>
      <c r="G12" s="2"/>
      <c r="H12" s="2"/>
    </row>
    <row r="13" spans="1:8" ht="18.95" customHeight="1" x14ac:dyDescent="0.25">
      <c r="A13" s="29" t="s">
        <v>22</v>
      </c>
      <c r="B13" s="30"/>
      <c r="C13" s="30"/>
      <c r="D13" s="30"/>
      <c r="E13" s="30"/>
      <c r="F13" s="30"/>
      <c r="G13" s="30"/>
      <c r="H13" s="31"/>
    </row>
    <row r="14" spans="1:8" ht="18.95" customHeight="1" x14ac:dyDescent="0.25">
      <c r="A14" s="16"/>
      <c r="B14" s="6"/>
      <c r="C14" s="6"/>
      <c r="D14" s="6"/>
      <c r="E14" s="6"/>
      <c r="F14" s="6"/>
      <c r="G14" s="6"/>
      <c r="H14" s="17"/>
    </row>
    <row r="15" spans="1:8" ht="18.95" customHeight="1" x14ac:dyDescent="0.25">
      <c r="A15" s="8" t="s">
        <v>5</v>
      </c>
      <c r="B15" s="39"/>
      <c r="C15" s="39"/>
      <c r="D15" s="39"/>
      <c r="E15" s="2"/>
      <c r="F15" s="2" t="s">
        <v>23</v>
      </c>
      <c r="G15" s="39"/>
      <c r="H15" s="40"/>
    </row>
    <row r="16" spans="1:8" ht="18.95" customHeight="1" x14ac:dyDescent="0.25">
      <c r="A16" s="8"/>
      <c r="B16" s="2"/>
      <c r="C16" s="2"/>
      <c r="D16" s="2"/>
      <c r="E16" s="2"/>
      <c r="F16" s="2"/>
      <c r="G16" s="2"/>
      <c r="H16" s="9"/>
    </row>
    <row r="17" spans="1:8" ht="18.95" customHeight="1" x14ac:dyDescent="0.25">
      <c r="A17" s="8" t="s">
        <v>25</v>
      </c>
      <c r="B17" s="39"/>
      <c r="C17" s="39"/>
      <c r="D17" s="39"/>
      <c r="E17" s="2"/>
      <c r="F17" s="2" t="s">
        <v>26</v>
      </c>
      <c r="G17" s="39"/>
      <c r="H17" s="40"/>
    </row>
    <row r="18" spans="1:8" ht="18.95" customHeight="1" x14ac:dyDescent="0.25">
      <c r="A18" s="8"/>
      <c r="B18" s="2"/>
      <c r="C18" s="2"/>
      <c r="D18" s="2"/>
      <c r="E18" s="2"/>
      <c r="F18" s="2"/>
      <c r="G18" s="2"/>
      <c r="H18" s="9"/>
    </row>
    <row r="19" spans="1:8" ht="18.95" customHeight="1" x14ac:dyDescent="0.25">
      <c r="A19" s="8" t="s">
        <v>0</v>
      </c>
      <c r="B19" s="39"/>
      <c r="C19" s="39"/>
      <c r="D19" s="39"/>
      <c r="E19" s="2"/>
      <c r="F19" s="2" t="s">
        <v>27</v>
      </c>
      <c r="G19" s="41"/>
      <c r="H19" s="40"/>
    </row>
    <row r="20" spans="1:8" ht="18.95" customHeight="1" x14ac:dyDescent="0.25">
      <c r="A20" s="8" t="s">
        <v>28</v>
      </c>
      <c r="B20" s="39"/>
      <c r="C20" s="39"/>
      <c r="D20" s="39"/>
      <c r="E20" s="2"/>
      <c r="F20" s="2"/>
      <c r="G20" s="2"/>
      <c r="H20" s="9"/>
    </row>
    <row r="21" spans="1:8" ht="18.95" customHeight="1" x14ac:dyDescent="0.25">
      <c r="A21" s="13" t="s">
        <v>29</v>
      </c>
      <c r="B21" s="42"/>
      <c r="C21" s="42"/>
      <c r="D21" s="42"/>
      <c r="E21" s="14"/>
      <c r="F21" s="14"/>
      <c r="G21" s="14"/>
      <c r="H21" s="15"/>
    </row>
    <row r="22" spans="1:8" ht="18.95" customHeight="1" x14ac:dyDescent="0.25">
      <c r="A22" s="2"/>
      <c r="B22" s="2"/>
      <c r="C22" s="2"/>
      <c r="D22" s="2"/>
      <c r="E22" s="2"/>
      <c r="F22" s="2"/>
      <c r="G22" s="2"/>
      <c r="H22" s="2"/>
    </row>
    <row r="23" spans="1:8" ht="18.95" customHeight="1" x14ac:dyDescent="0.25">
      <c r="A23" s="43" t="s">
        <v>6</v>
      </c>
      <c r="B23" s="44"/>
      <c r="C23" s="2"/>
      <c r="D23" s="43" t="s">
        <v>7</v>
      </c>
      <c r="E23" s="44"/>
      <c r="F23" s="2"/>
      <c r="G23" s="2"/>
      <c r="H23" s="2"/>
    </row>
    <row r="24" spans="1:8" ht="18.95" customHeight="1" x14ac:dyDescent="0.25">
      <c r="A24" s="35"/>
      <c r="B24" s="36"/>
      <c r="C24" s="2"/>
      <c r="D24" s="35"/>
      <c r="E24" s="36"/>
      <c r="F24" s="2"/>
      <c r="G24" s="2"/>
      <c r="H24" s="2"/>
    </row>
    <row r="25" spans="1:8" ht="18.95" customHeight="1" x14ac:dyDescent="0.25">
      <c r="A25" s="37"/>
      <c r="B25" s="38"/>
      <c r="C25" s="2"/>
      <c r="D25" s="37"/>
      <c r="E25" s="38"/>
      <c r="F25" s="2"/>
      <c r="G25" s="2"/>
      <c r="H25" s="2"/>
    </row>
    <row r="26" spans="1:8" ht="18.95" customHeight="1" x14ac:dyDescent="0.25">
      <c r="A26" s="2"/>
      <c r="B26" s="2"/>
      <c r="C26" s="2"/>
      <c r="D26" s="2"/>
      <c r="E26" s="2"/>
      <c r="F26" s="2"/>
      <c r="G26" s="2"/>
      <c r="H26" s="2"/>
    </row>
    <row r="27" spans="1:8" ht="18.95" customHeight="1" x14ac:dyDescent="0.25">
      <c r="A27" s="32" t="s">
        <v>30</v>
      </c>
      <c r="B27" s="33"/>
      <c r="C27" s="33"/>
      <c r="D27" s="33"/>
      <c r="E27" s="33"/>
      <c r="F27" s="33"/>
      <c r="G27" s="33"/>
      <c r="H27" s="34"/>
    </row>
    <row r="28" spans="1:8" ht="18.95" customHeight="1" x14ac:dyDescent="0.25">
      <c r="A28" s="16"/>
      <c r="B28" s="6"/>
      <c r="C28" s="6"/>
      <c r="D28" s="6"/>
      <c r="E28" s="6"/>
      <c r="F28" s="6"/>
      <c r="G28" s="6"/>
      <c r="H28" s="17"/>
    </row>
    <row r="29" spans="1:8" ht="18.95" customHeight="1" x14ac:dyDescent="0.25">
      <c r="A29" s="10" t="s">
        <v>8</v>
      </c>
      <c r="B29" s="2"/>
      <c r="C29" s="2"/>
      <c r="D29" s="3" t="s">
        <v>9</v>
      </c>
      <c r="E29" s="2"/>
      <c r="F29" s="3" t="s">
        <v>10</v>
      </c>
      <c r="G29" s="2"/>
      <c r="H29" s="9"/>
    </row>
    <row r="30" spans="1:8" ht="18.95" customHeight="1" x14ac:dyDescent="0.25">
      <c r="A30" s="8" t="s">
        <v>1</v>
      </c>
      <c r="B30" s="2"/>
      <c r="C30" s="7"/>
      <c r="D30" s="2" t="s">
        <v>2</v>
      </c>
      <c r="E30" s="7"/>
      <c r="F30" s="2" t="s">
        <v>33</v>
      </c>
      <c r="G30" s="2"/>
      <c r="H30" s="11"/>
    </row>
    <row r="31" spans="1:8" ht="18.95" customHeight="1" x14ac:dyDescent="0.25">
      <c r="A31" s="8" t="s">
        <v>31</v>
      </c>
      <c r="B31" s="2"/>
      <c r="C31" s="7"/>
      <c r="D31" s="2" t="s">
        <v>45</v>
      </c>
      <c r="E31" s="7"/>
      <c r="F31" s="2" t="s">
        <v>34</v>
      </c>
      <c r="G31" s="2"/>
      <c r="H31" s="11"/>
    </row>
    <row r="32" spans="1:8" ht="18.95" customHeight="1" x14ac:dyDescent="0.25">
      <c r="A32" s="8" t="s">
        <v>32</v>
      </c>
      <c r="B32" s="2"/>
      <c r="C32" s="7"/>
      <c r="D32" s="2" t="s">
        <v>3</v>
      </c>
      <c r="E32" s="7"/>
      <c r="F32" s="2" t="s">
        <v>35</v>
      </c>
      <c r="G32" s="2"/>
      <c r="H32" s="11"/>
    </row>
    <row r="33" spans="1:8" ht="18.95" customHeight="1" x14ac:dyDescent="0.25">
      <c r="A33" s="8"/>
      <c r="B33" s="2"/>
      <c r="C33" s="2"/>
      <c r="D33" s="2" t="s">
        <v>4</v>
      </c>
      <c r="E33" s="7"/>
      <c r="F33" s="2" t="s">
        <v>36</v>
      </c>
      <c r="G33" s="2"/>
      <c r="H33" s="11"/>
    </row>
    <row r="34" spans="1:8" ht="18.95" customHeight="1" x14ac:dyDescent="0.25">
      <c r="A34" s="8"/>
      <c r="B34" s="2"/>
      <c r="C34" s="2"/>
      <c r="D34" s="3" t="s">
        <v>37</v>
      </c>
      <c r="E34" s="7"/>
      <c r="F34" s="2" t="s">
        <v>11</v>
      </c>
      <c r="G34" s="2"/>
      <c r="H34" s="11"/>
    </row>
    <row r="35" spans="1:8" ht="18.95" customHeight="1" x14ac:dyDescent="0.25">
      <c r="A35" s="8"/>
      <c r="B35" s="2"/>
      <c r="C35" s="2"/>
      <c r="D35" s="2"/>
      <c r="E35" s="2"/>
      <c r="F35" s="2" t="s">
        <v>12</v>
      </c>
      <c r="G35" s="2"/>
      <c r="H35" s="11"/>
    </row>
    <row r="36" spans="1:8" ht="18.95" customHeight="1" x14ac:dyDescent="0.25">
      <c r="A36" s="8"/>
      <c r="B36" s="2"/>
      <c r="C36" s="2"/>
      <c r="D36" s="2"/>
      <c r="E36" s="2"/>
      <c r="F36" s="2"/>
      <c r="G36" s="2"/>
      <c r="H36" s="9"/>
    </row>
    <row r="37" spans="1:8" ht="18.95" customHeight="1" x14ac:dyDescent="0.25">
      <c r="A37" s="8"/>
      <c r="B37" s="3" t="s">
        <v>46</v>
      </c>
      <c r="C37" s="7"/>
      <c r="D37" s="2"/>
      <c r="E37" s="2"/>
      <c r="F37" s="3" t="s">
        <v>13</v>
      </c>
      <c r="G37" s="2"/>
      <c r="H37" s="11"/>
    </row>
    <row r="38" spans="1:8" ht="18.95" customHeight="1" x14ac:dyDescent="0.25">
      <c r="A38" s="8"/>
      <c r="B38" s="2"/>
      <c r="C38" s="2"/>
      <c r="D38" s="2"/>
      <c r="E38" s="2"/>
      <c r="F38" s="2"/>
      <c r="G38" s="2"/>
      <c r="H38" s="9"/>
    </row>
    <row r="39" spans="1:8" ht="18.95" customHeight="1" x14ac:dyDescent="0.25">
      <c r="A39" s="8"/>
      <c r="B39" s="2"/>
      <c r="C39" s="2"/>
      <c r="D39" s="2"/>
      <c r="E39" s="2"/>
      <c r="F39" s="2"/>
      <c r="G39" s="2"/>
      <c r="H39" s="9"/>
    </row>
    <row r="40" spans="1:8" ht="18.95" customHeight="1" x14ac:dyDescent="0.25">
      <c r="A40" s="8"/>
      <c r="B40" s="2"/>
      <c r="C40" s="2"/>
      <c r="D40" s="2"/>
      <c r="E40" s="2"/>
      <c r="F40" s="2"/>
      <c r="G40" s="2"/>
      <c r="H40" s="9"/>
    </row>
    <row r="41" spans="1:8" ht="18.95" customHeight="1" x14ac:dyDescent="0.25">
      <c r="A41" s="8"/>
      <c r="B41" s="2"/>
      <c r="C41" s="2"/>
      <c r="D41" s="2"/>
      <c r="E41" s="2"/>
      <c r="F41" s="2"/>
      <c r="G41" s="2"/>
      <c r="H41" s="9"/>
    </row>
    <row r="42" spans="1:8" ht="18.95" customHeight="1" x14ac:dyDescent="0.25">
      <c r="A42" s="8"/>
      <c r="B42" s="2"/>
      <c r="C42" s="2"/>
      <c r="D42" s="2"/>
      <c r="E42" s="2"/>
      <c r="F42" s="2"/>
      <c r="G42" s="2"/>
      <c r="H42" s="9"/>
    </row>
    <row r="43" spans="1:8" ht="18.95" customHeight="1" x14ac:dyDescent="0.25">
      <c r="A43" s="8"/>
      <c r="B43" s="2"/>
      <c r="C43" s="2"/>
      <c r="D43" s="2"/>
      <c r="E43" s="2"/>
      <c r="F43" s="2"/>
      <c r="G43" s="2"/>
      <c r="H43" s="9"/>
    </row>
    <row r="44" spans="1:8" ht="18.95" customHeight="1" x14ac:dyDescent="0.25">
      <c r="A44" s="8"/>
      <c r="B44" s="2"/>
      <c r="C44" s="2"/>
      <c r="D44" s="2"/>
      <c r="E44" s="2"/>
      <c r="F44" s="2"/>
      <c r="G44" s="2"/>
      <c r="H44" s="9"/>
    </row>
    <row r="45" spans="1:8" ht="18.95" customHeight="1" x14ac:dyDescent="0.25">
      <c r="A45" s="8" t="s">
        <v>38</v>
      </c>
      <c r="B45" s="26" t="s">
        <v>47</v>
      </c>
      <c r="C45" s="26"/>
      <c r="D45" s="26"/>
      <c r="E45" s="26"/>
      <c r="F45" s="26"/>
      <c r="G45" s="3" t="s">
        <v>39</v>
      </c>
      <c r="H45" s="12"/>
    </row>
    <row r="46" spans="1:8" ht="18.95" customHeight="1" x14ac:dyDescent="0.25">
      <c r="A46" s="8"/>
      <c r="B46" s="26"/>
      <c r="C46" s="26"/>
      <c r="D46" s="26"/>
      <c r="E46" s="26"/>
      <c r="F46" s="26"/>
      <c r="G46" s="2"/>
      <c r="H46" s="9"/>
    </row>
    <row r="47" spans="1:8" ht="18.95" customHeight="1" x14ac:dyDescent="0.25">
      <c r="A47" s="13"/>
      <c r="B47" s="14"/>
      <c r="C47" s="14"/>
      <c r="D47" s="14"/>
      <c r="E47" s="14"/>
      <c r="F47" s="14"/>
      <c r="G47" s="14"/>
      <c r="H47" s="15"/>
    </row>
    <row r="48" spans="1:8" ht="18.95" customHeight="1" x14ac:dyDescent="0.25">
      <c r="A48" s="2"/>
      <c r="B48" s="2"/>
      <c r="C48" s="2"/>
      <c r="D48" s="2"/>
      <c r="E48" s="2"/>
      <c r="F48" s="2"/>
      <c r="G48" s="2"/>
      <c r="H48" s="2"/>
    </row>
    <row r="49" spans="1:8" ht="18.95" customHeight="1" x14ac:dyDescent="0.25">
      <c r="A49" s="2"/>
      <c r="B49" s="2"/>
      <c r="C49" s="2"/>
      <c r="D49" s="2"/>
      <c r="E49" s="2"/>
      <c r="F49" s="2"/>
      <c r="G49" s="2"/>
      <c r="H49" s="2"/>
    </row>
    <row r="50" spans="1:8" ht="18.95" customHeight="1" x14ac:dyDescent="0.25">
      <c r="A50" s="2"/>
      <c r="B50" s="2"/>
      <c r="C50" s="2"/>
      <c r="D50" s="2"/>
      <c r="E50" s="2"/>
      <c r="F50" s="2"/>
      <c r="G50" s="2"/>
      <c r="H50" s="2"/>
    </row>
    <row r="51" spans="1:8" ht="18.95" customHeight="1" x14ac:dyDescent="0.25">
      <c r="A51" s="26" t="s">
        <v>40</v>
      </c>
      <c r="B51" s="26"/>
      <c r="C51" s="26"/>
      <c r="D51" s="26"/>
      <c r="E51" s="26"/>
      <c r="F51" s="26"/>
      <c r="G51" s="6"/>
      <c r="H51" s="6"/>
    </row>
    <row r="52" spans="1:8" ht="18.95" customHeight="1" x14ac:dyDescent="0.25">
      <c r="A52" s="26"/>
      <c r="B52" s="26"/>
      <c r="C52" s="26"/>
      <c r="D52" s="26"/>
      <c r="E52" s="26"/>
      <c r="F52" s="26"/>
      <c r="G52" s="27" t="s">
        <v>41</v>
      </c>
      <c r="H52" s="28"/>
    </row>
    <row r="53" spans="1:8" ht="18.95" customHeight="1" x14ac:dyDescent="0.25">
      <c r="A53" s="2"/>
      <c r="B53" s="2"/>
      <c r="C53" s="2"/>
      <c r="D53" s="2"/>
      <c r="E53" s="2"/>
      <c r="F53" s="2"/>
      <c r="G53" s="2"/>
      <c r="H53" s="2"/>
    </row>
    <row r="54" spans="1:8" ht="18.95" customHeight="1" x14ac:dyDescent="0.25">
      <c r="A54" s="2"/>
      <c r="B54" s="2"/>
      <c r="C54" s="2"/>
      <c r="D54" s="2"/>
      <c r="E54" s="2"/>
      <c r="F54" s="2"/>
      <c r="G54" s="2"/>
      <c r="H54" s="2"/>
    </row>
    <row r="55" spans="1:8" ht="18.95" customHeight="1" x14ac:dyDescent="0.25">
      <c r="A55" s="2"/>
      <c r="B55" s="2"/>
      <c r="C55" s="2"/>
      <c r="D55" s="2"/>
      <c r="E55" s="2"/>
      <c r="F55" s="2"/>
      <c r="G55" s="2"/>
      <c r="H55" s="2"/>
    </row>
    <row r="56" spans="1:8" ht="18.95" customHeight="1" x14ac:dyDescent="0.25">
      <c r="A56" s="2"/>
      <c r="B56" s="2"/>
      <c r="C56" s="2"/>
      <c r="D56" s="2"/>
      <c r="E56" s="2"/>
      <c r="F56" s="2"/>
      <c r="G56" s="2"/>
      <c r="H56" s="2"/>
    </row>
    <row r="57" spans="1:8" ht="18.95" customHeight="1" x14ac:dyDescent="0.25">
      <c r="A57" s="2"/>
      <c r="B57" s="2"/>
      <c r="C57" s="2"/>
      <c r="D57" s="2"/>
      <c r="E57" s="2"/>
      <c r="F57" s="2"/>
      <c r="G57" s="2"/>
      <c r="H57" s="2"/>
    </row>
  </sheetData>
  <mergeCells count="22">
    <mergeCell ref="B15:D15"/>
    <mergeCell ref="A1:H1"/>
    <mergeCell ref="C4:H4"/>
    <mergeCell ref="C5:H5"/>
    <mergeCell ref="C7:H7"/>
    <mergeCell ref="C10:F10"/>
    <mergeCell ref="B45:F46"/>
    <mergeCell ref="A51:F52"/>
    <mergeCell ref="G52:H52"/>
    <mergeCell ref="A13:H13"/>
    <mergeCell ref="A27:H27"/>
    <mergeCell ref="A24:B25"/>
    <mergeCell ref="D24:E25"/>
    <mergeCell ref="G15:H15"/>
    <mergeCell ref="B17:D17"/>
    <mergeCell ref="G17:H17"/>
    <mergeCell ref="B19:D19"/>
    <mergeCell ref="G19:H19"/>
    <mergeCell ref="B20:D20"/>
    <mergeCell ref="B21:D21"/>
    <mergeCell ref="A23:B23"/>
    <mergeCell ref="D23:E23"/>
  </mergeCells>
  <pageMargins left="0.31496062992125989" right="0.31496062992125989" top="0.31496062992125989" bottom="0.31496062992125989" header="0.3" footer="0.3"/>
  <pageSetup scale="6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497E0-997F-4C00-B3F5-05036C1BD793}">
  <sheetPr codeName="Hoja10">
    <pageSetUpPr fitToPage="1"/>
  </sheetPr>
  <dimension ref="A1:H57"/>
  <sheetViews>
    <sheetView tabSelected="1" topLeftCell="A7" zoomScale="85" zoomScaleNormal="85" workbookViewId="0">
      <selection activeCell="A15" sqref="A15"/>
    </sheetView>
  </sheetViews>
  <sheetFormatPr baseColWidth="10" defaultRowHeight="12.75" x14ac:dyDescent="0.25"/>
  <cols>
    <col min="1" max="1" width="16.7109375" style="1" customWidth="1"/>
    <col min="2" max="5" width="14.7109375" style="1" customWidth="1"/>
    <col min="6" max="6" width="18.7109375" style="1" customWidth="1"/>
    <col min="7" max="8" width="14.7109375" style="1" customWidth="1"/>
    <col min="9" max="16384" width="11.42578125" style="1"/>
  </cols>
  <sheetData>
    <row r="1" spans="1:8" ht="8.1" customHeight="1" x14ac:dyDescent="0.25">
      <c r="A1" s="45"/>
      <c r="B1" s="45"/>
      <c r="C1" s="45"/>
      <c r="D1" s="45"/>
      <c r="E1" s="45"/>
      <c r="F1" s="45"/>
      <c r="G1" s="45"/>
      <c r="H1" s="45"/>
    </row>
    <row r="2" spans="1:8" ht="18.95" customHeight="1" x14ac:dyDescent="0.25">
      <c r="A2" s="19"/>
      <c r="B2" s="19"/>
      <c r="C2" s="19"/>
      <c r="D2" s="19" t="s">
        <v>56</v>
      </c>
      <c r="E2" s="19"/>
      <c r="F2" s="19"/>
      <c r="G2" s="19"/>
      <c r="H2" s="19"/>
    </row>
    <row r="3" spans="1:8" ht="18.95" customHeight="1" x14ac:dyDescent="0.25">
      <c r="A3" s="20" t="s">
        <v>14</v>
      </c>
      <c r="B3" s="20" t="s">
        <v>15</v>
      </c>
      <c r="C3" s="20" t="s">
        <v>42</v>
      </c>
      <c r="D3" s="20"/>
      <c r="E3" s="20"/>
      <c r="F3" s="20"/>
      <c r="G3" s="20"/>
      <c r="H3" s="20"/>
    </row>
    <row r="4" spans="1:8" ht="18.95" customHeight="1" x14ac:dyDescent="0.25">
      <c r="A4" s="20" t="s">
        <v>16</v>
      </c>
      <c r="B4" s="20" t="s">
        <v>15</v>
      </c>
      <c r="C4" s="39" t="s">
        <v>43</v>
      </c>
      <c r="D4" s="39"/>
      <c r="E4" s="39"/>
      <c r="F4" s="39"/>
      <c r="G4" s="39"/>
      <c r="H4" s="39"/>
    </row>
    <row r="5" spans="1:8" ht="18.95" customHeight="1" x14ac:dyDescent="0.25">
      <c r="A5" s="20" t="s">
        <v>17</v>
      </c>
      <c r="B5" s="20" t="s">
        <v>15</v>
      </c>
      <c r="C5" s="39" t="s">
        <v>51</v>
      </c>
      <c r="D5" s="39"/>
      <c r="E5" s="39"/>
      <c r="F5" s="39"/>
      <c r="G5" s="39"/>
      <c r="H5" s="39"/>
    </row>
    <row r="6" spans="1:8" ht="18.95" customHeight="1" x14ac:dyDescent="0.25">
      <c r="A6" s="20"/>
      <c r="B6" s="20"/>
      <c r="C6" s="20"/>
      <c r="D6" s="20"/>
      <c r="E6" s="20"/>
      <c r="F6" s="20"/>
      <c r="G6" s="20"/>
      <c r="H6" s="20"/>
    </row>
    <row r="7" spans="1:8" ht="18.95" customHeight="1" x14ac:dyDescent="0.25">
      <c r="A7" s="20" t="s">
        <v>18</v>
      </c>
      <c r="B7" s="20" t="s">
        <v>15</v>
      </c>
      <c r="C7" s="39" t="s">
        <v>52</v>
      </c>
      <c r="D7" s="39"/>
      <c r="E7" s="39"/>
      <c r="F7" s="39"/>
      <c r="G7" s="39"/>
      <c r="H7" s="39"/>
    </row>
    <row r="8" spans="1:8" ht="18.95" customHeight="1" x14ac:dyDescent="0.25">
      <c r="A8" s="20" t="s">
        <v>19</v>
      </c>
      <c r="B8" s="20" t="s">
        <v>15</v>
      </c>
      <c r="C8" s="20" t="s">
        <v>50</v>
      </c>
      <c r="D8" s="20"/>
      <c r="E8" s="20"/>
      <c r="F8" s="20"/>
      <c r="G8" s="20"/>
      <c r="H8" s="20"/>
    </row>
    <row r="9" spans="1:8" ht="18.95" customHeight="1" x14ac:dyDescent="0.25">
      <c r="A9" s="20"/>
      <c r="B9" s="20"/>
      <c r="C9" s="20"/>
      <c r="D9" s="20"/>
      <c r="E9" s="20"/>
      <c r="F9" s="20"/>
      <c r="G9" s="20"/>
      <c r="H9" s="20"/>
    </row>
    <row r="10" spans="1:8" ht="18.95" customHeight="1" x14ac:dyDescent="0.25">
      <c r="A10" s="20"/>
      <c r="B10" s="5" t="s">
        <v>21</v>
      </c>
      <c r="C10" s="46" t="s">
        <v>20</v>
      </c>
      <c r="D10" s="46"/>
      <c r="E10" s="46"/>
      <c r="F10" s="46"/>
      <c r="G10" s="4" t="s">
        <v>21</v>
      </c>
      <c r="H10" s="20"/>
    </row>
    <row r="11" spans="1:8" ht="18.95" customHeight="1" x14ac:dyDescent="0.25">
      <c r="A11" s="20"/>
      <c r="B11" s="20"/>
      <c r="C11" s="18" t="s">
        <v>65</v>
      </c>
      <c r="D11" s="18"/>
      <c r="E11" s="18"/>
      <c r="F11" s="18"/>
      <c r="G11" s="20"/>
      <c r="H11" s="20"/>
    </row>
    <row r="12" spans="1:8" ht="18.95" customHeight="1" x14ac:dyDescent="0.25">
      <c r="A12" s="20"/>
      <c r="B12" s="20"/>
      <c r="C12" s="20"/>
      <c r="D12" s="20"/>
      <c r="E12" s="20"/>
      <c r="F12" s="20"/>
      <c r="G12" s="20"/>
      <c r="H12" s="20"/>
    </row>
    <row r="13" spans="1:8" ht="18.95" customHeight="1" x14ac:dyDescent="0.25">
      <c r="A13" s="29" t="s">
        <v>22</v>
      </c>
      <c r="B13" s="30"/>
      <c r="C13" s="30"/>
      <c r="D13" s="30"/>
      <c r="E13" s="30"/>
      <c r="F13" s="30"/>
      <c r="G13" s="30"/>
      <c r="H13" s="31"/>
    </row>
    <row r="14" spans="1:8" ht="18.95" customHeight="1" x14ac:dyDescent="0.25">
      <c r="A14" s="16"/>
      <c r="B14" s="6"/>
      <c r="C14" s="6"/>
      <c r="D14" s="6"/>
      <c r="E14" s="6"/>
      <c r="F14" s="6"/>
      <c r="G14" s="6"/>
      <c r="H14" s="17"/>
    </row>
    <row r="15" spans="1:8" ht="18.95" customHeight="1" x14ac:dyDescent="0.25">
      <c r="A15" s="8" t="s">
        <v>5</v>
      </c>
      <c r="B15" s="39" t="s">
        <v>57</v>
      </c>
      <c r="C15" s="39"/>
      <c r="D15" s="39"/>
      <c r="E15" s="20"/>
      <c r="F15" s="20" t="s">
        <v>23</v>
      </c>
      <c r="G15" s="39" t="s">
        <v>24</v>
      </c>
      <c r="H15" s="40"/>
    </row>
    <row r="16" spans="1:8" ht="18.95" customHeight="1" x14ac:dyDescent="0.25">
      <c r="A16" s="8"/>
      <c r="B16" s="20"/>
      <c r="C16" s="20"/>
      <c r="D16" s="20"/>
      <c r="E16" s="20"/>
      <c r="F16" s="20"/>
      <c r="G16" s="20"/>
      <c r="H16" s="22"/>
    </row>
    <row r="17" spans="1:8" ht="18.95" customHeight="1" x14ac:dyDescent="0.25">
      <c r="A17" s="8" t="s">
        <v>25</v>
      </c>
      <c r="B17" s="39" t="s">
        <v>53</v>
      </c>
      <c r="C17" s="39"/>
      <c r="D17" s="39"/>
      <c r="E17" s="20"/>
      <c r="F17" s="20" t="s">
        <v>26</v>
      </c>
      <c r="G17" s="39">
        <v>30</v>
      </c>
      <c r="H17" s="40"/>
    </row>
    <row r="18" spans="1:8" ht="18.95" customHeight="1" x14ac:dyDescent="0.25">
      <c r="A18" s="8"/>
      <c r="B18" s="20"/>
      <c r="C18" s="20"/>
      <c r="D18" s="20"/>
      <c r="E18" s="20"/>
      <c r="F18" s="20"/>
      <c r="G18" s="20"/>
      <c r="H18" s="22"/>
    </row>
    <row r="19" spans="1:8" ht="18.95" customHeight="1" x14ac:dyDescent="0.25">
      <c r="A19" s="8" t="s">
        <v>0</v>
      </c>
      <c r="B19" s="39" t="s">
        <v>60</v>
      </c>
      <c r="C19" s="39"/>
      <c r="D19" s="39"/>
      <c r="E19" s="20"/>
      <c r="F19" s="20" t="s">
        <v>27</v>
      </c>
      <c r="G19" s="41" t="s">
        <v>54</v>
      </c>
      <c r="H19" s="40"/>
    </row>
    <row r="20" spans="1:8" ht="18.95" customHeight="1" x14ac:dyDescent="0.25">
      <c r="A20" s="8" t="s">
        <v>28</v>
      </c>
      <c r="B20" s="39" t="s">
        <v>55</v>
      </c>
      <c r="C20" s="39"/>
      <c r="D20" s="39"/>
      <c r="E20" s="20"/>
      <c r="F20" s="20"/>
      <c r="G20" s="20"/>
      <c r="H20" s="22"/>
    </row>
    <row r="21" spans="1:8" ht="18.95" customHeight="1" x14ac:dyDescent="0.25">
      <c r="A21" s="13" t="s">
        <v>29</v>
      </c>
      <c r="B21" s="42" t="s">
        <v>44</v>
      </c>
      <c r="C21" s="42"/>
      <c r="D21" s="42"/>
      <c r="E21" s="21"/>
      <c r="F21" s="21"/>
      <c r="G21" s="21"/>
      <c r="H21" s="15"/>
    </row>
    <row r="22" spans="1:8" ht="18.95" customHeight="1" x14ac:dyDescent="0.25">
      <c r="A22" s="20"/>
      <c r="B22" s="20"/>
      <c r="C22" s="20"/>
      <c r="D22" s="20"/>
      <c r="E22" s="20"/>
      <c r="F22" s="20"/>
      <c r="G22" s="20"/>
      <c r="H22" s="20"/>
    </row>
    <row r="23" spans="1:8" ht="18.95" customHeight="1" x14ac:dyDescent="0.25">
      <c r="A23" s="43" t="s">
        <v>6</v>
      </c>
      <c r="B23" s="44"/>
      <c r="C23" s="20"/>
      <c r="D23" s="43" t="s">
        <v>7</v>
      </c>
      <c r="E23" s="44"/>
      <c r="F23" s="20"/>
      <c r="G23" s="20"/>
      <c r="H23" s="20"/>
    </row>
    <row r="24" spans="1:8" ht="18.95" customHeight="1" x14ac:dyDescent="0.25">
      <c r="A24" s="35">
        <f>C37</f>
        <v>673750</v>
      </c>
      <c r="B24" s="36"/>
      <c r="C24" s="20"/>
      <c r="D24" s="35">
        <f>C37-H30-H31-H32</f>
        <v>547354.5</v>
      </c>
      <c r="E24" s="36"/>
      <c r="F24" s="20"/>
      <c r="G24" s="20"/>
      <c r="H24" s="20"/>
    </row>
    <row r="25" spans="1:8" ht="18.95" customHeight="1" x14ac:dyDescent="0.25">
      <c r="A25" s="37"/>
      <c r="B25" s="38"/>
      <c r="C25" s="20"/>
      <c r="D25" s="37"/>
      <c r="E25" s="38"/>
      <c r="F25" s="20"/>
      <c r="G25" s="20"/>
      <c r="H25" s="20"/>
    </row>
    <row r="26" spans="1:8" ht="18.95" customHeight="1" x14ac:dyDescent="0.25">
      <c r="A26" s="20"/>
      <c r="B26" s="20"/>
      <c r="C26" s="20"/>
      <c r="D26" s="20"/>
      <c r="E26" s="20"/>
      <c r="F26" s="20"/>
      <c r="G26" s="20"/>
      <c r="H26" s="20"/>
    </row>
    <row r="27" spans="1:8" ht="18.95" customHeight="1" x14ac:dyDescent="0.25">
      <c r="A27" s="32" t="s">
        <v>30</v>
      </c>
      <c r="B27" s="33"/>
      <c r="C27" s="33"/>
      <c r="D27" s="33"/>
      <c r="E27" s="33"/>
      <c r="F27" s="33"/>
      <c r="G27" s="33"/>
      <c r="H27" s="34"/>
    </row>
    <row r="28" spans="1:8" ht="18.95" customHeight="1" x14ac:dyDescent="0.25">
      <c r="A28" s="16"/>
      <c r="B28" s="6"/>
      <c r="C28" s="6"/>
      <c r="D28" s="6"/>
      <c r="E28" s="6"/>
      <c r="F28" s="6"/>
      <c r="G28" s="6"/>
      <c r="H28" s="17"/>
    </row>
    <row r="29" spans="1:8" ht="18.95" customHeight="1" x14ac:dyDescent="0.25">
      <c r="A29" s="10" t="s">
        <v>8</v>
      </c>
      <c r="B29" s="20"/>
      <c r="C29" s="20"/>
      <c r="D29" s="3" t="s">
        <v>9</v>
      </c>
      <c r="E29" s="20"/>
      <c r="F29" s="3" t="s">
        <v>10</v>
      </c>
      <c r="G29" s="20"/>
      <c r="H29" s="22"/>
    </row>
    <row r="30" spans="1:8" ht="18.95" customHeight="1" x14ac:dyDescent="0.25">
      <c r="A30" s="8" t="s">
        <v>1</v>
      </c>
      <c r="B30" s="20"/>
      <c r="C30" s="7">
        <v>539000</v>
      </c>
      <c r="D30" s="20" t="s">
        <v>2</v>
      </c>
      <c r="E30" s="7">
        <v>250000</v>
      </c>
      <c r="F30" s="20" t="s">
        <v>33</v>
      </c>
      <c r="G30" s="20"/>
      <c r="H30" s="11">
        <f>C37*0.1116</f>
        <v>75190.5</v>
      </c>
    </row>
    <row r="31" spans="1:8" ht="18.95" customHeight="1" x14ac:dyDescent="0.25">
      <c r="A31" s="8" t="s">
        <v>31</v>
      </c>
      <c r="B31" s="20"/>
      <c r="C31" s="7">
        <f>C30*0.25</f>
        <v>134750</v>
      </c>
      <c r="D31" s="20" t="s">
        <v>45</v>
      </c>
      <c r="E31" s="7">
        <v>102645</v>
      </c>
      <c r="F31" s="20" t="s">
        <v>34</v>
      </c>
      <c r="G31" s="20"/>
      <c r="H31" s="11">
        <f>C37*0.07</f>
        <v>47162.500000000007</v>
      </c>
    </row>
    <row r="32" spans="1:8" ht="18.95" customHeight="1" x14ac:dyDescent="0.25">
      <c r="A32" s="8" t="s">
        <v>32</v>
      </c>
      <c r="B32" s="20"/>
      <c r="C32" s="7">
        <v>0</v>
      </c>
      <c r="D32" s="20" t="s">
        <v>3</v>
      </c>
      <c r="E32" s="7">
        <v>0</v>
      </c>
      <c r="F32" s="20" t="s">
        <v>35</v>
      </c>
      <c r="G32" s="20"/>
      <c r="H32" s="11">
        <f>C37*0.006</f>
        <v>4042.5</v>
      </c>
    </row>
    <row r="33" spans="1:8" ht="18.95" customHeight="1" x14ac:dyDescent="0.25">
      <c r="A33" s="8"/>
      <c r="B33" s="20"/>
      <c r="C33" s="20"/>
      <c r="D33" s="20" t="s">
        <v>4</v>
      </c>
      <c r="E33" s="7">
        <v>0</v>
      </c>
      <c r="F33" s="20" t="s">
        <v>36</v>
      </c>
      <c r="G33" s="20"/>
      <c r="H33" s="11">
        <v>0</v>
      </c>
    </row>
    <row r="34" spans="1:8" ht="18.95" customHeight="1" x14ac:dyDescent="0.25">
      <c r="A34" s="8"/>
      <c r="B34" s="20"/>
      <c r="C34" s="20"/>
      <c r="D34" s="3" t="s">
        <v>37</v>
      </c>
      <c r="E34" s="7">
        <f>SUM(E30:E33)</f>
        <v>352645</v>
      </c>
      <c r="F34" s="20" t="s">
        <v>11</v>
      </c>
      <c r="G34" s="20"/>
      <c r="H34" s="11">
        <v>0</v>
      </c>
    </row>
    <row r="35" spans="1:8" ht="18.95" customHeight="1" x14ac:dyDescent="0.25">
      <c r="A35" s="8"/>
      <c r="B35" s="20"/>
      <c r="C35" s="20"/>
      <c r="D35" s="20"/>
      <c r="E35" s="20"/>
      <c r="F35" s="20" t="s">
        <v>64</v>
      </c>
      <c r="G35" s="20"/>
      <c r="H35" s="11">
        <v>30000</v>
      </c>
    </row>
    <row r="36" spans="1:8" ht="18.95" customHeight="1" x14ac:dyDescent="0.25">
      <c r="A36" s="8"/>
      <c r="B36" s="20"/>
      <c r="C36" s="20"/>
      <c r="D36" s="20"/>
      <c r="E36" s="20"/>
      <c r="F36" s="20"/>
      <c r="G36" s="20"/>
      <c r="H36" s="22"/>
    </row>
    <row r="37" spans="1:8" ht="18.95" customHeight="1" x14ac:dyDescent="0.25">
      <c r="A37" s="8"/>
      <c r="B37" s="3" t="s">
        <v>46</v>
      </c>
      <c r="C37" s="7">
        <f>C30+C31</f>
        <v>673750</v>
      </c>
      <c r="D37" s="20"/>
      <c r="E37" s="20"/>
      <c r="F37" s="3" t="s">
        <v>13</v>
      </c>
      <c r="G37" s="20"/>
      <c r="H37" s="11">
        <f>+H30+H31+H32+H33+H34+H35</f>
        <v>156395.5</v>
      </c>
    </row>
    <row r="38" spans="1:8" ht="18.95" customHeight="1" x14ac:dyDescent="0.25">
      <c r="A38" s="8"/>
      <c r="B38" s="20"/>
      <c r="C38" s="20"/>
      <c r="D38" s="20"/>
      <c r="E38" s="20"/>
      <c r="F38" s="20"/>
      <c r="G38" s="20"/>
      <c r="H38" s="22"/>
    </row>
    <row r="39" spans="1:8" ht="18.95" customHeight="1" x14ac:dyDescent="0.25">
      <c r="A39" s="8"/>
      <c r="B39" s="20"/>
      <c r="C39" s="20"/>
      <c r="D39" s="20"/>
      <c r="E39" s="20"/>
      <c r="F39" s="20"/>
      <c r="G39" s="20"/>
      <c r="H39" s="22"/>
    </row>
    <row r="40" spans="1:8" ht="18.95" customHeight="1" x14ac:dyDescent="0.25">
      <c r="A40" s="8"/>
      <c r="B40" s="20"/>
      <c r="C40" s="20"/>
      <c r="D40" s="20"/>
      <c r="E40" s="20"/>
      <c r="F40" s="20"/>
      <c r="G40" s="20"/>
      <c r="H40" s="22"/>
    </row>
    <row r="41" spans="1:8" ht="18.95" customHeight="1" x14ac:dyDescent="0.25">
      <c r="A41" s="8"/>
      <c r="B41" s="20"/>
      <c r="C41" s="20"/>
      <c r="D41" s="20"/>
      <c r="E41" s="20"/>
      <c r="F41" s="20"/>
      <c r="G41" s="20"/>
      <c r="H41" s="22"/>
    </row>
    <row r="42" spans="1:8" ht="18.95" customHeight="1" x14ac:dyDescent="0.25">
      <c r="A42" s="8"/>
      <c r="B42" s="20"/>
      <c r="C42" s="20"/>
      <c r="D42" s="20"/>
      <c r="E42" s="20"/>
      <c r="F42" s="20"/>
      <c r="G42" s="20"/>
      <c r="H42" s="22"/>
    </row>
    <row r="43" spans="1:8" ht="18.95" customHeight="1" x14ac:dyDescent="0.25">
      <c r="A43" s="8"/>
      <c r="B43" s="20"/>
      <c r="C43" s="20"/>
      <c r="D43" s="20"/>
      <c r="E43" s="20"/>
      <c r="F43" s="20"/>
      <c r="G43" s="20"/>
      <c r="H43" s="22"/>
    </row>
    <row r="44" spans="1:8" ht="18.95" customHeight="1" x14ac:dyDescent="0.25">
      <c r="A44" s="8"/>
      <c r="B44" s="20"/>
      <c r="C44" s="20"/>
      <c r="D44" s="20"/>
      <c r="E44" s="20"/>
      <c r="F44" s="20"/>
      <c r="G44" s="20"/>
      <c r="H44" s="22"/>
    </row>
    <row r="45" spans="1:8" ht="18.95" customHeight="1" x14ac:dyDescent="0.25">
      <c r="A45" s="8" t="s">
        <v>38</v>
      </c>
      <c r="B45" s="26" t="str" cm="1">
        <f t="array" ref="B45">[1]!NumeroLetras(H45,"Pesos")</f>
        <v xml:space="preserve"> OCHOCIENTOS SESENTA Y NUEVE MIL NOVECIENTOS NOVENTA Y NUEVE 50/100  Pesos</v>
      </c>
      <c r="C45" s="26"/>
      <c r="D45" s="26"/>
      <c r="E45" s="26"/>
      <c r="F45" s="26"/>
      <c r="G45" s="3" t="s">
        <v>39</v>
      </c>
      <c r="H45" s="12">
        <f>C37-H37+E34</f>
        <v>869999.5</v>
      </c>
    </row>
    <row r="46" spans="1:8" ht="18.95" customHeight="1" x14ac:dyDescent="0.25">
      <c r="A46" s="8"/>
      <c r="B46" s="26"/>
      <c r="C46" s="26"/>
      <c r="D46" s="26"/>
      <c r="E46" s="26"/>
      <c r="F46" s="26"/>
      <c r="G46" s="20"/>
      <c r="H46" s="22"/>
    </row>
    <row r="47" spans="1:8" ht="18.95" customHeight="1" x14ac:dyDescent="0.25">
      <c r="A47" s="13"/>
      <c r="B47" s="21"/>
      <c r="C47" s="21"/>
      <c r="D47" s="21"/>
      <c r="E47" s="21"/>
      <c r="F47" s="21"/>
      <c r="G47" s="21"/>
      <c r="H47" s="15"/>
    </row>
    <row r="48" spans="1:8" ht="18.95" customHeight="1" x14ac:dyDescent="0.25">
      <c r="A48" s="20"/>
      <c r="B48" s="20"/>
      <c r="C48" s="20"/>
      <c r="D48" s="20"/>
      <c r="E48" s="20"/>
      <c r="F48" s="20"/>
      <c r="G48" s="20"/>
      <c r="H48" s="20"/>
    </row>
    <row r="49" spans="1:8" ht="18.95" customHeight="1" x14ac:dyDescent="0.25">
      <c r="A49" s="20"/>
      <c r="B49" s="20"/>
      <c r="C49" s="20"/>
      <c r="D49" s="20"/>
      <c r="E49" s="20"/>
      <c r="F49" s="20"/>
      <c r="G49" s="20"/>
      <c r="H49" s="20"/>
    </row>
    <row r="50" spans="1:8" ht="18.95" customHeight="1" x14ac:dyDescent="0.25">
      <c r="A50" s="20"/>
      <c r="B50" s="20"/>
      <c r="C50" s="20"/>
      <c r="D50" s="20"/>
      <c r="E50" s="20"/>
      <c r="F50" s="20"/>
      <c r="G50" s="20"/>
      <c r="H50" s="20"/>
    </row>
    <row r="51" spans="1:8" ht="18.95" customHeight="1" x14ac:dyDescent="0.25">
      <c r="A51" s="26" t="s">
        <v>40</v>
      </c>
      <c r="B51" s="26"/>
      <c r="C51" s="26"/>
      <c r="D51" s="26"/>
      <c r="E51" s="26"/>
      <c r="F51" s="26"/>
      <c r="G51" s="6"/>
      <c r="H51" s="6"/>
    </row>
    <row r="52" spans="1:8" ht="18.95" customHeight="1" x14ac:dyDescent="0.25">
      <c r="A52" s="26"/>
      <c r="B52" s="26"/>
      <c r="C52" s="26"/>
      <c r="D52" s="26"/>
      <c r="E52" s="26"/>
      <c r="F52" s="26"/>
      <c r="G52" s="27" t="s">
        <v>41</v>
      </c>
      <c r="H52" s="28"/>
    </row>
    <row r="53" spans="1:8" ht="18.95" customHeight="1" x14ac:dyDescent="0.25">
      <c r="A53" s="20"/>
      <c r="B53" s="20"/>
      <c r="C53" s="20"/>
      <c r="D53" s="20"/>
      <c r="E53" s="20"/>
      <c r="F53" s="20"/>
      <c r="G53" s="20"/>
      <c r="H53" s="20"/>
    </row>
    <row r="54" spans="1:8" ht="18.95" customHeight="1" x14ac:dyDescent="0.25">
      <c r="A54" s="20"/>
      <c r="B54" s="20"/>
      <c r="C54" s="20"/>
      <c r="D54" s="20"/>
      <c r="E54" s="20"/>
      <c r="F54" s="20"/>
      <c r="G54" s="20"/>
      <c r="H54" s="20"/>
    </row>
    <row r="55" spans="1:8" ht="18.95" customHeight="1" x14ac:dyDescent="0.25">
      <c r="A55" s="20"/>
      <c r="B55" s="20"/>
      <c r="C55" s="20"/>
      <c r="D55" s="20"/>
      <c r="E55" s="20"/>
      <c r="F55" s="20"/>
      <c r="G55" s="20"/>
      <c r="H55" s="20"/>
    </row>
    <row r="56" spans="1:8" ht="18.95" customHeight="1" x14ac:dyDescent="0.25">
      <c r="A56" s="20"/>
      <c r="B56" s="20"/>
      <c r="C56" s="20"/>
      <c r="D56" s="20"/>
      <c r="E56" s="20"/>
      <c r="F56" s="20"/>
      <c r="G56" s="20"/>
      <c r="H56" s="20"/>
    </row>
    <row r="57" spans="1:8" ht="18.95" customHeight="1" x14ac:dyDescent="0.25">
      <c r="A57" s="20"/>
      <c r="B57" s="20"/>
      <c r="C57" s="20"/>
      <c r="D57" s="20"/>
      <c r="E57" s="20"/>
      <c r="F57" s="20"/>
      <c r="G57" s="20"/>
      <c r="H57" s="20"/>
    </row>
  </sheetData>
  <mergeCells count="22">
    <mergeCell ref="A27:H27"/>
    <mergeCell ref="B45:F46"/>
    <mergeCell ref="A51:F52"/>
    <mergeCell ref="G52:H52"/>
    <mergeCell ref="B20:D20"/>
    <mergeCell ref="B21:D21"/>
    <mergeCell ref="A23:B23"/>
    <mergeCell ref="D23:E23"/>
    <mergeCell ref="A24:B25"/>
    <mergeCell ref="D24:E25"/>
    <mergeCell ref="B15:D15"/>
    <mergeCell ref="G15:H15"/>
    <mergeCell ref="B17:D17"/>
    <mergeCell ref="G17:H17"/>
    <mergeCell ref="B19:D19"/>
    <mergeCell ref="G19:H19"/>
    <mergeCell ref="A13:H13"/>
    <mergeCell ref="A1:H1"/>
    <mergeCell ref="C4:H4"/>
    <mergeCell ref="C5:H5"/>
    <mergeCell ref="C7:H7"/>
    <mergeCell ref="C10:F10"/>
  </mergeCells>
  <pageMargins left="0.79" right="0.31496062992125989" top="0.31496062992125989" bottom="0.31496062992125989" header="0.3" footer="0.3"/>
  <pageSetup scale="6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B1AF9-406E-43CE-A43E-E1D519FBCE98}">
  <sheetPr codeName="Hoja11">
    <pageSetUpPr fitToPage="1"/>
  </sheetPr>
  <dimension ref="A1:H57"/>
  <sheetViews>
    <sheetView topLeftCell="A15" zoomScale="85" zoomScaleNormal="85" workbookViewId="0">
      <selection activeCell="C31" sqref="C31"/>
    </sheetView>
  </sheetViews>
  <sheetFormatPr baseColWidth="10" defaultRowHeight="12.75" x14ac:dyDescent="0.25"/>
  <cols>
    <col min="1" max="1" width="16.7109375" style="1" customWidth="1"/>
    <col min="2" max="5" width="14.7109375" style="1" customWidth="1"/>
    <col min="6" max="6" width="18.7109375" style="1" customWidth="1"/>
    <col min="7" max="8" width="14.7109375" style="1" customWidth="1"/>
    <col min="9" max="16384" width="11.42578125" style="1"/>
  </cols>
  <sheetData>
    <row r="1" spans="1:8" ht="8.1" customHeight="1" x14ac:dyDescent="0.25">
      <c r="A1" s="45"/>
      <c r="B1" s="45"/>
      <c r="C1" s="45"/>
      <c r="D1" s="45"/>
      <c r="E1" s="45"/>
      <c r="F1" s="45"/>
      <c r="G1" s="45"/>
      <c r="H1" s="45"/>
    </row>
    <row r="2" spans="1:8" ht="18.95" customHeight="1" x14ac:dyDescent="0.25">
      <c r="A2" s="19"/>
      <c r="B2" s="19"/>
      <c r="C2" s="19"/>
      <c r="D2" s="19" t="s">
        <v>56</v>
      </c>
      <c r="E2" s="19"/>
      <c r="F2" s="19"/>
      <c r="G2" s="19"/>
      <c r="H2" s="19"/>
    </row>
    <row r="3" spans="1:8" ht="18.95" customHeight="1" x14ac:dyDescent="0.25">
      <c r="A3" s="20" t="s">
        <v>14</v>
      </c>
      <c r="B3" s="20" t="s">
        <v>15</v>
      </c>
      <c r="C3" s="20" t="s">
        <v>42</v>
      </c>
      <c r="D3" s="20"/>
      <c r="E3" s="20"/>
      <c r="F3" s="20"/>
      <c r="G3" s="20"/>
      <c r="H3" s="20"/>
    </row>
    <row r="4" spans="1:8" ht="18.95" customHeight="1" x14ac:dyDescent="0.25">
      <c r="A4" s="20" t="s">
        <v>16</v>
      </c>
      <c r="B4" s="20" t="s">
        <v>15</v>
      </c>
      <c r="C4" s="39" t="s">
        <v>43</v>
      </c>
      <c r="D4" s="39"/>
      <c r="E4" s="39"/>
      <c r="F4" s="39"/>
      <c r="G4" s="39"/>
      <c r="H4" s="39"/>
    </row>
    <row r="5" spans="1:8" ht="18.95" customHeight="1" x14ac:dyDescent="0.25">
      <c r="A5" s="20" t="s">
        <v>17</v>
      </c>
      <c r="B5" s="20" t="s">
        <v>15</v>
      </c>
      <c r="C5" s="39" t="s">
        <v>51</v>
      </c>
      <c r="D5" s="39"/>
      <c r="E5" s="39"/>
      <c r="F5" s="39"/>
      <c r="G5" s="39"/>
      <c r="H5" s="39"/>
    </row>
    <row r="6" spans="1:8" ht="18.95" customHeight="1" x14ac:dyDescent="0.25">
      <c r="A6" s="20"/>
      <c r="B6" s="20"/>
      <c r="C6" s="20"/>
      <c r="D6" s="20"/>
      <c r="E6" s="20"/>
      <c r="F6" s="20"/>
      <c r="G6" s="20"/>
      <c r="H6" s="20"/>
    </row>
    <row r="7" spans="1:8" ht="18.95" customHeight="1" x14ac:dyDescent="0.25">
      <c r="A7" s="20" t="s">
        <v>18</v>
      </c>
      <c r="B7" s="20" t="s">
        <v>15</v>
      </c>
      <c r="C7" s="39" t="s">
        <v>52</v>
      </c>
      <c r="D7" s="39"/>
      <c r="E7" s="39"/>
      <c r="F7" s="39"/>
      <c r="G7" s="39"/>
      <c r="H7" s="39"/>
    </row>
    <row r="8" spans="1:8" ht="18.95" customHeight="1" x14ac:dyDescent="0.25">
      <c r="A8" s="20" t="s">
        <v>19</v>
      </c>
      <c r="B8" s="20" t="s">
        <v>15</v>
      </c>
      <c r="C8" s="20" t="s">
        <v>50</v>
      </c>
      <c r="D8" s="20"/>
      <c r="E8" s="20"/>
      <c r="F8" s="20"/>
      <c r="G8" s="20"/>
      <c r="H8" s="20"/>
    </row>
    <row r="9" spans="1:8" ht="18.95" customHeight="1" x14ac:dyDescent="0.25">
      <c r="A9" s="20"/>
      <c r="B9" s="20"/>
      <c r="C9" s="20"/>
      <c r="D9" s="20"/>
      <c r="E9" s="20"/>
      <c r="F9" s="20"/>
      <c r="G9" s="20"/>
      <c r="H9" s="20"/>
    </row>
    <row r="10" spans="1:8" ht="18.95" customHeight="1" x14ac:dyDescent="0.25">
      <c r="A10" s="20"/>
      <c r="B10" s="5" t="s">
        <v>21</v>
      </c>
      <c r="C10" s="46" t="s">
        <v>20</v>
      </c>
      <c r="D10" s="46"/>
      <c r="E10" s="46"/>
      <c r="F10" s="46"/>
      <c r="G10" s="4" t="s">
        <v>21</v>
      </c>
      <c r="H10" s="20"/>
    </row>
    <row r="11" spans="1:8" ht="18.95" customHeight="1" x14ac:dyDescent="0.25">
      <c r="A11" s="20"/>
      <c r="B11" s="20"/>
      <c r="C11" s="18" t="s">
        <v>74</v>
      </c>
      <c r="D11" s="18"/>
      <c r="E11" s="18"/>
      <c r="F11" s="18"/>
      <c r="G11" s="20"/>
      <c r="H11" s="20"/>
    </row>
    <row r="12" spans="1:8" ht="18.95" customHeight="1" x14ac:dyDescent="0.25">
      <c r="A12" s="20"/>
      <c r="B12" s="20"/>
      <c r="C12" s="20"/>
      <c r="D12" s="20"/>
      <c r="E12" s="20"/>
      <c r="F12" s="20"/>
      <c r="G12" s="20"/>
      <c r="H12" s="20"/>
    </row>
    <row r="13" spans="1:8" ht="18.95" customHeight="1" x14ac:dyDescent="0.25">
      <c r="A13" s="29" t="s">
        <v>22</v>
      </c>
      <c r="B13" s="30"/>
      <c r="C13" s="30"/>
      <c r="D13" s="30"/>
      <c r="E13" s="30"/>
      <c r="F13" s="30"/>
      <c r="G13" s="30"/>
      <c r="H13" s="31"/>
    </row>
    <row r="14" spans="1:8" ht="18.95" customHeight="1" x14ac:dyDescent="0.25">
      <c r="A14" s="16"/>
      <c r="B14" s="6"/>
      <c r="C14" s="6"/>
      <c r="D14" s="6"/>
      <c r="E14" s="6"/>
      <c r="F14" s="6"/>
      <c r="G14" s="6"/>
      <c r="H14" s="17"/>
    </row>
    <row r="15" spans="1:8" ht="18.95" customHeight="1" x14ac:dyDescent="0.25">
      <c r="A15" s="8" t="s">
        <v>5</v>
      </c>
      <c r="B15" s="39" t="s">
        <v>62</v>
      </c>
      <c r="C15" s="39"/>
      <c r="D15" s="39"/>
      <c r="E15" s="20"/>
      <c r="F15" s="20" t="s">
        <v>23</v>
      </c>
      <c r="G15" s="39" t="s">
        <v>24</v>
      </c>
      <c r="H15" s="40"/>
    </row>
    <row r="16" spans="1:8" ht="18.95" customHeight="1" x14ac:dyDescent="0.25">
      <c r="A16" s="8"/>
      <c r="B16" s="20"/>
      <c r="C16" s="20"/>
      <c r="D16" s="20"/>
      <c r="E16" s="20"/>
      <c r="F16" s="20"/>
      <c r="G16" s="20"/>
      <c r="H16" s="22"/>
    </row>
    <row r="17" spans="1:8" ht="18.95" customHeight="1" x14ac:dyDescent="0.25">
      <c r="A17" s="8" t="s">
        <v>25</v>
      </c>
      <c r="B17" s="39" t="s">
        <v>61</v>
      </c>
      <c r="C17" s="39"/>
      <c r="D17" s="39"/>
      <c r="E17" s="20"/>
      <c r="F17" s="20" t="s">
        <v>26</v>
      </c>
      <c r="G17" s="39">
        <v>30</v>
      </c>
      <c r="H17" s="40"/>
    </row>
    <row r="18" spans="1:8" ht="18.95" customHeight="1" x14ac:dyDescent="0.25">
      <c r="A18" s="8"/>
      <c r="B18" s="20"/>
      <c r="C18" s="20"/>
      <c r="D18" s="20"/>
      <c r="E18" s="20"/>
      <c r="F18" s="20"/>
      <c r="G18" s="20"/>
      <c r="H18" s="22"/>
    </row>
    <row r="19" spans="1:8" ht="18.95" customHeight="1" x14ac:dyDescent="0.25">
      <c r="A19" s="8" t="s">
        <v>0</v>
      </c>
      <c r="B19" s="39" t="s">
        <v>60</v>
      </c>
      <c r="C19" s="39"/>
      <c r="D19" s="39"/>
      <c r="E19" s="20"/>
      <c r="F19" s="20" t="s">
        <v>27</v>
      </c>
      <c r="G19" s="41">
        <v>45663</v>
      </c>
      <c r="H19" s="40"/>
    </row>
    <row r="20" spans="1:8" ht="18.95" customHeight="1" x14ac:dyDescent="0.25">
      <c r="A20" s="8" t="s">
        <v>28</v>
      </c>
      <c r="B20" s="39" t="s">
        <v>63</v>
      </c>
      <c r="C20" s="39"/>
      <c r="D20" s="39"/>
      <c r="E20" s="20"/>
      <c r="F20" s="20"/>
      <c r="G20" s="20"/>
      <c r="H20" s="22"/>
    </row>
    <row r="21" spans="1:8" ht="18.95" customHeight="1" x14ac:dyDescent="0.25">
      <c r="A21" s="13" t="s">
        <v>29</v>
      </c>
      <c r="B21" s="42" t="s">
        <v>44</v>
      </c>
      <c r="C21" s="42"/>
      <c r="D21" s="42"/>
      <c r="E21" s="21"/>
      <c r="F21" s="21"/>
      <c r="G21" s="21"/>
      <c r="H21" s="15"/>
    </row>
    <row r="22" spans="1:8" ht="18.95" customHeight="1" x14ac:dyDescent="0.25">
      <c r="A22" s="20"/>
      <c r="B22" s="20"/>
      <c r="C22" s="20"/>
      <c r="D22" s="20"/>
      <c r="E22" s="20"/>
      <c r="F22" s="20"/>
      <c r="G22" s="20"/>
      <c r="H22" s="20"/>
    </row>
    <row r="23" spans="1:8" ht="18.95" customHeight="1" x14ac:dyDescent="0.25">
      <c r="A23" s="43" t="s">
        <v>6</v>
      </c>
      <c r="B23" s="44"/>
      <c r="C23" s="20"/>
      <c r="D23" s="43" t="s">
        <v>7</v>
      </c>
      <c r="E23" s="44"/>
      <c r="F23" s="20"/>
      <c r="G23" s="20"/>
      <c r="H23" s="20"/>
    </row>
    <row r="24" spans="1:8" ht="18.95" customHeight="1" x14ac:dyDescent="0.25">
      <c r="A24" s="35">
        <v>804750</v>
      </c>
      <c r="B24" s="36"/>
      <c r="C24" s="20"/>
      <c r="D24" s="35">
        <v>658446</v>
      </c>
      <c r="E24" s="36"/>
      <c r="F24" s="20"/>
      <c r="G24" s="20"/>
      <c r="H24" s="20"/>
    </row>
    <row r="25" spans="1:8" ht="18.95" customHeight="1" x14ac:dyDescent="0.25">
      <c r="A25" s="37"/>
      <c r="B25" s="38"/>
      <c r="C25" s="20"/>
      <c r="D25" s="37"/>
      <c r="E25" s="38"/>
      <c r="F25" s="20"/>
      <c r="G25" s="20"/>
      <c r="H25" s="20"/>
    </row>
    <row r="26" spans="1:8" ht="18.95" customHeight="1" x14ac:dyDescent="0.25">
      <c r="A26" s="20"/>
      <c r="B26" s="20"/>
      <c r="C26" s="20"/>
      <c r="D26" s="20"/>
      <c r="E26" s="20"/>
      <c r="F26" s="20"/>
      <c r="G26" s="20"/>
      <c r="H26" s="20"/>
    </row>
    <row r="27" spans="1:8" ht="18.95" customHeight="1" x14ac:dyDescent="0.25">
      <c r="A27" s="32" t="s">
        <v>30</v>
      </c>
      <c r="B27" s="33"/>
      <c r="C27" s="33"/>
      <c r="D27" s="33"/>
      <c r="E27" s="33"/>
      <c r="F27" s="33"/>
      <c r="G27" s="33"/>
      <c r="H27" s="34"/>
    </row>
    <row r="28" spans="1:8" ht="18.95" customHeight="1" x14ac:dyDescent="0.25">
      <c r="A28" s="16"/>
      <c r="B28" s="6"/>
      <c r="C28" s="6"/>
      <c r="D28" s="6"/>
      <c r="E28" s="6"/>
      <c r="F28" s="6"/>
      <c r="G28" s="6"/>
      <c r="H28" s="17"/>
    </row>
    <row r="29" spans="1:8" ht="18.95" customHeight="1" x14ac:dyDescent="0.25">
      <c r="A29" s="10" t="s">
        <v>8</v>
      </c>
      <c r="B29" s="20"/>
      <c r="C29" s="20"/>
      <c r="D29" s="3" t="s">
        <v>9</v>
      </c>
      <c r="E29" s="20"/>
      <c r="F29" s="3" t="s">
        <v>10</v>
      </c>
      <c r="G29" s="20"/>
      <c r="H29" s="22"/>
    </row>
    <row r="30" spans="1:8" ht="18.95" customHeight="1" x14ac:dyDescent="0.25">
      <c r="A30" s="8" t="s">
        <v>1</v>
      </c>
      <c r="B30" s="20"/>
      <c r="C30" s="7">
        <v>539000</v>
      </c>
      <c r="D30" s="20" t="s">
        <v>2</v>
      </c>
      <c r="E30" s="7">
        <v>144345</v>
      </c>
      <c r="F30" s="20" t="s">
        <v>33</v>
      </c>
      <c r="G30" s="20"/>
      <c r="H30" s="11">
        <f>C37*0.1058</f>
        <v>88607.5</v>
      </c>
    </row>
    <row r="31" spans="1:8" ht="18.95" customHeight="1" x14ac:dyDescent="0.25">
      <c r="A31" s="8" t="s">
        <v>31</v>
      </c>
      <c r="B31" s="20"/>
      <c r="C31" s="7">
        <f>(C30+C32)*0.25</f>
        <v>167500</v>
      </c>
      <c r="D31" s="20" t="s">
        <v>45</v>
      </c>
      <c r="E31" s="7">
        <v>144345</v>
      </c>
      <c r="F31" s="20" t="s">
        <v>34</v>
      </c>
      <c r="G31" s="20"/>
      <c r="H31" s="11">
        <f>C37*0.07</f>
        <v>58625.000000000007</v>
      </c>
    </row>
    <row r="32" spans="1:8" ht="18.95" customHeight="1" x14ac:dyDescent="0.25">
      <c r="A32" s="8" t="s">
        <v>32</v>
      </c>
      <c r="B32" s="20"/>
      <c r="C32" s="7">
        <v>131000</v>
      </c>
      <c r="D32" s="20" t="s">
        <v>3</v>
      </c>
      <c r="E32" s="7">
        <v>0</v>
      </c>
      <c r="F32" s="20" t="s">
        <v>35</v>
      </c>
      <c r="G32" s="20"/>
      <c r="H32" s="11">
        <f>C37*0.006</f>
        <v>5025</v>
      </c>
    </row>
    <row r="33" spans="1:8" ht="18.95" customHeight="1" x14ac:dyDescent="0.25">
      <c r="A33" s="8"/>
      <c r="B33" s="20"/>
      <c r="C33" s="20"/>
      <c r="D33" s="20" t="s">
        <v>4</v>
      </c>
      <c r="E33" s="7">
        <v>0</v>
      </c>
      <c r="F33" s="20" t="s">
        <v>36</v>
      </c>
      <c r="G33" s="20"/>
      <c r="H33" s="11">
        <v>0</v>
      </c>
    </row>
    <row r="34" spans="1:8" ht="18.95" customHeight="1" x14ac:dyDescent="0.25">
      <c r="A34" s="8"/>
      <c r="B34" s="20"/>
      <c r="C34" s="20"/>
      <c r="D34" s="3" t="s">
        <v>37</v>
      </c>
      <c r="E34" s="7">
        <f>E32+E31+E30+E33</f>
        <v>288690</v>
      </c>
      <c r="F34" s="20" t="s">
        <v>11</v>
      </c>
      <c r="G34" s="20"/>
      <c r="H34" s="11">
        <v>0</v>
      </c>
    </row>
    <row r="35" spans="1:8" ht="18.95" customHeight="1" x14ac:dyDescent="0.25">
      <c r="A35" s="8"/>
      <c r="B35" s="20"/>
      <c r="C35" s="20"/>
      <c r="D35" s="20"/>
      <c r="E35" s="20"/>
      <c r="F35" s="20" t="s">
        <v>64</v>
      </c>
      <c r="G35" s="20"/>
      <c r="H35" s="11">
        <v>0</v>
      </c>
    </row>
    <row r="36" spans="1:8" ht="18.95" customHeight="1" x14ac:dyDescent="0.25">
      <c r="A36" s="8"/>
      <c r="B36" s="20"/>
      <c r="C36" s="20"/>
      <c r="D36" s="20"/>
      <c r="E36" s="20"/>
      <c r="F36" s="20"/>
      <c r="G36" s="20"/>
      <c r="H36" s="22"/>
    </row>
    <row r="37" spans="1:8" ht="18.95" customHeight="1" x14ac:dyDescent="0.25">
      <c r="A37" s="8"/>
      <c r="B37" s="3" t="s">
        <v>46</v>
      </c>
      <c r="C37" s="7">
        <f>C30+C31+C32</f>
        <v>837500</v>
      </c>
      <c r="D37" s="20"/>
      <c r="E37" s="20"/>
      <c r="F37" s="3" t="s">
        <v>13</v>
      </c>
      <c r="G37" s="20"/>
      <c r="H37" s="11">
        <f>H35+H30+H31+H32</f>
        <v>152257.5</v>
      </c>
    </row>
    <row r="38" spans="1:8" ht="18.95" customHeight="1" x14ac:dyDescent="0.25">
      <c r="A38" s="8"/>
      <c r="B38" s="20"/>
      <c r="C38" s="20"/>
      <c r="D38" s="20"/>
      <c r="E38" s="20"/>
      <c r="F38" s="20"/>
      <c r="G38" s="20"/>
      <c r="H38" s="22"/>
    </row>
    <row r="39" spans="1:8" ht="18.95" customHeight="1" x14ac:dyDescent="0.25">
      <c r="A39" s="8"/>
      <c r="B39" s="20"/>
      <c r="C39" s="20"/>
      <c r="D39" s="20"/>
      <c r="E39" s="20"/>
      <c r="F39" s="20"/>
      <c r="G39" s="20"/>
      <c r="H39" s="22"/>
    </row>
    <row r="40" spans="1:8" ht="18.95" customHeight="1" x14ac:dyDescent="0.25">
      <c r="A40" s="8"/>
      <c r="B40" s="20"/>
      <c r="C40" s="20"/>
      <c r="D40" s="20"/>
      <c r="E40" s="20"/>
      <c r="F40" s="20"/>
      <c r="G40" s="20"/>
      <c r="H40" s="22"/>
    </row>
    <row r="41" spans="1:8" ht="18.95" customHeight="1" x14ac:dyDescent="0.25">
      <c r="A41" s="8"/>
      <c r="B41" s="20"/>
      <c r="C41" s="20"/>
      <c r="D41" s="20"/>
      <c r="E41" s="20"/>
      <c r="F41" s="20"/>
      <c r="G41" s="20"/>
      <c r="H41" s="22"/>
    </row>
    <row r="42" spans="1:8" ht="18.95" customHeight="1" x14ac:dyDescent="0.25">
      <c r="A42" s="8"/>
      <c r="B42" s="20"/>
      <c r="C42" s="20"/>
      <c r="D42" s="20"/>
      <c r="E42" s="20"/>
      <c r="F42" s="20"/>
      <c r="G42" s="20"/>
      <c r="H42" s="22"/>
    </row>
    <row r="43" spans="1:8" ht="18.95" customHeight="1" x14ac:dyDescent="0.25">
      <c r="A43" s="8"/>
      <c r="B43" s="20"/>
      <c r="C43" s="20"/>
      <c r="D43" s="20"/>
      <c r="E43" s="20"/>
      <c r="F43" s="20"/>
      <c r="G43" s="20"/>
      <c r="H43" s="22"/>
    </row>
    <row r="44" spans="1:8" ht="18.95" customHeight="1" x14ac:dyDescent="0.25">
      <c r="A44" s="8"/>
      <c r="B44" s="20"/>
      <c r="C44" s="20"/>
      <c r="D44" s="20"/>
      <c r="E44" s="20"/>
      <c r="F44" s="20"/>
      <c r="G44" s="20"/>
      <c r="H44" s="22"/>
    </row>
    <row r="45" spans="1:8" ht="18.95" customHeight="1" x14ac:dyDescent="0.25">
      <c r="A45" s="8" t="s">
        <v>38</v>
      </c>
      <c r="B45" s="26" t="str" cm="1">
        <f t="array" ref="B45">[1]!NumeroLetras(H45,"Pesos")</f>
        <v xml:space="preserve"> NOVECIENTOS SETENTA Y TRES MIL NOVECIENTOS TREINTA Y DOS 50/100  Pesos</v>
      </c>
      <c r="C45" s="26"/>
      <c r="D45" s="26"/>
      <c r="E45" s="26"/>
      <c r="F45" s="26"/>
      <c r="G45" s="3" t="s">
        <v>39</v>
      </c>
      <c r="H45" s="12">
        <f>C37+E34-H37</f>
        <v>973932.5</v>
      </c>
    </row>
    <row r="46" spans="1:8" ht="18.95" customHeight="1" x14ac:dyDescent="0.25">
      <c r="A46" s="8"/>
      <c r="B46" s="26"/>
      <c r="C46" s="26"/>
      <c r="D46" s="26"/>
      <c r="E46" s="26"/>
      <c r="F46" s="26"/>
      <c r="G46" s="20"/>
      <c r="H46" s="22"/>
    </row>
    <row r="47" spans="1:8" ht="18.95" customHeight="1" x14ac:dyDescent="0.25">
      <c r="A47" s="13"/>
      <c r="B47" s="21"/>
      <c r="C47" s="21"/>
      <c r="D47" s="21"/>
      <c r="E47" s="21"/>
      <c r="F47" s="21"/>
      <c r="G47" s="21"/>
      <c r="H47" s="15"/>
    </row>
    <row r="48" spans="1:8" ht="18.95" customHeight="1" x14ac:dyDescent="0.25">
      <c r="A48" s="20"/>
      <c r="B48" s="20"/>
      <c r="C48" s="20"/>
      <c r="D48" s="20"/>
      <c r="E48" s="20"/>
      <c r="F48" s="20"/>
      <c r="G48" s="20"/>
      <c r="H48" s="20"/>
    </row>
    <row r="49" spans="1:8" ht="18.95" customHeight="1" x14ac:dyDescent="0.25">
      <c r="A49" s="20"/>
      <c r="B49" s="20"/>
      <c r="C49" s="20"/>
      <c r="D49" s="20"/>
      <c r="E49" s="20"/>
      <c r="F49" s="20"/>
      <c r="G49" s="20"/>
      <c r="H49" s="20"/>
    </row>
    <row r="50" spans="1:8" ht="18.95" customHeight="1" x14ac:dyDescent="0.25">
      <c r="A50" s="20"/>
      <c r="B50" s="20"/>
      <c r="C50" s="20"/>
      <c r="D50" s="20"/>
      <c r="E50" s="20"/>
      <c r="F50" s="20"/>
      <c r="G50" s="20"/>
      <c r="H50" s="20"/>
    </row>
    <row r="51" spans="1:8" ht="18.95" customHeight="1" x14ac:dyDescent="0.25">
      <c r="A51" s="26" t="s">
        <v>40</v>
      </c>
      <c r="B51" s="26"/>
      <c r="C51" s="26"/>
      <c r="D51" s="26"/>
      <c r="E51" s="26"/>
      <c r="F51" s="26"/>
      <c r="G51" s="6"/>
      <c r="H51" s="6"/>
    </row>
    <row r="52" spans="1:8" ht="18.95" customHeight="1" x14ac:dyDescent="0.25">
      <c r="A52" s="26"/>
      <c r="B52" s="26"/>
      <c r="C52" s="26"/>
      <c r="D52" s="26"/>
      <c r="E52" s="26"/>
      <c r="F52" s="26"/>
      <c r="G52" s="27" t="s">
        <v>41</v>
      </c>
      <c r="H52" s="28"/>
    </row>
    <row r="53" spans="1:8" ht="18.95" customHeight="1" x14ac:dyDescent="0.25">
      <c r="A53" s="20"/>
      <c r="B53" s="20"/>
      <c r="C53" s="20"/>
      <c r="D53" s="20"/>
      <c r="E53" s="20"/>
      <c r="F53" s="20"/>
      <c r="G53" s="20"/>
      <c r="H53" s="20"/>
    </row>
    <row r="54" spans="1:8" ht="18.95" customHeight="1" x14ac:dyDescent="0.25">
      <c r="A54" s="20"/>
      <c r="B54" s="20"/>
      <c r="C54" s="20"/>
      <c r="D54" s="20"/>
      <c r="E54" s="20"/>
      <c r="F54" s="20"/>
      <c r="G54" s="20"/>
      <c r="H54" s="20"/>
    </row>
    <row r="55" spans="1:8" ht="18.95" customHeight="1" x14ac:dyDescent="0.25">
      <c r="A55" s="20"/>
      <c r="B55" s="20"/>
      <c r="C55" s="20"/>
      <c r="D55" s="20"/>
      <c r="E55" s="20"/>
      <c r="F55" s="20"/>
      <c r="G55" s="20"/>
      <c r="H55" s="20"/>
    </row>
    <row r="56" spans="1:8" ht="18.95" customHeight="1" x14ac:dyDescent="0.25">
      <c r="A56" s="20"/>
      <c r="B56" s="20"/>
      <c r="C56" s="20"/>
      <c r="D56" s="20"/>
      <c r="E56" s="20"/>
      <c r="F56" s="20"/>
      <c r="G56" s="20"/>
      <c r="H56" s="20"/>
    </row>
    <row r="57" spans="1:8" ht="18.95" customHeight="1" x14ac:dyDescent="0.25">
      <c r="A57" s="20"/>
      <c r="B57" s="20"/>
      <c r="C57" s="20"/>
      <c r="D57" s="20"/>
      <c r="E57" s="20"/>
      <c r="F57" s="20"/>
      <c r="G57" s="20"/>
      <c r="H57" s="20"/>
    </row>
  </sheetData>
  <mergeCells count="22">
    <mergeCell ref="A27:H27"/>
    <mergeCell ref="B45:F46"/>
    <mergeCell ref="A51:F52"/>
    <mergeCell ref="G52:H52"/>
    <mergeCell ref="B20:D20"/>
    <mergeCell ref="B21:D21"/>
    <mergeCell ref="A23:B23"/>
    <mergeCell ref="D23:E23"/>
    <mergeCell ref="A24:B25"/>
    <mergeCell ref="D24:E25"/>
    <mergeCell ref="B15:D15"/>
    <mergeCell ref="G15:H15"/>
    <mergeCell ref="B17:D17"/>
    <mergeCell ref="G17:H17"/>
    <mergeCell ref="B19:D19"/>
    <mergeCell ref="G19:H19"/>
    <mergeCell ref="A13:H13"/>
    <mergeCell ref="A1:H1"/>
    <mergeCell ref="C4:H4"/>
    <mergeCell ref="C5:H5"/>
    <mergeCell ref="C7:H7"/>
    <mergeCell ref="C10:F10"/>
  </mergeCells>
  <pageMargins left="0.78" right="0.31496062992125989" top="0.31496062992125989" bottom="0.31496062992125989" header="0.39" footer="0.3"/>
  <pageSetup scale="6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3082-ED5F-4512-B0C0-8A22B9655393}">
  <sheetPr codeName="Hoja12">
    <pageSetUpPr fitToPage="1"/>
  </sheetPr>
  <dimension ref="A1:H57"/>
  <sheetViews>
    <sheetView zoomScale="85" zoomScaleNormal="85" workbookViewId="0">
      <selection activeCell="H45" sqref="H45"/>
    </sheetView>
  </sheetViews>
  <sheetFormatPr baseColWidth="10" defaultRowHeight="12.75" x14ac:dyDescent="0.25"/>
  <cols>
    <col min="1" max="1" width="16.7109375" style="1" customWidth="1"/>
    <col min="2" max="5" width="14.7109375" style="1" customWidth="1"/>
    <col min="6" max="6" width="18.7109375" style="1" customWidth="1"/>
    <col min="7" max="8" width="14.7109375" style="1" customWidth="1"/>
    <col min="9" max="16384" width="11.42578125" style="1"/>
  </cols>
  <sheetData>
    <row r="1" spans="1:8" ht="8.1" customHeight="1" x14ac:dyDescent="0.25">
      <c r="A1" s="45"/>
      <c r="B1" s="45"/>
      <c r="C1" s="45"/>
      <c r="D1" s="45"/>
      <c r="E1" s="45"/>
      <c r="F1" s="45"/>
      <c r="G1" s="45"/>
      <c r="H1" s="45"/>
    </row>
    <row r="2" spans="1:8" ht="18.95" customHeight="1" x14ac:dyDescent="0.25">
      <c r="A2" s="19"/>
      <c r="B2" s="19"/>
      <c r="C2" s="19"/>
      <c r="D2" s="19" t="s">
        <v>56</v>
      </c>
      <c r="E2" s="19"/>
      <c r="F2" s="19"/>
      <c r="G2" s="19"/>
      <c r="H2" s="19"/>
    </row>
    <row r="3" spans="1:8" ht="18.95" customHeight="1" x14ac:dyDescent="0.25">
      <c r="A3" s="23" t="s">
        <v>14</v>
      </c>
      <c r="B3" s="23" t="s">
        <v>15</v>
      </c>
      <c r="C3" s="23" t="s">
        <v>42</v>
      </c>
      <c r="D3" s="23"/>
      <c r="E3" s="23"/>
      <c r="F3" s="23"/>
      <c r="G3" s="23"/>
      <c r="H3" s="23"/>
    </row>
    <row r="4" spans="1:8" ht="18.95" customHeight="1" x14ac:dyDescent="0.25">
      <c r="A4" s="23" t="s">
        <v>16</v>
      </c>
      <c r="B4" s="23" t="s">
        <v>15</v>
      </c>
      <c r="C4" s="39" t="s">
        <v>43</v>
      </c>
      <c r="D4" s="39"/>
      <c r="E4" s="39"/>
      <c r="F4" s="39"/>
      <c r="G4" s="39"/>
      <c r="H4" s="39"/>
    </row>
    <row r="5" spans="1:8" ht="18.95" customHeight="1" x14ac:dyDescent="0.25">
      <c r="A5" s="23" t="s">
        <v>17</v>
      </c>
      <c r="B5" s="23" t="s">
        <v>15</v>
      </c>
      <c r="C5" s="39" t="s">
        <v>51</v>
      </c>
      <c r="D5" s="39"/>
      <c r="E5" s="39"/>
      <c r="F5" s="39"/>
      <c r="G5" s="39"/>
      <c r="H5" s="39"/>
    </row>
    <row r="6" spans="1:8" ht="18.95" customHeight="1" x14ac:dyDescent="0.25">
      <c r="A6" s="23"/>
      <c r="B6" s="23"/>
      <c r="C6" s="23"/>
      <c r="D6" s="23"/>
      <c r="E6" s="23"/>
      <c r="F6" s="23"/>
      <c r="G6" s="23"/>
      <c r="H6" s="23"/>
    </row>
    <row r="7" spans="1:8" ht="18.95" customHeight="1" x14ac:dyDescent="0.25">
      <c r="A7" s="23" t="s">
        <v>18</v>
      </c>
      <c r="B7" s="23" t="s">
        <v>15</v>
      </c>
      <c r="C7" s="39" t="s">
        <v>52</v>
      </c>
      <c r="D7" s="39"/>
      <c r="E7" s="39"/>
      <c r="F7" s="39"/>
      <c r="G7" s="39"/>
      <c r="H7" s="39"/>
    </row>
    <row r="8" spans="1:8" ht="18.95" customHeight="1" x14ac:dyDescent="0.25">
      <c r="A8" s="23" t="s">
        <v>19</v>
      </c>
      <c r="B8" s="23" t="s">
        <v>15</v>
      </c>
      <c r="C8" s="23" t="s">
        <v>50</v>
      </c>
      <c r="D8" s="23"/>
      <c r="E8" s="23"/>
      <c r="F8" s="23"/>
      <c r="G8" s="23"/>
      <c r="H8" s="23"/>
    </row>
    <row r="9" spans="1:8" ht="18.95" customHeight="1" x14ac:dyDescent="0.25">
      <c r="A9" s="23"/>
      <c r="B9" s="23"/>
      <c r="C9" s="23"/>
      <c r="D9" s="23"/>
      <c r="E9" s="23"/>
      <c r="F9" s="23"/>
      <c r="G9" s="23"/>
      <c r="H9" s="23"/>
    </row>
    <row r="10" spans="1:8" ht="18.95" customHeight="1" x14ac:dyDescent="0.25">
      <c r="A10" s="23"/>
      <c r="B10" s="5" t="s">
        <v>21</v>
      </c>
      <c r="C10" s="46" t="s">
        <v>20</v>
      </c>
      <c r="D10" s="46"/>
      <c r="E10" s="46"/>
      <c r="F10" s="46"/>
      <c r="G10" s="4" t="s">
        <v>21</v>
      </c>
      <c r="H10" s="23"/>
    </row>
    <row r="11" spans="1:8" ht="18.95" customHeight="1" x14ac:dyDescent="0.25">
      <c r="A11" s="23"/>
      <c r="B11" s="23"/>
      <c r="C11" s="18" t="s">
        <v>65</v>
      </c>
      <c r="D11" s="18"/>
      <c r="E11" s="18"/>
      <c r="F11" s="18"/>
      <c r="G11" s="23"/>
      <c r="H11" s="23"/>
    </row>
    <row r="12" spans="1:8" ht="18.95" customHeight="1" x14ac:dyDescent="0.25">
      <c r="A12" s="23"/>
      <c r="B12" s="23"/>
      <c r="C12" s="23"/>
      <c r="D12" s="23"/>
      <c r="E12" s="23"/>
      <c r="F12" s="23"/>
      <c r="G12" s="23"/>
      <c r="H12" s="23"/>
    </row>
    <row r="13" spans="1:8" ht="18.95" customHeight="1" x14ac:dyDescent="0.25">
      <c r="A13" s="29" t="s">
        <v>22</v>
      </c>
      <c r="B13" s="30"/>
      <c r="C13" s="30"/>
      <c r="D13" s="30"/>
      <c r="E13" s="30"/>
      <c r="F13" s="30"/>
      <c r="G13" s="30"/>
      <c r="H13" s="31"/>
    </row>
    <row r="14" spans="1:8" ht="18.95" customHeight="1" x14ac:dyDescent="0.25">
      <c r="A14" s="16"/>
      <c r="B14" s="6"/>
      <c r="C14" s="6"/>
      <c r="D14" s="6"/>
      <c r="E14" s="6"/>
      <c r="F14" s="6"/>
      <c r="G14" s="6"/>
      <c r="H14" s="17"/>
    </row>
    <row r="15" spans="1:8" ht="18.95" customHeight="1" x14ac:dyDescent="0.25">
      <c r="A15" s="8" t="s">
        <v>5</v>
      </c>
      <c r="B15" s="39" t="s">
        <v>66</v>
      </c>
      <c r="C15" s="39"/>
      <c r="D15" s="39"/>
      <c r="E15" s="23"/>
      <c r="F15" s="23" t="s">
        <v>23</v>
      </c>
      <c r="G15" s="39" t="s">
        <v>24</v>
      </c>
      <c r="H15" s="40"/>
    </row>
    <row r="16" spans="1:8" ht="18.95" customHeight="1" x14ac:dyDescent="0.25">
      <c r="A16" s="8"/>
      <c r="B16" s="23"/>
      <c r="C16" s="23"/>
      <c r="D16" s="23"/>
      <c r="E16" s="23"/>
      <c r="F16" s="23"/>
      <c r="G16" s="23"/>
      <c r="H16" s="24"/>
    </row>
    <row r="17" spans="1:8" ht="18.95" customHeight="1" x14ac:dyDescent="0.25">
      <c r="A17" s="8" t="s">
        <v>25</v>
      </c>
      <c r="B17" s="39" t="s">
        <v>67</v>
      </c>
      <c r="C17" s="39"/>
      <c r="D17" s="39"/>
      <c r="E17" s="23"/>
      <c r="F17" s="23" t="s">
        <v>26</v>
      </c>
      <c r="G17" s="39">
        <v>30</v>
      </c>
      <c r="H17" s="40"/>
    </row>
    <row r="18" spans="1:8" ht="18.95" customHeight="1" x14ac:dyDescent="0.25">
      <c r="A18" s="8"/>
      <c r="B18" s="23"/>
      <c r="C18" s="23"/>
      <c r="D18" s="23"/>
      <c r="E18" s="23"/>
      <c r="F18" s="23"/>
      <c r="G18" s="23"/>
      <c r="H18" s="24"/>
    </row>
    <row r="19" spans="1:8" ht="18.95" customHeight="1" x14ac:dyDescent="0.25">
      <c r="A19" s="8" t="s">
        <v>0</v>
      </c>
      <c r="B19" s="39" t="s">
        <v>68</v>
      </c>
      <c r="C19" s="39"/>
      <c r="D19" s="39"/>
      <c r="E19" s="23"/>
      <c r="F19" s="23" t="s">
        <v>27</v>
      </c>
      <c r="G19" s="41">
        <v>45297</v>
      </c>
      <c r="H19" s="40"/>
    </row>
    <row r="20" spans="1:8" ht="18.95" customHeight="1" x14ac:dyDescent="0.25">
      <c r="A20" s="8" t="s">
        <v>28</v>
      </c>
      <c r="B20" s="39" t="s">
        <v>59</v>
      </c>
      <c r="C20" s="39"/>
      <c r="D20" s="39"/>
      <c r="E20" s="23"/>
      <c r="F20" s="23"/>
      <c r="G20" s="23"/>
      <c r="H20" s="24"/>
    </row>
    <row r="21" spans="1:8" ht="18.95" customHeight="1" x14ac:dyDescent="0.25">
      <c r="A21" s="13" t="s">
        <v>29</v>
      </c>
      <c r="B21" s="42" t="s">
        <v>44</v>
      </c>
      <c r="C21" s="42"/>
      <c r="D21" s="42"/>
      <c r="E21" s="25"/>
      <c r="F21" s="25"/>
      <c r="G21" s="25"/>
      <c r="H21" s="15"/>
    </row>
    <row r="22" spans="1:8" ht="18.95" customHeight="1" x14ac:dyDescent="0.25">
      <c r="A22" s="23"/>
      <c r="B22" s="23"/>
      <c r="C22" s="23"/>
      <c r="D22" s="23"/>
      <c r="E22" s="23"/>
      <c r="F22" s="23"/>
      <c r="G22" s="23"/>
      <c r="H22" s="23"/>
    </row>
    <row r="23" spans="1:8" ht="18.95" customHeight="1" x14ac:dyDescent="0.25">
      <c r="A23" s="43" t="s">
        <v>6</v>
      </c>
      <c r="B23" s="44"/>
      <c r="C23" s="23"/>
      <c r="D23" s="43" t="s">
        <v>7</v>
      </c>
      <c r="E23" s="44"/>
      <c r="F23" s="23"/>
      <c r="G23" s="23"/>
      <c r="H23" s="23"/>
    </row>
    <row r="24" spans="1:8" ht="18.95" customHeight="1" x14ac:dyDescent="0.25">
      <c r="A24" s="35">
        <v>673750</v>
      </c>
      <c r="B24" s="36"/>
      <c r="C24" s="23"/>
      <c r="D24" s="35">
        <f>C37-H30-H31-H32</f>
        <v>552070.75</v>
      </c>
      <c r="E24" s="36"/>
      <c r="F24" s="23"/>
      <c r="G24" s="23"/>
      <c r="H24" s="23"/>
    </row>
    <row r="25" spans="1:8" ht="18.95" customHeight="1" x14ac:dyDescent="0.25">
      <c r="A25" s="37"/>
      <c r="B25" s="38"/>
      <c r="C25" s="23"/>
      <c r="D25" s="37"/>
      <c r="E25" s="38"/>
      <c r="F25" s="23"/>
      <c r="G25" s="23"/>
      <c r="H25" s="23"/>
    </row>
    <row r="26" spans="1:8" ht="18.95" customHeight="1" x14ac:dyDescent="0.25">
      <c r="A26" s="23"/>
      <c r="B26" s="23"/>
      <c r="C26" s="23"/>
      <c r="D26" s="23"/>
      <c r="E26" s="23"/>
      <c r="F26" s="23"/>
      <c r="G26" s="23"/>
      <c r="H26" s="23"/>
    </row>
    <row r="27" spans="1:8" ht="18.95" customHeight="1" x14ac:dyDescent="0.25">
      <c r="A27" s="32" t="s">
        <v>30</v>
      </c>
      <c r="B27" s="33"/>
      <c r="C27" s="33"/>
      <c r="D27" s="33"/>
      <c r="E27" s="33"/>
      <c r="F27" s="33"/>
      <c r="G27" s="33"/>
      <c r="H27" s="34"/>
    </row>
    <row r="28" spans="1:8" ht="18.95" customHeight="1" x14ac:dyDescent="0.25">
      <c r="A28" s="16"/>
      <c r="B28" s="6"/>
      <c r="C28" s="6"/>
      <c r="D28" s="6"/>
      <c r="E28" s="6"/>
      <c r="F28" s="6"/>
      <c r="G28" s="6"/>
      <c r="H28" s="17"/>
    </row>
    <row r="29" spans="1:8" ht="18.95" customHeight="1" x14ac:dyDescent="0.25">
      <c r="A29" s="10" t="s">
        <v>8</v>
      </c>
      <c r="B29" s="23"/>
      <c r="C29" s="23"/>
      <c r="D29" s="3" t="s">
        <v>9</v>
      </c>
      <c r="E29" s="23"/>
      <c r="F29" s="3" t="s">
        <v>10</v>
      </c>
      <c r="G29" s="23"/>
      <c r="H29" s="24"/>
    </row>
    <row r="30" spans="1:8" ht="18.95" customHeight="1" x14ac:dyDescent="0.25">
      <c r="A30" s="8" t="s">
        <v>1</v>
      </c>
      <c r="B30" s="23"/>
      <c r="C30" s="7">
        <v>539000</v>
      </c>
      <c r="D30" s="23" t="s">
        <v>2</v>
      </c>
      <c r="E30" s="7">
        <v>247929</v>
      </c>
      <c r="F30" s="23" t="s">
        <v>33</v>
      </c>
      <c r="G30" s="23"/>
      <c r="H30" s="11">
        <f>C37*0.1046</f>
        <v>70474.25</v>
      </c>
    </row>
    <row r="31" spans="1:8" ht="18.95" customHeight="1" x14ac:dyDescent="0.25">
      <c r="A31" s="8" t="s">
        <v>31</v>
      </c>
      <c r="B31" s="23"/>
      <c r="C31" s="7">
        <v>134750</v>
      </c>
      <c r="D31" s="23" t="s">
        <v>45</v>
      </c>
      <c r="E31" s="7">
        <v>0</v>
      </c>
      <c r="F31" s="23" t="s">
        <v>34</v>
      </c>
      <c r="G31" s="23"/>
      <c r="H31" s="11">
        <f>C37*0.07</f>
        <v>47162.500000000007</v>
      </c>
    </row>
    <row r="32" spans="1:8" ht="18.95" customHeight="1" x14ac:dyDescent="0.25">
      <c r="A32" s="8" t="s">
        <v>32</v>
      </c>
      <c r="B32" s="23"/>
      <c r="C32" s="7">
        <v>0</v>
      </c>
      <c r="D32" s="23" t="s">
        <v>3</v>
      </c>
      <c r="E32" s="7">
        <v>0</v>
      </c>
      <c r="F32" s="23" t="s">
        <v>35</v>
      </c>
      <c r="G32" s="23"/>
      <c r="H32" s="11">
        <f>C37*0.006</f>
        <v>4042.5</v>
      </c>
    </row>
    <row r="33" spans="1:8" ht="18.95" customHeight="1" x14ac:dyDescent="0.25">
      <c r="A33" s="8"/>
      <c r="B33" s="23"/>
      <c r="C33" s="23"/>
      <c r="D33" s="23" t="s">
        <v>4</v>
      </c>
      <c r="E33" s="7">
        <v>0</v>
      </c>
      <c r="F33" s="23" t="s">
        <v>36</v>
      </c>
      <c r="G33" s="23"/>
      <c r="H33" s="11">
        <v>0</v>
      </c>
    </row>
    <row r="34" spans="1:8" ht="18.95" customHeight="1" x14ac:dyDescent="0.25">
      <c r="A34" s="8"/>
      <c r="B34" s="23"/>
      <c r="C34" s="23"/>
      <c r="D34" s="3" t="s">
        <v>37</v>
      </c>
      <c r="E34" s="7">
        <f>SUM(E30:E33)</f>
        <v>247929</v>
      </c>
      <c r="F34" s="23" t="s">
        <v>11</v>
      </c>
      <c r="G34" s="23"/>
      <c r="H34" s="11">
        <v>0</v>
      </c>
    </row>
    <row r="35" spans="1:8" ht="18.95" customHeight="1" x14ac:dyDescent="0.25">
      <c r="A35" s="8"/>
      <c r="B35" s="23"/>
      <c r="C35" s="23"/>
      <c r="D35" s="23"/>
      <c r="E35" s="23"/>
      <c r="F35" s="23" t="s">
        <v>64</v>
      </c>
      <c r="G35" s="23"/>
      <c r="H35" s="11">
        <v>0</v>
      </c>
    </row>
    <row r="36" spans="1:8" ht="18.95" customHeight="1" x14ac:dyDescent="0.25">
      <c r="A36" s="8"/>
      <c r="B36" s="23"/>
      <c r="C36" s="23"/>
      <c r="D36" s="23"/>
      <c r="E36" s="23"/>
      <c r="F36" s="23"/>
      <c r="G36" s="23"/>
      <c r="H36" s="24"/>
    </row>
    <row r="37" spans="1:8" ht="18.95" customHeight="1" x14ac:dyDescent="0.25">
      <c r="A37" s="8"/>
      <c r="B37" s="3" t="s">
        <v>46</v>
      </c>
      <c r="C37" s="7">
        <f>C30+C31</f>
        <v>673750</v>
      </c>
      <c r="D37" s="23"/>
      <c r="E37" s="23"/>
      <c r="F37" s="3" t="s">
        <v>13</v>
      </c>
      <c r="G37" s="23"/>
      <c r="H37" s="11">
        <f>SUM(H30:H35)</f>
        <v>121679.25</v>
      </c>
    </row>
    <row r="38" spans="1:8" ht="18.95" customHeight="1" x14ac:dyDescent="0.25">
      <c r="A38" s="8"/>
      <c r="B38" s="23"/>
      <c r="C38" s="23"/>
      <c r="D38" s="23"/>
      <c r="E38" s="23"/>
      <c r="F38" s="23"/>
      <c r="G38" s="23"/>
      <c r="H38" s="24"/>
    </row>
    <row r="39" spans="1:8" ht="18.95" customHeight="1" x14ac:dyDescent="0.25">
      <c r="A39" s="8"/>
      <c r="B39" s="23"/>
      <c r="C39" s="23"/>
      <c r="D39" s="23"/>
      <c r="E39" s="23"/>
      <c r="F39" s="23"/>
      <c r="G39" s="23"/>
      <c r="H39" s="24"/>
    </row>
    <row r="40" spans="1:8" ht="18.95" customHeight="1" x14ac:dyDescent="0.25">
      <c r="A40" s="8"/>
      <c r="B40" s="23"/>
      <c r="C40" s="23"/>
      <c r="D40" s="23"/>
      <c r="E40" s="23"/>
      <c r="F40" s="23"/>
      <c r="G40" s="23"/>
      <c r="H40" s="24"/>
    </row>
    <row r="41" spans="1:8" ht="18.95" customHeight="1" x14ac:dyDescent="0.25">
      <c r="A41" s="8"/>
      <c r="B41" s="23"/>
      <c r="C41" s="23"/>
      <c r="D41" s="23"/>
      <c r="E41" s="23"/>
      <c r="F41" s="23"/>
      <c r="G41" s="23"/>
      <c r="H41" s="24"/>
    </row>
    <row r="42" spans="1:8" ht="18.95" customHeight="1" x14ac:dyDescent="0.25">
      <c r="A42" s="8"/>
      <c r="B42" s="23"/>
      <c r="C42" s="23"/>
      <c r="D42" s="23"/>
      <c r="E42" s="23"/>
      <c r="F42" s="23"/>
      <c r="G42" s="23"/>
      <c r="H42" s="24"/>
    </row>
    <row r="43" spans="1:8" ht="18.95" customHeight="1" x14ac:dyDescent="0.25">
      <c r="A43" s="8"/>
      <c r="B43" s="23"/>
      <c r="C43" s="23"/>
      <c r="D43" s="23"/>
      <c r="E43" s="23"/>
      <c r="F43" s="23"/>
      <c r="G43" s="23"/>
      <c r="H43" s="24"/>
    </row>
    <row r="44" spans="1:8" ht="18.95" customHeight="1" x14ac:dyDescent="0.25">
      <c r="A44" s="8"/>
      <c r="B44" s="23"/>
      <c r="C44" s="23"/>
      <c r="D44" s="23"/>
      <c r="E44" s="23"/>
      <c r="F44" s="23"/>
      <c r="G44" s="23"/>
      <c r="H44" s="24"/>
    </row>
    <row r="45" spans="1:8" ht="18.95" customHeight="1" x14ac:dyDescent="0.25">
      <c r="A45" s="8" t="s">
        <v>38</v>
      </c>
      <c r="B45" s="26" t="str" cm="1">
        <f t="array" ref="B45">[1]!NumeroLetras(H45,"Pesos")</f>
        <v xml:space="preserve"> SETECIENTOS NOVENTA Y NUEVE MIL NOVECIENTOS NOVENTA Y NUEVE 75/100  Pesos</v>
      </c>
      <c r="C45" s="26"/>
      <c r="D45" s="26"/>
      <c r="E45" s="26"/>
      <c r="F45" s="26"/>
      <c r="G45" s="3" t="s">
        <v>39</v>
      </c>
      <c r="H45" s="12">
        <f>C37+E34-H37</f>
        <v>799999.75</v>
      </c>
    </row>
    <row r="46" spans="1:8" ht="18.95" customHeight="1" x14ac:dyDescent="0.25">
      <c r="A46" s="8"/>
      <c r="B46" s="26"/>
      <c r="C46" s="26"/>
      <c r="D46" s="26"/>
      <c r="E46" s="26"/>
      <c r="F46" s="26"/>
      <c r="G46" s="23"/>
      <c r="H46" s="24"/>
    </row>
    <row r="47" spans="1:8" ht="18.95" customHeight="1" x14ac:dyDescent="0.25">
      <c r="A47" s="13"/>
      <c r="B47" s="25"/>
      <c r="C47" s="25"/>
      <c r="D47" s="25"/>
      <c r="E47" s="25"/>
      <c r="F47" s="25"/>
      <c r="G47" s="25"/>
      <c r="H47" s="15"/>
    </row>
    <row r="48" spans="1:8" ht="18.95" customHeight="1" x14ac:dyDescent="0.25">
      <c r="A48" s="23"/>
      <c r="B48" s="23"/>
      <c r="C48" s="23"/>
      <c r="D48" s="23"/>
      <c r="E48" s="23"/>
      <c r="F48" s="23"/>
      <c r="G48" s="23"/>
      <c r="H48" s="23"/>
    </row>
    <row r="49" spans="1:8" ht="18.95" customHeight="1" x14ac:dyDescent="0.25">
      <c r="A49" s="23"/>
      <c r="B49" s="23"/>
      <c r="C49" s="23"/>
      <c r="D49" s="23"/>
      <c r="E49" s="23"/>
      <c r="F49" s="23"/>
      <c r="G49" s="23"/>
      <c r="H49" s="23"/>
    </row>
    <row r="50" spans="1:8" ht="18.95" customHeight="1" x14ac:dyDescent="0.25">
      <c r="A50" s="23"/>
      <c r="B50" s="23"/>
      <c r="C50" s="23"/>
      <c r="D50" s="23"/>
      <c r="E50" s="23"/>
      <c r="F50" s="23"/>
      <c r="G50" s="23"/>
      <c r="H50" s="23"/>
    </row>
    <row r="51" spans="1:8" ht="18.95" customHeight="1" x14ac:dyDescent="0.25">
      <c r="A51" s="26" t="s">
        <v>40</v>
      </c>
      <c r="B51" s="26"/>
      <c r="C51" s="26"/>
      <c r="D51" s="26"/>
      <c r="E51" s="26"/>
      <c r="F51" s="26"/>
      <c r="G51" s="6"/>
      <c r="H51" s="6"/>
    </row>
    <row r="52" spans="1:8" ht="18.95" customHeight="1" x14ac:dyDescent="0.25">
      <c r="A52" s="26"/>
      <c r="B52" s="26"/>
      <c r="C52" s="26"/>
      <c r="D52" s="26"/>
      <c r="E52" s="26"/>
      <c r="F52" s="26"/>
      <c r="G52" s="27" t="s">
        <v>41</v>
      </c>
      <c r="H52" s="28"/>
    </row>
    <row r="53" spans="1:8" ht="18.95" customHeight="1" x14ac:dyDescent="0.25">
      <c r="A53" s="23"/>
      <c r="B53" s="23"/>
      <c r="C53" s="23"/>
      <c r="D53" s="23"/>
      <c r="E53" s="23"/>
      <c r="F53" s="23"/>
      <c r="G53" s="23"/>
      <c r="H53" s="23"/>
    </row>
    <row r="54" spans="1:8" ht="18.95" customHeight="1" x14ac:dyDescent="0.25">
      <c r="A54" s="23"/>
      <c r="B54" s="23"/>
      <c r="C54" s="23"/>
      <c r="D54" s="23"/>
      <c r="E54" s="23"/>
      <c r="F54" s="23"/>
      <c r="G54" s="23"/>
      <c r="H54" s="23"/>
    </row>
    <row r="55" spans="1:8" ht="18.95" customHeight="1" x14ac:dyDescent="0.25">
      <c r="A55" s="23"/>
      <c r="B55" s="23"/>
      <c r="C55" s="23"/>
      <c r="D55" s="23"/>
      <c r="E55" s="23"/>
      <c r="F55" s="23"/>
      <c r="G55" s="23"/>
      <c r="H55" s="23"/>
    </row>
    <row r="56" spans="1:8" ht="18.95" customHeight="1" x14ac:dyDescent="0.25">
      <c r="A56" s="23"/>
      <c r="B56" s="23"/>
      <c r="C56" s="23"/>
      <c r="D56" s="23"/>
      <c r="E56" s="23"/>
      <c r="F56" s="23"/>
      <c r="G56" s="23"/>
      <c r="H56" s="23"/>
    </row>
    <row r="57" spans="1:8" ht="18.95" customHeight="1" x14ac:dyDescent="0.25">
      <c r="A57" s="23"/>
      <c r="B57" s="23"/>
      <c r="C57" s="23"/>
      <c r="D57" s="23"/>
      <c r="E57" s="23"/>
      <c r="F57" s="23"/>
      <c r="G57" s="23"/>
      <c r="H57" s="23"/>
    </row>
  </sheetData>
  <mergeCells count="22">
    <mergeCell ref="A27:H27"/>
    <mergeCell ref="B45:F46"/>
    <mergeCell ref="A51:F52"/>
    <mergeCell ref="G52:H52"/>
    <mergeCell ref="B20:D20"/>
    <mergeCell ref="B21:D21"/>
    <mergeCell ref="A23:B23"/>
    <mergeCell ref="D23:E23"/>
    <mergeCell ref="A24:B25"/>
    <mergeCell ref="D24:E25"/>
    <mergeCell ref="B15:D15"/>
    <mergeCell ref="G15:H15"/>
    <mergeCell ref="B17:D17"/>
    <mergeCell ref="G17:H17"/>
    <mergeCell ref="B19:D19"/>
    <mergeCell ref="G19:H19"/>
    <mergeCell ref="A13:H13"/>
    <mergeCell ref="A1:H1"/>
    <mergeCell ref="C4:H4"/>
    <mergeCell ref="C5:H5"/>
    <mergeCell ref="C7:H7"/>
    <mergeCell ref="C10:F10"/>
  </mergeCells>
  <pageMargins left="0.31496062992125989" right="0.31496062992125989" top="0.31496062992125989" bottom="0.31496062992125989" header="0.3" footer="0.3"/>
  <pageSetup scale="67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182BB-9F2C-491B-A434-E42FE1627D9D}">
  <sheetPr codeName="Hoja9">
    <pageSetUpPr fitToPage="1"/>
  </sheetPr>
  <dimension ref="A1:H57"/>
  <sheetViews>
    <sheetView zoomScale="85" zoomScaleNormal="85" workbookViewId="0">
      <selection activeCell="H10" sqref="H10"/>
    </sheetView>
  </sheetViews>
  <sheetFormatPr baseColWidth="10" defaultRowHeight="12.75" x14ac:dyDescent="0.25"/>
  <cols>
    <col min="1" max="1" width="16.7109375" style="1" customWidth="1"/>
    <col min="2" max="5" width="14.7109375" style="1" customWidth="1"/>
    <col min="6" max="6" width="18.7109375" style="1" customWidth="1"/>
    <col min="7" max="8" width="14.7109375" style="1" customWidth="1"/>
    <col min="9" max="16384" width="11.42578125" style="1"/>
  </cols>
  <sheetData>
    <row r="1" spans="1:8" ht="8.1" customHeight="1" x14ac:dyDescent="0.25">
      <c r="A1" s="45"/>
      <c r="B1" s="45"/>
      <c r="C1" s="45"/>
      <c r="D1" s="45"/>
      <c r="E1" s="45"/>
      <c r="F1" s="45"/>
      <c r="G1" s="45"/>
      <c r="H1" s="45"/>
    </row>
    <row r="2" spans="1:8" ht="18.95" customHeight="1" x14ac:dyDescent="0.25">
      <c r="A2" s="19"/>
      <c r="B2" s="19"/>
      <c r="C2" s="19"/>
      <c r="D2" s="19" t="s">
        <v>69</v>
      </c>
      <c r="E2" s="19"/>
      <c r="F2" s="19"/>
      <c r="G2" s="19"/>
      <c r="H2" s="19"/>
    </row>
    <row r="3" spans="1:8" ht="18.95" customHeight="1" x14ac:dyDescent="0.25">
      <c r="A3" s="20" t="s">
        <v>14</v>
      </c>
      <c r="B3" s="20" t="s">
        <v>15</v>
      </c>
      <c r="C3" s="20" t="s">
        <v>70</v>
      </c>
      <c r="D3" s="20"/>
      <c r="E3" s="20"/>
      <c r="F3" s="20"/>
      <c r="G3" s="20"/>
      <c r="H3" s="20"/>
    </row>
    <row r="4" spans="1:8" ht="18.95" customHeight="1" x14ac:dyDescent="0.25">
      <c r="A4" s="20" t="s">
        <v>16</v>
      </c>
      <c r="B4" s="20" t="s">
        <v>15</v>
      </c>
      <c r="C4" s="39" t="s">
        <v>43</v>
      </c>
      <c r="D4" s="39"/>
      <c r="E4" s="39"/>
      <c r="F4" s="39"/>
      <c r="G4" s="39"/>
      <c r="H4" s="39"/>
    </row>
    <row r="5" spans="1:8" ht="18.95" customHeight="1" x14ac:dyDescent="0.25">
      <c r="A5" s="20" t="s">
        <v>17</v>
      </c>
      <c r="B5" s="20" t="s">
        <v>15</v>
      </c>
      <c r="C5" s="39" t="s">
        <v>51</v>
      </c>
      <c r="D5" s="39"/>
      <c r="E5" s="39"/>
      <c r="F5" s="39"/>
      <c r="G5" s="39"/>
      <c r="H5" s="39"/>
    </row>
    <row r="6" spans="1:8" ht="18.95" customHeight="1" x14ac:dyDescent="0.25">
      <c r="A6" s="20"/>
      <c r="B6" s="20"/>
      <c r="C6" s="20"/>
      <c r="D6" s="20"/>
      <c r="E6" s="20"/>
      <c r="F6" s="20"/>
      <c r="G6" s="20"/>
      <c r="H6" s="20"/>
    </row>
    <row r="7" spans="1:8" ht="18.95" customHeight="1" x14ac:dyDescent="0.25">
      <c r="A7" s="20" t="s">
        <v>18</v>
      </c>
      <c r="B7" s="20" t="s">
        <v>15</v>
      </c>
      <c r="C7" s="47" t="s">
        <v>71</v>
      </c>
      <c r="D7" s="39"/>
      <c r="E7" s="39"/>
      <c r="F7" s="39"/>
      <c r="G7" s="39"/>
      <c r="H7" s="39"/>
    </row>
    <row r="8" spans="1:8" ht="18.95" customHeight="1" x14ac:dyDescent="0.25">
      <c r="A8" s="20" t="s">
        <v>19</v>
      </c>
      <c r="B8" s="20" t="s">
        <v>15</v>
      </c>
      <c r="C8" s="20" t="s">
        <v>50</v>
      </c>
      <c r="D8" s="20"/>
      <c r="E8" s="20"/>
      <c r="F8" s="20"/>
      <c r="G8" s="20"/>
      <c r="H8" s="20"/>
    </row>
    <row r="9" spans="1:8" ht="18.95" customHeight="1" x14ac:dyDescent="0.25">
      <c r="A9" s="20"/>
      <c r="B9" s="20"/>
      <c r="C9" s="20"/>
      <c r="D9" s="20"/>
      <c r="E9" s="20"/>
      <c r="F9" s="20"/>
      <c r="G9" s="20"/>
      <c r="H9" s="20"/>
    </row>
    <row r="10" spans="1:8" ht="18.95" customHeight="1" x14ac:dyDescent="0.25">
      <c r="A10" s="20"/>
      <c r="B10" s="5" t="s">
        <v>21</v>
      </c>
      <c r="C10" s="46" t="s">
        <v>20</v>
      </c>
      <c r="D10" s="46"/>
      <c r="E10" s="46"/>
      <c r="F10" s="46"/>
      <c r="G10" s="4" t="s">
        <v>21</v>
      </c>
      <c r="H10" s="20"/>
    </row>
    <row r="11" spans="1:8" ht="18.95" customHeight="1" x14ac:dyDescent="0.25">
      <c r="A11" s="20"/>
      <c r="B11" s="20"/>
      <c r="C11" s="18" t="s">
        <v>65</v>
      </c>
      <c r="D11" s="18"/>
      <c r="E11" s="18"/>
      <c r="F11" s="18"/>
      <c r="G11" s="20"/>
      <c r="H11" s="20"/>
    </row>
    <row r="12" spans="1:8" ht="18.95" customHeight="1" x14ac:dyDescent="0.25">
      <c r="A12" s="20"/>
      <c r="B12" s="20"/>
      <c r="C12" s="20"/>
      <c r="D12" s="20"/>
      <c r="E12" s="20"/>
      <c r="F12" s="20"/>
      <c r="G12" s="20"/>
      <c r="H12" s="20"/>
    </row>
    <row r="13" spans="1:8" ht="18.95" customHeight="1" x14ac:dyDescent="0.25">
      <c r="A13" s="29" t="s">
        <v>22</v>
      </c>
      <c r="B13" s="30"/>
      <c r="C13" s="30"/>
      <c r="D13" s="30"/>
      <c r="E13" s="30"/>
      <c r="F13" s="30"/>
      <c r="G13" s="30"/>
      <c r="H13" s="31"/>
    </row>
    <row r="14" spans="1:8" ht="18.95" customHeight="1" x14ac:dyDescent="0.25">
      <c r="A14" s="16"/>
      <c r="B14" s="6"/>
      <c r="C14" s="6"/>
      <c r="D14" s="6"/>
      <c r="E14" s="6"/>
      <c r="F14" s="6"/>
      <c r="G14" s="6"/>
      <c r="H14" s="17"/>
    </row>
    <row r="15" spans="1:8" ht="18.95" customHeight="1" x14ac:dyDescent="0.25">
      <c r="A15" s="8" t="s">
        <v>5</v>
      </c>
      <c r="B15" s="39" t="s">
        <v>72</v>
      </c>
      <c r="C15" s="39"/>
      <c r="D15" s="39"/>
      <c r="E15" s="20"/>
      <c r="F15" s="20" t="s">
        <v>23</v>
      </c>
      <c r="G15" s="39" t="s">
        <v>24</v>
      </c>
      <c r="H15" s="40"/>
    </row>
    <row r="16" spans="1:8" ht="18.95" customHeight="1" x14ac:dyDescent="0.25">
      <c r="A16" s="8"/>
      <c r="B16" s="20"/>
      <c r="C16" s="20"/>
      <c r="D16" s="20"/>
      <c r="E16" s="20"/>
      <c r="F16" s="20"/>
      <c r="G16" s="20"/>
      <c r="H16" s="22"/>
    </row>
    <row r="17" spans="1:8" ht="18.95" customHeight="1" x14ac:dyDescent="0.25">
      <c r="A17" s="8" t="s">
        <v>25</v>
      </c>
      <c r="B17" s="39" t="s">
        <v>73</v>
      </c>
      <c r="C17" s="39"/>
      <c r="D17" s="39"/>
      <c r="E17" s="20"/>
      <c r="F17" s="20" t="s">
        <v>26</v>
      </c>
      <c r="G17" s="39">
        <v>30</v>
      </c>
      <c r="H17" s="40"/>
    </row>
    <row r="18" spans="1:8" ht="18.95" customHeight="1" x14ac:dyDescent="0.25">
      <c r="A18" s="8"/>
      <c r="B18" s="20"/>
      <c r="C18" s="20"/>
      <c r="D18" s="20"/>
      <c r="E18" s="20"/>
      <c r="F18" s="20"/>
      <c r="G18" s="20"/>
      <c r="H18" s="22"/>
    </row>
    <row r="19" spans="1:8" ht="18.95" customHeight="1" x14ac:dyDescent="0.25">
      <c r="A19" s="8" t="s">
        <v>0</v>
      </c>
      <c r="B19" s="39" t="s">
        <v>58</v>
      </c>
      <c r="C19" s="39"/>
      <c r="D19" s="39"/>
      <c r="E19" s="20"/>
      <c r="F19" s="20" t="s">
        <v>27</v>
      </c>
      <c r="G19" s="41">
        <v>46082</v>
      </c>
      <c r="H19" s="40"/>
    </row>
    <row r="20" spans="1:8" ht="18.95" customHeight="1" x14ac:dyDescent="0.25">
      <c r="A20" s="8" t="s">
        <v>28</v>
      </c>
      <c r="B20" s="39" t="s">
        <v>63</v>
      </c>
      <c r="C20" s="39"/>
      <c r="D20" s="39"/>
      <c r="E20" s="20"/>
      <c r="F20" s="20"/>
      <c r="G20" s="20"/>
      <c r="H20" s="22"/>
    </row>
    <row r="21" spans="1:8" ht="18.95" customHeight="1" x14ac:dyDescent="0.25">
      <c r="A21" s="13" t="s">
        <v>29</v>
      </c>
      <c r="B21" s="42" t="s">
        <v>44</v>
      </c>
      <c r="C21" s="42"/>
      <c r="D21" s="42"/>
      <c r="E21" s="21"/>
      <c r="F21" s="21"/>
      <c r="G21" s="21"/>
      <c r="H21" s="15"/>
    </row>
    <row r="22" spans="1:8" ht="18.95" customHeight="1" x14ac:dyDescent="0.25">
      <c r="A22" s="20"/>
      <c r="B22" s="20"/>
      <c r="C22" s="20"/>
      <c r="D22" s="20"/>
      <c r="E22" s="20"/>
      <c r="F22" s="20"/>
      <c r="G22" s="20"/>
      <c r="H22" s="20"/>
    </row>
    <row r="23" spans="1:8" ht="18.95" customHeight="1" x14ac:dyDescent="0.25">
      <c r="A23" s="43" t="s">
        <v>6</v>
      </c>
      <c r="B23" s="44"/>
      <c r="C23" s="20"/>
      <c r="D23" s="43" t="s">
        <v>7</v>
      </c>
      <c r="E23" s="44"/>
      <c r="F23" s="20"/>
      <c r="G23" s="20"/>
      <c r="H23" s="20"/>
    </row>
    <row r="24" spans="1:8" ht="18.95" customHeight="1" x14ac:dyDescent="0.25">
      <c r="A24" s="35">
        <v>673750</v>
      </c>
      <c r="B24" s="36"/>
      <c r="C24" s="20"/>
      <c r="D24" s="35">
        <f>C37-H30-H31-H32</f>
        <v>551262.25</v>
      </c>
      <c r="E24" s="36"/>
      <c r="F24" s="20"/>
      <c r="G24" s="20"/>
      <c r="H24" s="20"/>
    </row>
    <row r="25" spans="1:8" ht="18.95" customHeight="1" x14ac:dyDescent="0.25">
      <c r="A25" s="37"/>
      <c r="B25" s="38"/>
      <c r="C25" s="20"/>
      <c r="D25" s="37"/>
      <c r="E25" s="38"/>
      <c r="F25" s="20"/>
      <c r="G25" s="20"/>
      <c r="H25" s="20"/>
    </row>
    <row r="26" spans="1:8" ht="18.95" customHeight="1" x14ac:dyDescent="0.25">
      <c r="A26" s="20"/>
      <c r="B26" s="20"/>
      <c r="C26" s="20"/>
      <c r="D26" s="20"/>
      <c r="E26" s="20"/>
      <c r="F26" s="20"/>
      <c r="G26" s="20"/>
      <c r="H26" s="20"/>
    </row>
    <row r="27" spans="1:8" ht="18.95" customHeight="1" x14ac:dyDescent="0.25">
      <c r="A27" s="32" t="s">
        <v>30</v>
      </c>
      <c r="B27" s="33"/>
      <c r="C27" s="33"/>
      <c r="D27" s="33"/>
      <c r="E27" s="33"/>
      <c r="F27" s="33"/>
      <c r="G27" s="33"/>
      <c r="H27" s="34"/>
    </row>
    <row r="28" spans="1:8" ht="18.95" customHeight="1" x14ac:dyDescent="0.25">
      <c r="A28" s="16"/>
      <c r="B28" s="6"/>
      <c r="C28" s="6"/>
      <c r="D28" s="6"/>
      <c r="E28" s="6"/>
      <c r="F28" s="6"/>
      <c r="G28" s="6"/>
      <c r="H28" s="17"/>
    </row>
    <row r="29" spans="1:8" ht="18.95" customHeight="1" x14ac:dyDescent="0.25">
      <c r="A29" s="10" t="s">
        <v>8</v>
      </c>
      <c r="B29" s="20"/>
      <c r="C29" s="20"/>
      <c r="D29" s="3" t="s">
        <v>9</v>
      </c>
      <c r="E29" s="20"/>
      <c r="F29" s="3" t="s">
        <v>10</v>
      </c>
      <c r="G29" s="20"/>
      <c r="H29" s="22"/>
    </row>
    <row r="30" spans="1:8" ht="18.95" customHeight="1" x14ac:dyDescent="0.25">
      <c r="A30" s="8" t="s">
        <v>1</v>
      </c>
      <c r="B30" s="20"/>
      <c r="C30" s="7">
        <v>539000</v>
      </c>
      <c r="D30" s="20" t="s">
        <v>2</v>
      </c>
      <c r="E30" s="7">
        <v>148738</v>
      </c>
      <c r="F30" s="20" t="s">
        <v>33</v>
      </c>
      <c r="G30" s="20"/>
      <c r="H30" s="11">
        <f>C37*0.1058</f>
        <v>71282.75</v>
      </c>
    </row>
    <row r="31" spans="1:8" ht="18.95" customHeight="1" x14ac:dyDescent="0.25">
      <c r="A31" s="8" t="s">
        <v>31</v>
      </c>
      <c r="B31" s="20"/>
      <c r="C31" s="7">
        <v>134750</v>
      </c>
      <c r="D31" s="20" t="s">
        <v>45</v>
      </c>
      <c r="E31" s="7">
        <v>0</v>
      </c>
      <c r="F31" s="20" t="s">
        <v>34</v>
      </c>
      <c r="G31" s="20"/>
      <c r="H31" s="11">
        <f>C37*0.07</f>
        <v>47162.500000000007</v>
      </c>
    </row>
    <row r="32" spans="1:8" ht="18.95" customHeight="1" x14ac:dyDescent="0.25">
      <c r="A32" s="8" t="s">
        <v>32</v>
      </c>
      <c r="B32" s="20"/>
      <c r="C32" s="7">
        <v>0</v>
      </c>
      <c r="D32" s="20" t="s">
        <v>3</v>
      </c>
      <c r="E32" s="7">
        <v>0</v>
      </c>
      <c r="F32" s="20" t="s">
        <v>35</v>
      </c>
      <c r="G32" s="20"/>
      <c r="H32" s="11">
        <f>C37*0.006</f>
        <v>4042.5</v>
      </c>
    </row>
    <row r="33" spans="1:8" ht="18.95" customHeight="1" x14ac:dyDescent="0.25">
      <c r="A33" s="8"/>
      <c r="B33" s="20"/>
      <c r="C33" s="20"/>
      <c r="D33" s="20" t="s">
        <v>4</v>
      </c>
      <c r="E33" s="7">
        <v>0</v>
      </c>
      <c r="F33" s="20" t="s">
        <v>36</v>
      </c>
      <c r="G33" s="20"/>
      <c r="H33" s="11">
        <v>0</v>
      </c>
    </row>
    <row r="34" spans="1:8" ht="18.95" customHeight="1" x14ac:dyDescent="0.25">
      <c r="A34" s="8"/>
      <c r="B34" s="20"/>
      <c r="C34" s="20"/>
      <c r="D34" s="3" t="s">
        <v>37</v>
      </c>
      <c r="E34" s="7">
        <f>SUM(E30:E33)</f>
        <v>148738</v>
      </c>
      <c r="F34" s="20" t="s">
        <v>11</v>
      </c>
      <c r="G34" s="20"/>
      <c r="H34" s="11">
        <v>0</v>
      </c>
    </row>
    <row r="35" spans="1:8" ht="18.95" customHeight="1" x14ac:dyDescent="0.25">
      <c r="A35" s="8"/>
      <c r="B35" s="20"/>
      <c r="C35" s="20"/>
      <c r="D35" s="20"/>
      <c r="E35" s="20"/>
      <c r="F35" s="20" t="s">
        <v>64</v>
      </c>
      <c r="G35" s="20"/>
      <c r="H35" s="11">
        <v>0</v>
      </c>
    </row>
    <row r="36" spans="1:8" ht="18.95" customHeight="1" x14ac:dyDescent="0.25">
      <c r="A36" s="8"/>
      <c r="B36" s="20"/>
      <c r="C36" s="20"/>
      <c r="D36" s="20"/>
      <c r="E36" s="20"/>
      <c r="F36" s="20"/>
      <c r="G36" s="20"/>
      <c r="H36" s="22"/>
    </row>
    <row r="37" spans="1:8" ht="18.95" customHeight="1" x14ac:dyDescent="0.25">
      <c r="A37" s="8"/>
      <c r="B37" s="3" t="s">
        <v>46</v>
      </c>
      <c r="C37" s="7">
        <f>C30+C31</f>
        <v>673750</v>
      </c>
      <c r="D37" s="20"/>
      <c r="E37" s="20"/>
      <c r="F37" s="3" t="s">
        <v>13</v>
      </c>
      <c r="G37" s="20"/>
      <c r="H37" s="11">
        <f>SUM(H30:H35)</f>
        <v>122487.75</v>
      </c>
    </row>
    <row r="38" spans="1:8" ht="18.95" customHeight="1" x14ac:dyDescent="0.25">
      <c r="A38" s="8"/>
      <c r="B38" s="20"/>
      <c r="C38" s="20"/>
      <c r="D38" s="20"/>
      <c r="E38" s="20"/>
      <c r="F38" s="20"/>
      <c r="G38" s="20"/>
      <c r="H38" s="22"/>
    </row>
    <row r="39" spans="1:8" ht="18.95" customHeight="1" x14ac:dyDescent="0.25">
      <c r="A39" s="8"/>
      <c r="B39" s="20"/>
      <c r="C39" s="20"/>
      <c r="D39" s="20"/>
      <c r="E39" s="20"/>
      <c r="F39" s="20"/>
      <c r="G39" s="20"/>
      <c r="H39" s="22"/>
    </row>
    <row r="40" spans="1:8" ht="18.95" customHeight="1" x14ac:dyDescent="0.25">
      <c r="A40" s="8"/>
      <c r="B40" s="20"/>
      <c r="C40" s="20"/>
      <c r="D40" s="20"/>
      <c r="E40" s="20"/>
      <c r="F40" s="20"/>
      <c r="G40" s="20"/>
      <c r="H40" s="22"/>
    </row>
    <row r="41" spans="1:8" ht="18.95" customHeight="1" x14ac:dyDescent="0.25">
      <c r="A41" s="8"/>
      <c r="B41" s="20"/>
      <c r="C41" s="20"/>
      <c r="D41" s="20"/>
      <c r="E41" s="20"/>
      <c r="F41" s="20"/>
      <c r="G41" s="20"/>
      <c r="H41" s="22"/>
    </row>
    <row r="42" spans="1:8" ht="18.95" customHeight="1" x14ac:dyDescent="0.25">
      <c r="A42" s="8"/>
      <c r="B42" s="20"/>
      <c r="C42" s="20"/>
      <c r="D42" s="20"/>
      <c r="E42" s="20"/>
      <c r="F42" s="20"/>
      <c r="G42" s="20"/>
      <c r="H42" s="22"/>
    </row>
    <row r="43" spans="1:8" ht="18.95" customHeight="1" x14ac:dyDescent="0.25">
      <c r="A43" s="8"/>
      <c r="B43" s="20"/>
      <c r="C43" s="20"/>
      <c r="D43" s="20"/>
      <c r="E43" s="20"/>
      <c r="F43" s="20"/>
      <c r="G43" s="20"/>
      <c r="H43" s="22"/>
    </row>
    <row r="44" spans="1:8" ht="18.95" customHeight="1" x14ac:dyDescent="0.25">
      <c r="A44" s="8"/>
      <c r="B44" s="20"/>
      <c r="C44" s="20"/>
      <c r="D44" s="20"/>
      <c r="E44" s="20"/>
      <c r="F44" s="20"/>
      <c r="G44" s="20"/>
      <c r="H44" s="22"/>
    </row>
    <row r="45" spans="1:8" ht="18.95" customHeight="1" x14ac:dyDescent="0.25">
      <c r="A45" s="8" t="s">
        <v>38</v>
      </c>
      <c r="B45" s="26" t="str" cm="1">
        <f t="array" ref="B45">[1]!NumeroLetras(H45,"Pesos")</f>
        <v xml:space="preserve"> SETECIENTOS MIL 25/100  Pesos</v>
      </c>
      <c r="C45" s="26"/>
      <c r="D45" s="26"/>
      <c r="E45" s="26"/>
      <c r="F45" s="26"/>
      <c r="G45" s="3" t="s">
        <v>39</v>
      </c>
      <c r="H45" s="12">
        <f>C37+E34-H37</f>
        <v>700000.25</v>
      </c>
    </row>
    <row r="46" spans="1:8" ht="18.95" customHeight="1" x14ac:dyDescent="0.25">
      <c r="A46" s="8"/>
      <c r="B46" s="26"/>
      <c r="C46" s="26"/>
      <c r="D46" s="26"/>
      <c r="E46" s="26"/>
      <c r="F46" s="26"/>
      <c r="G46" s="20"/>
      <c r="H46" s="22"/>
    </row>
    <row r="47" spans="1:8" ht="18.95" customHeight="1" x14ac:dyDescent="0.25">
      <c r="A47" s="13"/>
      <c r="B47" s="21"/>
      <c r="C47" s="21"/>
      <c r="D47" s="21"/>
      <c r="E47" s="21"/>
      <c r="F47" s="21"/>
      <c r="G47" s="21"/>
      <c r="H47" s="15"/>
    </row>
    <row r="48" spans="1:8" ht="18.95" customHeight="1" x14ac:dyDescent="0.25">
      <c r="A48" s="20"/>
      <c r="B48" s="20"/>
      <c r="C48" s="20"/>
      <c r="D48" s="20"/>
      <c r="E48" s="20"/>
      <c r="F48" s="20"/>
      <c r="G48" s="20"/>
      <c r="H48" s="20"/>
    </row>
    <row r="49" spans="1:8" ht="18.95" customHeight="1" x14ac:dyDescent="0.25">
      <c r="A49" s="20"/>
      <c r="B49" s="20"/>
      <c r="C49" s="20"/>
      <c r="D49" s="20"/>
      <c r="E49" s="20"/>
      <c r="F49" s="20"/>
      <c r="G49" s="20"/>
      <c r="H49" s="20"/>
    </row>
    <row r="50" spans="1:8" ht="18.95" customHeight="1" x14ac:dyDescent="0.25">
      <c r="A50" s="20"/>
      <c r="B50" s="20"/>
      <c r="C50" s="20"/>
      <c r="D50" s="20"/>
      <c r="E50" s="20"/>
      <c r="F50" s="20"/>
      <c r="G50" s="20"/>
      <c r="H50" s="20"/>
    </row>
    <row r="51" spans="1:8" ht="18.95" customHeight="1" x14ac:dyDescent="0.25">
      <c r="A51" s="26" t="s">
        <v>40</v>
      </c>
      <c r="B51" s="26"/>
      <c r="C51" s="26"/>
      <c r="D51" s="26"/>
      <c r="E51" s="26"/>
      <c r="F51" s="26"/>
      <c r="G51" s="6"/>
      <c r="H51" s="6"/>
    </row>
    <row r="52" spans="1:8" ht="18.95" customHeight="1" x14ac:dyDescent="0.25">
      <c r="A52" s="26"/>
      <c r="B52" s="26"/>
      <c r="C52" s="26"/>
      <c r="D52" s="26"/>
      <c r="E52" s="26"/>
      <c r="F52" s="26"/>
      <c r="G52" s="27" t="s">
        <v>41</v>
      </c>
      <c r="H52" s="28"/>
    </row>
    <row r="53" spans="1:8" ht="18.95" customHeight="1" x14ac:dyDescent="0.25">
      <c r="A53" s="20"/>
      <c r="B53" s="20"/>
      <c r="C53" s="20"/>
      <c r="D53" s="20"/>
      <c r="E53" s="20"/>
      <c r="F53" s="20"/>
      <c r="G53" s="20"/>
      <c r="H53" s="20"/>
    </row>
    <row r="54" spans="1:8" ht="18.95" customHeight="1" x14ac:dyDescent="0.25">
      <c r="A54" s="20"/>
      <c r="B54" s="20"/>
      <c r="C54" s="20"/>
      <c r="D54" s="20"/>
      <c r="E54" s="20"/>
      <c r="F54" s="20"/>
      <c r="G54" s="20"/>
      <c r="H54" s="20"/>
    </row>
    <row r="55" spans="1:8" ht="18.95" customHeight="1" x14ac:dyDescent="0.25">
      <c r="A55" s="20"/>
      <c r="B55" s="20"/>
      <c r="C55" s="20"/>
      <c r="D55" s="20"/>
      <c r="E55" s="20"/>
      <c r="F55" s="20"/>
      <c r="G55" s="20"/>
      <c r="H55" s="20"/>
    </row>
    <row r="56" spans="1:8" ht="18.95" customHeight="1" x14ac:dyDescent="0.25">
      <c r="A56" s="20"/>
      <c r="B56" s="20"/>
      <c r="C56" s="20"/>
      <c r="D56" s="20"/>
      <c r="E56" s="20"/>
      <c r="F56" s="20"/>
      <c r="G56" s="20"/>
      <c r="H56" s="20"/>
    </row>
    <row r="57" spans="1:8" ht="18.95" customHeight="1" x14ac:dyDescent="0.25">
      <c r="A57" s="20"/>
      <c r="B57" s="20"/>
      <c r="C57" s="20"/>
      <c r="D57" s="20"/>
      <c r="E57" s="20"/>
      <c r="F57" s="20"/>
      <c r="G57" s="20"/>
      <c r="H57" s="20"/>
    </row>
  </sheetData>
  <mergeCells count="22">
    <mergeCell ref="A27:H27"/>
    <mergeCell ref="B45:F46"/>
    <mergeCell ref="A51:F52"/>
    <mergeCell ref="G52:H52"/>
    <mergeCell ref="B20:D20"/>
    <mergeCell ref="B21:D21"/>
    <mergeCell ref="A23:B23"/>
    <mergeCell ref="D23:E23"/>
    <mergeCell ref="A24:B25"/>
    <mergeCell ref="D24:E25"/>
    <mergeCell ref="B15:D15"/>
    <mergeCell ref="G15:H15"/>
    <mergeCell ref="B17:D17"/>
    <mergeCell ref="G17:H17"/>
    <mergeCell ref="B19:D19"/>
    <mergeCell ref="G19:H19"/>
    <mergeCell ref="A13:H13"/>
    <mergeCell ref="A1:H1"/>
    <mergeCell ref="C4:H4"/>
    <mergeCell ref="C5:H5"/>
    <mergeCell ref="C7:H7"/>
    <mergeCell ref="C10:F10"/>
  </mergeCells>
  <hyperlinks>
    <hyperlink ref="C7" r:id="rId1" xr:uid="{5A5491FD-43C8-4528-A4BF-03F8560FC2E6}"/>
  </hyperlinks>
  <pageMargins left="0.31496062992125989" right="0.31496062992125989" top="0.31496062992125989" bottom="0.31496062992125989" header="0.3" footer="0.3"/>
  <pageSetup scale="67" orientation="portrait" horizontalDpi="1200" verticalDpi="12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</vt:i4>
      </vt:variant>
    </vt:vector>
  </HeadingPairs>
  <TitlesOfParts>
    <vt:vector size="10" baseType="lpstr">
      <vt:lpstr>FORMATO LIQUIDACION</vt:lpstr>
      <vt:lpstr>CARLOS PIZARRO - MAYO 2026</vt:lpstr>
      <vt:lpstr>MIGUEL BERRIOS - MAYO 2026</vt:lpstr>
      <vt:lpstr>FERNANDO VILLALBA-MAYO 2026</vt:lpstr>
      <vt:lpstr>RICARDO - MAYO 2026</vt:lpstr>
      <vt:lpstr>'CARLOS PIZARRO - MAYO 2026'!Área_de_impresión</vt:lpstr>
      <vt:lpstr>'FERNANDO VILLALBA-MAYO 2026'!Área_de_impresión</vt:lpstr>
      <vt:lpstr>'FORMATO LIQUIDACION'!Área_de_impresión</vt:lpstr>
      <vt:lpstr>'MIGUEL BERRIOS - MAYO 2026'!Área_de_impresión</vt:lpstr>
      <vt:lpstr>'RICARDO - MAYO 2026'!Área_de_impresión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Sosa</dc:creator>
  <cp:lastModifiedBy>JOEL SOSA</cp:lastModifiedBy>
  <cp:lastPrinted>2026-06-04T22:14:01Z</cp:lastPrinted>
  <dcterms:created xsi:type="dcterms:W3CDTF">2026-04-17T03:25:28Z</dcterms:created>
  <dcterms:modified xsi:type="dcterms:W3CDTF">2026-06-17T14:29:46Z</dcterms:modified>
</cp:coreProperties>
</file>