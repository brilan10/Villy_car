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EL SOSA\Dropbox\J2 PUBLICIDAD\FINANZAS J2 PUBLICIDAD\"/>
    </mc:Choice>
  </mc:AlternateContent>
  <xr:revisionPtr revIDLastSave="0" documentId="13_ncr:1_{97F89813-F32D-4549-BAED-FCCC089739E2}" xr6:coauthVersionLast="47" xr6:coauthVersionMax="47" xr10:uidLastSave="{00000000-0000-0000-0000-000000000000}"/>
  <bookViews>
    <workbookView xWindow="-120" yWindow="-120" windowWidth="29040" windowHeight="15720" firstSheet="1" activeTab="1" xr2:uid="{A9805613-29A8-4908-8926-24AB83C3D626}"/>
  </bookViews>
  <sheets>
    <sheet name="Parámetros" sheetId="3" r:id="rId1"/>
    <sheet name="RESUMEN DIARIO" sheetId="4" r:id="rId2"/>
    <sheet name="Formularios" sheetId="2" r:id="rId3"/>
    <sheet name="Movimientos" sheetId="1" r:id="rId4"/>
    <sheet name="BEBIDAS" sheetId="8" r:id="rId5"/>
    <sheet name="Descuentos colaboradores" sheetId="5" r:id="rId6"/>
    <sheet name="PLANILLA" sheetId="7" r:id="rId7"/>
    <sheet name="COMISIONES" sheetId="9" r:id="rId8"/>
    <sheet name="DEUDA DWORK" sheetId="10" r:id="rId9"/>
  </sheets>
  <definedNames>
    <definedName name="_xlnm._FilterDatabase" localSheetId="4" hidden="1">BEBIDAS!$Z$3:$AD$232</definedName>
    <definedName name="EGRESOS">#REF!</definedName>
    <definedName name="SegmentaciónDeDatos_TIPO_DE_CAJA2">#N/A</definedName>
    <definedName name="SegmentaciónDeDatos_TIPO_DE_CAJA21">#N/A</definedName>
    <definedName name="tipo_de_caja" localSheetId="5">#REF!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8" i="4" l="1"/>
  <c r="E7" i="4" l="1"/>
  <c r="K7" i="1" l="1"/>
  <c r="K8" i="1"/>
  <c r="K9" i="1"/>
  <c r="K10" i="1"/>
  <c r="K11" i="1"/>
  <c r="K12" i="1" l="1"/>
  <c r="K13" i="1" l="1"/>
  <c r="B7" i="1" l="1"/>
  <c r="K14" i="1"/>
  <c r="K15" i="1" l="1"/>
  <c r="AJ232" i="8" l="1"/>
  <c r="AJ231" i="8"/>
  <c r="AJ230" i="8"/>
  <c r="AJ229" i="8"/>
  <c r="AJ228" i="8"/>
  <c r="AJ227" i="8"/>
  <c r="AJ226" i="8"/>
  <c r="AJ225" i="8"/>
  <c r="AJ224" i="8"/>
  <c r="AJ223" i="8"/>
  <c r="AJ222" i="8"/>
  <c r="AJ221" i="8"/>
  <c r="AJ220" i="8"/>
  <c r="AJ219" i="8"/>
  <c r="AJ218" i="8"/>
  <c r="AJ217" i="8"/>
  <c r="AJ216" i="8"/>
  <c r="AJ215" i="8"/>
  <c r="AJ214" i="8"/>
  <c r="AJ213" i="8"/>
  <c r="AJ212" i="8"/>
  <c r="AJ211" i="8"/>
  <c r="AJ210" i="8"/>
  <c r="AJ209" i="8"/>
  <c r="AJ208" i="8"/>
  <c r="AJ207" i="8"/>
  <c r="AJ206" i="8"/>
  <c r="AJ205" i="8"/>
  <c r="AJ204" i="8"/>
  <c r="AJ203" i="8"/>
  <c r="AJ202" i="8"/>
  <c r="AJ201" i="8"/>
  <c r="AJ200" i="8"/>
  <c r="AJ199" i="8"/>
  <c r="AJ198" i="8"/>
  <c r="AJ197" i="8"/>
  <c r="AJ196" i="8"/>
  <c r="AJ195" i="8"/>
  <c r="AJ194" i="8"/>
  <c r="AJ193" i="8"/>
  <c r="AJ192" i="8"/>
  <c r="AJ191" i="8"/>
  <c r="AJ190" i="8"/>
  <c r="AJ189" i="8"/>
  <c r="AJ188" i="8"/>
  <c r="AJ187" i="8"/>
  <c r="AJ186" i="8"/>
  <c r="AJ185" i="8"/>
  <c r="AJ184" i="8"/>
  <c r="AJ183" i="8"/>
  <c r="AJ182" i="8"/>
  <c r="AJ181" i="8"/>
  <c r="AJ180" i="8"/>
  <c r="AJ179" i="8"/>
  <c r="AJ178" i="8"/>
  <c r="AJ177" i="8"/>
  <c r="AJ176" i="8"/>
  <c r="AJ175" i="8"/>
  <c r="AJ174" i="8"/>
  <c r="AJ173" i="8"/>
  <c r="AJ172" i="8"/>
  <c r="AJ171" i="8"/>
  <c r="AJ170" i="8"/>
  <c r="AJ169" i="8"/>
  <c r="AJ168" i="8"/>
  <c r="AJ167" i="8"/>
  <c r="AJ166" i="8"/>
  <c r="AJ165" i="8"/>
  <c r="AJ164" i="8"/>
  <c r="AJ163" i="8"/>
  <c r="AJ162" i="8"/>
  <c r="AJ161" i="8"/>
  <c r="AJ160" i="8"/>
  <c r="AJ159" i="8"/>
  <c r="AJ158" i="8"/>
  <c r="AJ157" i="8"/>
  <c r="AJ156" i="8"/>
  <c r="AJ155" i="8"/>
  <c r="AJ154" i="8"/>
  <c r="AJ153" i="8"/>
  <c r="AJ152" i="8"/>
  <c r="AJ151" i="8"/>
  <c r="AJ150" i="8"/>
  <c r="AJ149" i="8"/>
  <c r="AJ148" i="8"/>
  <c r="AJ147" i="8"/>
  <c r="AJ146" i="8"/>
  <c r="AJ145" i="8"/>
  <c r="AJ144" i="8"/>
  <c r="AJ143" i="8"/>
  <c r="AJ142" i="8"/>
  <c r="AJ141" i="8"/>
  <c r="AJ140" i="8"/>
  <c r="AJ139" i="8"/>
  <c r="AJ138" i="8"/>
  <c r="AJ137" i="8"/>
  <c r="AJ136" i="8"/>
  <c r="AJ135" i="8"/>
  <c r="AJ134" i="8"/>
  <c r="AJ133" i="8"/>
  <c r="AJ132" i="8"/>
  <c r="AJ131" i="8"/>
  <c r="AJ130" i="8"/>
  <c r="AJ129" i="8"/>
  <c r="AJ128" i="8"/>
  <c r="AJ127" i="8"/>
  <c r="AJ126" i="8"/>
  <c r="AJ125" i="8"/>
  <c r="AJ124" i="8"/>
  <c r="AJ123" i="8"/>
  <c r="AJ122" i="8"/>
  <c r="AJ121" i="8"/>
  <c r="AJ120" i="8"/>
  <c r="AJ119" i="8"/>
  <c r="AJ118" i="8"/>
  <c r="AJ117" i="8"/>
  <c r="AJ116" i="8"/>
  <c r="AJ115" i="8"/>
  <c r="AJ114" i="8"/>
  <c r="AJ113" i="8"/>
  <c r="AJ112" i="8"/>
  <c r="AJ111" i="8"/>
  <c r="AJ110" i="8"/>
  <c r="AJ109" i="8"/>
  <c r="AJ108" i="8"/>
  <c r="AJ107" i="8"/>
  <c r="AJ106" i="8"/>
  <c r="AJ105" i="8"/>
  <c r="AJ104" i="8"/>
  <c r="AJ103" i="8"/>
  <c r="AJ102" i="8"/>
  <c r="AJ101" i="8"/>
  <c r="AJ100" i="8"/>
  <c r="AJ99" i="8"/>
  <c r="AJ98" i="8"/>
  <c r="AJ97" i="8"/>
  <c r="AJ96" i="8"/>
  <c r="AJ95" i="8"/>
  <c r="AJ94" i="8"/>
  <c r="AJ93" i="8"/>
  <c r="AJ92" i="8"/>
  <c r="AJ91" i="8"/>
  <c r="AJ90" i="8"/>
  <c r="AJ89" i="8"/>
  <c r="AJ88" i="8"/>
  <c r="AJ87" i="8"/>
  <c r="AJ86" i="8"/>
  <c r="AJ85" i="8"/>
  <c r="AJ84" i="8"/>
  <c r="AJ83" i="8"/>
  <c r="AJ82" i="8"/>
  <c r="AJ81" i="8"/>
  <c r="AJ80" i="8"/>
  <c r="AJ79" i="8"/>
  <c r="AJ78" i="8"/>
  <c r="AJ77" i="8"/>
  <c r="AJ76" i="8"/>
  <c r="AJ75" i="8"/>
  <c r="AJ74" i="8"/>
  <c r="AJ73" i="8"/>
  <c r="AJ72" i="8"/>
  <c r="AJ71" i="8"/>
  <c r="AJ70" i="8"/>
  <c r="AJ69" i="8"/>
  <c r="AJ68" i="8"/>
  <c r="AJ67" i="8"/>
  <c r="AJ66" i="8"/>
  <c r="AJ65" i="8"/>
  <c r="AJ64" i="8"/>
  <c r="AJ63" i="8"/>
  <c r="AJ62" i="8"/>
  <c r="AJ61" i="8"/>
  <c r="AJ60" i="8"/>
  <c r="AJ59" i="8"/>
  <c r="AJ58" i="8"/>
  <c r="AJ57" i="8"/>
  <c r="AJ56" i="8"/>
  <c r="AJ55" i="8"/>
  <c r="AJ54" i="8"/>
  <c r="AJ53" i="8"/>
  <c r="AJ52" i="8"/>
  <c r="AJ51" i="8"/>
  <c r="AJ50" i="8"/>
  <c r="AJ49" i="8"/>
  <c r="AJ48" i="8"/>
  <c r="AJ4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J26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J4" i="8"/>
  <c r="AD152" i="8" l="1"/>
  <c r="AD60" i="8"/>
  <c r="AD59" i="8"/>
  <c r="AD11" i="8" l="1"/>
  <c r="AD12" i="8"/>
  <c r="AD13" i="8"/>
  <c r="AD14" i="8"/>
  <c r="AD15" i="8"/>
  <c r="AD16" i="8"/>
  <c r="AD17" i="8"/>
  <c r="AD18" i="8"/>
  <c r="AD19" i="8"/>
  <c r="AD20" i="8"/>
  <c r="AD21" i="8"/>
  <c r="AD22" i="8"/>
  <c r="B64" i="4" l="1"/>
  <c r="B40" i="4"/>
  <c r="B17" i="4"/>
  <c r="L22" i="10" l="1"/>
  <c r="K16" i="1" l="1"/>
  <c r="K17" i="1"/>
  <c r="K18" i="1"/>
  <c r="K19" i="1"/>
  <c r="D69" i="4" l="1"/>
  <c r="C69" i="4"/>
  <c r="C70" i="4" l="1"/>
  <c r="D72" i="4" s="1"/>
  <c r="K20" i="1" l="1"/>
  <c r="K21" i="1" l="1"/>
  <c r="K22" i="1"/>
  <c r="K23" i="1" l="1"/>
  <c r="K24" i="1"/>
  <c r="K25" i="1"/>
  <c r="B8" i="1" l="1"/>
  <c r="K26" i="1"/>
  <c r="K27" i="1"/>
  <c r="K28" i="1"/>
  <c r="K29" i="1"/>
  <c r="AD62" i="8"/>
  <c r="AD106" i="8"/>
  <c r="AD63" i="8"/>
  <c r="AD5" i="8"/>
  <c r="AD130" i="8"/>
  <c r="AD6" i="8"/>
  <c r="AD24" i="8"/>
  <c r="AD64" i="8"/>
  <c r="AD50" i="8"/>
  <c r="AD107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25" i="8"/>
  <c r="AD26" i="8"/>
  <c r="K30" i="1" l="1"/>
  <c r="F45" i="10"/>
  <c r="K31" i="1"/>
  <c r="K32" i="1" l="1"/>
  <c r="K33" i="1" l="1"/>
  <c r="K34" i="1"/>
  <c r="K35" i="1" l="1"/>
  <c r="K36" i="1"/>
  <c r="K37" i="1"/>
  <c r="K38" i="1"/>
  <c r="K39" i="1" l="1"/>
  <c r="K40" i="1"/>
  <c r="K41" i="1"/>
  <c r="K42" i="1" l="1"/>
  <c r="K43" i="1"/>
  <c r="K44" i="1"/>
  <c r="K45" i="1" l="1"/>
  <c r="K46" i="1"/>
  <c r="K47" i="1"/>
  <c r="K48" i="1" l="1"/>
  <c r="K49" i="1" l="1"/>
  <c r="AD27" i="8" l="1"/>
  <c r="AD28" i="8"/>
  <c r="AD108" i="8"/>
  <c r="AD131" i="8"/>
  <c r="AD109" i="8"/>
  <c r="AD7" i="8"/>
  <c r="AD97" i="8"/>
  <c r="AD29" i="8"/>
  <c r="AD51" i="8"/>
  <c r="AD30" i="8"/>
  <c r="AD98" i="8"/>
  <c r="AD110" i="8"/>
  <c r="AD132" i="8"/>
  <c r="AD8" i="8"/>
  <c r="AD65" i="8"/>
  <c r="AD31" i="8"/>
  <c r="AD66" i="8"/>
  <c r="AD32" i="8"/>
  <c r="AD111" i="8"/>
  <c r="AD33" i="8"/>
  <c r="AD112" i="8"/>
  <c r="AD113" i="8"/>
  <c r="AD9" i="8"/>
  <c r="AD34" i="8"/>
  <c r="AD35" i="8"/>
  <c r="AD135" i="8"/>
  <c r="AD36" i="8"/>
  <c r="AD37" i="8"/>
  <c r="AD67" i="8"/>
  <c r="AD68" i="8"/>
  <c r="AD69" i="8"/>
  <c r="AD10" i="8"/>
  <c r="AD70" i="8"/>
  <c r="AD71" i="8"/>
  <c r="AD114" i="8"/>
  <c r="AD136" i="8"/>
  <c r="AD137" i="8"/>
  <c r="AD72" i="8"/>
  <c r="AD73" i="8"/>
  <c r="AD38" i="8"/>
  <c r="AD39" i="8"/>
  <c r="AD40" i="8"/>
  <c r="AD41" i="8"/>
  <c r="AD42" i="8"/>
  <c r="AD43" i="8"/>
  <c r="AD44" i="8"/>
  <c r="AD45" i="8"/>
  <c r="AD46" i="8"/>
  <c r="AD47" i="8"/>
  <c r="AD52" i="8"/>
  <c r="AD53" i="8"/>
  <c r="AD54" i="8"/>
  <c r="AD55" i="8"/>
  <c r="AD56" i="8"/>
  <c r="AD57" i="8"/>
  <c r="AD58" i="8"/>
  <c r="AD74" i="8"/>
  <c r="AD75" i="8"/>
  <c r="AD76" i="8"/>
  <c r="AD77" i="8"/>
  <c r="AD78" i="8"/>
  <c r="AD79" i="8"/>
  <c r="AD80" i="8"/>
  <c r="AD81" i="8"/>
  <c r="AD82" i="8"/>
  <c r="AD99" i="8"/>
  <c r="AD100" i="8"/>
  <c r="AD101" i="8"/>
  <c r="AD102" i="8"/>
  <c r="AD103" i="8"/>
  <c r="AD104" i="8"/>
  <c r="AD105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34" i="8"/>
  <c r="AD133" i="8"/>
  <c r="AD48" i="8"/>
  <c r="AD49" i="8"/>
  <c r="AD61" i="8"/>
  <c r="AD23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K50" i="1" l="1"/>
  <c r="K51" i="1"/>
  <c r="K52" i="1"/>
  <c r="K53" i="1"/>
  <c r="K54" i="1"/>
  <c r="E32" i="7"/>
  <c r="D13" i="7" l="1"/>
  <c r="D56" i="7"/>
  <c r="E56" i="7"/>
  <c r="K55" i="1"/>
  <c r="G747" i="5" l="1"/>
  <c r="G746" i="5"/>
  <c r="G745" i="5"/>
  <c r="G744" i="5"/>
  <c r="G743" i="5"/>
  <c r="G742" i="5"/>
  <c r="G741" i="5"/>
  <c r="G740" i="5"/>
  <c r="G739" i="5"/>
  <c r="G738" i="5"/>
  <c r="G737" i="5"/>
  <c r="G736" i="5"/>
  <c r="G717" i="5"/>
  <c r="G735" i="5"/>
  <c r="G701" i="5"/>
  <c r="G700" i="5"/>
  <c r="G699" i="5"/>
  <c r="G698" i="5"/>
  <c r="G727" i="5"/>
  <c r="G726" i="5"/>
  <c r="G725" i="5"/>
  <c r="G724" i="5"/>
  <c r="G723" i="5"/>
  <c r="G716" i="5"/>
  <c r="G697" i="5"/>
  <c r="G695" i="5"/>
  <c r="G722" i="5"/>
  <c r="G711" i="5"/>
  <c r="G734" i="5"/>
  <c r="G710" i="5"/>
  <c r="G709" i="5"/>
  <c r="G708" i="5"/>
  <c r="G715" i="5"/>
  <c r="G696" i="5"/>
  <c r="G733" i="5"/>
  <c r="G721" i="5"/>
  <c r="G707" i="5"/>
  <c r="G732" i="5"/>
  <c r="G720" i="5"/>
  <c r="G731" i="5"/>
  <c r="G719" i="5"/>
  <c r="G730" i="5"/>
  <c r="G718" i="5"/>
  <c r="G729" i="5"/>
  <c r="K703" i="5"/>
  <c r="G694" i="5"/>
  <c r="K702" i="5"/>
  <c r="G728" i="5"/>
  <c r="K701" i="5"/>
  <c r="G706" i="5"/>
  <c r="K700" i="5"/>
  <c r="G705" i="5"/>
  <c r="K699" i="5"/>
  <c r="G704" i="5"/>
  <c r="K698" i="5"/>
  <c r="G693" i="5"/>
  <c r="K697" i="5"/>
  <c r="G703" i="5"/>
  <c r="K696" i="5"/>
  <c r="G702" i="5"/>
  <c r="K695" i="5"/>
  <c r="G714" i="5"/>
  <c r="K694" i="5"/>
  <c r="G713" i="5"/>
  <c r="K693" i="5"/>
  <c r="G712" i="5"/>
  <c r="AD232" i="8"/>
  <c r="AD231" i="8"/>
  <c r="AD230" i="8"/>
  <c r="AD229" i="8"/>
  <c r="AD228" i="8"/>
  <c r="AD227" i="8"/>
  <c r="AD226" i="8"/>
  <c r="AD225" i="8"/>
  <c r="AD224" i="8"/>
  <c r="AD223" i="8"/>
  <c r="AD222" i="8"/>
  <c r="AD221" i="8"/>
  <c r="AD220" i="8"/>
  <c r="AD4" i="8"/>
  <c r="G658" i="5"/>
  <c r="X135" i="8"/>
  <c r="X136" i="8"/>
  <c r="X137" i="8"/>
  <c r="X138" i="8"/>
  <c r="X139" i="8"/>
  <c r="X140" i="8"/>
  <c r="X141" i="8"/>
  <c r="X129" i="8"/>
  <c r="X130" i="8"/>
  <c r="X131" i="8"/>
  <c r="X132" i="8"/>
  <c r="X133" i="8"/>
  <c r="X134" i="8"/>
  <c r="X115" i="8"/>
  <c r="X116" i="8"/>
  <c r="X117" i="8"/>
  <c r="X118" i="8"/>
  <c r="X119" i="8"/>
  <c r="X120" i="8"/>
  <c r="X52" i="8"/>
  <c r="X53" i="8"/>
  <c r="X54" i="8"/>
  <c r="X55" i="8"/>
  <c r="X56" i="8"/>
  <c r="X57" i="8"/>
  <c r="X58" i="8"/>
  <c r="X59" i="8"/>
  <c r="X60" i="8"/>
  <c r="X61" i="8"/>
  <c r="X62" i="8"/>
  <c r="X63" i="8"/>
  <c r="X31" i="8"/>
  <c r="X76" i="8"/>
  <c r="X77" i="8"/>
  <c r="X14" i="8"/>
  <c r="X97" i="8"/>
  <c r="X46" i="8"/>
  <c r="X114" i="8"/>
  <c r="X98" i="8"/>
  <c r="X99" i="8"/>
  <c r="X32" i="8"/>
  <c r="X33" i="8"/>
  <c r="X34" i="8"/>
  <c r="X35" i="8"/>
  <c r="X36" i="8"/>
  <c r="X37" i="8"/>
  <c r="K56" i="1"/>
  <c r="P46" i="9"/>
  <c r="T46" i="9" s="1"/>
  <c r="P45" i="9"/>
  <c r="T45" i="9" s="1"/>
  <c r="T44" i="9"/>
  <c r="P44" i="9"/>
  <c r="S44" i="9" s="1"/>
  <c r="P43" i="9"/>
  <c r="T43" i="9" s="1"/>
  <c r="T42" i="9"/>
  <c r="S42" i="9"/>
  <c r="Q42" i="9"/>
  <c r="P42" i="9"/>
  <c r="P41" i="9"/>
  <c r="T41" i="9" s="1"/>
  <c r="P40" i="9"/>
  <c r="T40" i="9" s="1"/>
  <c r="P39" i="9"/>
  <c r="T39" i="9" s="1"/>
  <c r="P38" i="9"/>
  <c r="T38" i="9" s="1"/>
  <c r="P37" i="9"/>
  <c r="Q37" i="9" s="1"/>
  <c r="P36" i="9"/>
  <c r="T36" i="9" s="1"/>
  <c r="P35" i="9"/>
  <c r="T35" i="9" s="1"/>
  <c r="P34" i="9"/>
  <c r="T34" i="9" s="1"/>
  <c r="P33" i="9"/>
  <c r="T33" i="9" s="1"/>
  <c r="P32" i="9"/>
  <c r="P31" i="9"/>
  <c r="T31" i="9" s="1"/>
  <c r="P30" i="9"/>
  <c r="T30" i="9" l="1"/>
  <c r="U30" i="9" s="1"/>
  <c r="U31" i="9" s="1"/>
  <c r="T32" i="9"/>
  <c r="S32" i="9" s="1"/>
  <c r="Q30" i="9"/>
  <c r="T37" i="9"/>
  <c r="S37" i="9" s="1"/>
  <c r="Q45" i="9"/>
  <c r="Q46" i="9"/>
  <c r="S46" i="9"/>
  <c r="Q35" i="9"/>
  <c r="S35" i="9"/>
  <c r="Q40" i="9"/>
  <c r="Q33" i="9"/>
  <c r="S40" i="9"/>
  <c r="S33" i="9"/>
  <c r="Q38" i="9"/>
  <c r="S45" i="9"/>
  <c r="Q31" i="9"/>
  <c r="S38" i="9"/>
  <c r="Q43" i="9"/>
  <c r="S31" i="9"/>
  <c r="Q36" i="9"/>
  <c r="S43" i="9"/>
  <c r="S36" i="9"/>
  <c r="Q41" i="9"/>
  <c r="Q34" i="9"/>
  <c r="S41" i="9"/>
  <c r="S34" i="9"/>
  <c r="Q39" i="9"/>
  <c r="Q32" i="9"/>
  <c r="S39" i="9"/>
  <c r="Q44" i="9"/>
  <c r="K57" i="1"/>
  <c r="K58" i="1"/>
  <c r="K63" i="1"/>
  <c r="K59" i="1"/>
  <c r="K60" i="1"/>
  <c r="U32" i="9" l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S30" i="9"/>
  <c r="K61" i="1"/>
  <c r="K65" i="1"/>
  <c r="K209" i="1" l="1"/>
  <c r="K210" i="1"/>
  <c r="B9" i="1"/>
  <c r="K126" i="1"/>
  <c r="K218" i="1"/>
  <c r="K219" i="1"/>
  <c r="K220" i="1"/>
  <c r="K221" i="1"/>
  <c r="K222" i="1"/>
  <c r="K223" i="1"/>
  <c r="B23" i="1"/>
  <c r="K224" i="1"/>
  <c r="K345" i="1"/>
  <c r="K341" i="1"/>
  <c r="K337" i="1"/>
  <c r="K338" i="1"/>
  <c r="K329" i="1"/>
  <c r="K323" i="1"/>
  <c r="B99" i="1"/>
  <c r="K324" i="1"/>
  <c r="K325" i="1"/>
  <c r="K326" i="1"/>
  <c r="K319" i="1"/>
  <c r="K293" i="1"/>
  <c r="K294" i="1"/>
  <c r="K282" i="1"/>
  <c r="K283" i="1"/>
  <c r="K284" i="1"/>
  <c r="K273" i="1"/>
  <c r="K252" i="1"/>
  <c r="B46" i="1"/>
  <c r="B47" i="1"/>
  <c r="B48" i="1"/>
  <c r="B49" i="1"/>
  <c r="K231" i="1"/>
  <c r="B38" i="1"/>
  <c r="B39" i="1"/>
  <c r="B33" i="1"/>
  <c r="B34" i="1"/>
  <c r="K229" i="1"/>
  <c r="B30" i="1"/>
  <c r="B26" i="1"/>
  <c r="B35" i="1"/>
  <c r="K232" i="1"/>
  <c r="K62" i="1"/>
  <c r="B40" i="1"/>
  <c r="B41" i="1"/>
  <c r="B42" i="1"/>
  <c r="B50" i="1"/>
  <c r="B51" i="1"/>
  <c r="B52" i="1"/>
  <c r="K240" i="1"/>
  <c r="K241" i="1"/>
  <c r="K242" i="1"/>
  <c r="B55" i="1"/>
  <c r="B56" i="1"/>
  <c r="K243" i="1"/>
  <c r="K247" i="1"/>
  <c r="B59" i="1"/>
  <c r="B63" i="1"/>
  <c r="K264" i="1"/>
  <c r="K64" i="1" l="1"/>
  <c r="B10" i="1"/>
  <c r="K66" i="1"/>
  <c r="B60" i="1" l="1"/>
  <c r="B11" i="1" l="1"/>
  <c r="B12" i="1"/>
  <c r="B13" i="1" l="1"/>
  <c r="K253" i="1"/>
  <c r="K254" i="1"/>
  <c r="B64" i="1"/>
  <c r="K265" i="1"/>
  <c r="B67" i="1"/>
  <c r="K67" i="1"/>
  <c r="K68" i="1"/>
  <c r="G37" i="9" l="1"/>
  <c r="H37" i="9" s="1"/>
  <c r="K69" i="1" l="1"/>
  <c r="K70" i="1"/>
  <c r="K71" i="1"/>
  <c r="K72" i="1" l="1"/>
  <c r="K73" i="1"/>
  <c r="K74" i="1"/>
  <c r="K75" i="1" l="1"/>
  <c r="K76" i="1"/>
  <c r="K77" i="1" l="1"/>
  <c r="K78" i="1"/>
  <c r="K79" i="1"/>
  <c r="G36" i="9"/>
  <c r="H36" i="9" s="1"/>
  <c r="H35" i="9"/>
  <c r="G35" i="9"/>
  <c r="G34" i="9"/>
  <c r="H34" i="9" s="1"/>
  <c r="H33" i="9"/>
  <c r="G33" i="9"/>
  <c r="K83" i="1"/>
  <c r="K81" i="1"/>
  <c r="K80" i="1"/>
  <c r="K82" i="1"/>
  <c r="K87" i="1"/>
  <c r="K84" i="1"/>
  <c r="K85" i="1"/>
  <c r="K86" i="1"/>
  <c r="K88" i="1"/>
  <c r="K89" i="1"/>
  <c r="K90" i="1"/>
  <c r="K91" i="1"/>
  <c r="K92" i="1" l="1"/>
  <c r="K93" i="1"/>
  <c r="K94" i="1"/>
  <c r="K266" i="1"/>
  <c r="K267" i="1"/>
  <c r="G645" i="5"/>
  <c r="G632" i="5"/>
  <c r="G644" i="5"/>
  <c r="G631" i="5"/>
  <c r="G680" i="5"/>
  <c r="G679" i="5"/>
  <c r="G671" i="5"/>
  <c r="G655" i="5"/>
  <c r="G643" i="5"/>
  <c r="G630" i="5"/>
  <c r="G642" i="5"/>
  <c r="G641" i="5"/>
  <c r="G654" i="5"/>
  <c r="G653" i="5"/>
  <c r="G640" i="5"/>
  <c r="G678" i="5"/>
  <c r="G652" i="5"/>
  <c r="G670" i="5"/>
  <c r="G677" i="5"/>
  <c r="G669" i="5"/>
  <c r="G629" i="5"/>
  <c r="G639" i="5"/>
  <c r="G676" i="5"/>
  <c r="G668" i="5"/>
  <c r="G651" i="5"/>
  <c r="G675" i="5"/>
  <c r="G674" i="5"/>
  <c r="G650" i="5"/>
  <c r="G628" i="5"/>
  <c r="G638" i="5"/>
  <c r="G627" i="5"/>
  <c r="G637" i="5"/>
  <c r="G657" i="5"/>
  <c r="G673" i="5"/>
  <c r="G626" i="5"/>
  <c r="G667" i="5"/>
  <c r="G666" i="5"/>
  <c r="G665" i="5"/>
  <c r="G664" i="5"/>
  <c r="G663" i="5"/>
  <c r="G662" i="5"/>
  <c r="G661" i="5"/>
  <c r="K636" i="5"/>
  <c r="G672" i="5"/>
  <c r="G656" i="5"/>
  <c r="K635" i="5"/>
  <c r="G660" i="5"/>
  <c r="K634" i="5"/>
  <c r="G659" i="5"/>
  <c r="K633" i="5"/>
  <c r="G649" i="5"/>
  <c r="K632" i="5"/>
  <c r="G648" i="5"/>
  <c r="K631" i="5"/>
  <c r="G647" i="5"/>
  <c r="K630" i="5"/>
  <c r="G646" i="5"/>
  <c r="K629" i="5"/>
  <c r="G636" i="5"/>
  <c r="K628" i="5"/>
  <c r="G635" i="5"/>
  <c r="K627" i="5"/>
  <c r="G634" i="5"/>
  <c r="K626" i="5"/>
  <c r="G633" i="5"/>
  <c r="K268" i="1"/>
  <c r="B68" i="1"/>
  <c r="B72" i="1"/>
  <c r="B73" i="1"/>
  <c r="B74" i="1"/>
  <c r="B75" i="1"/>
  <c r="K285" i="1" l="1"/>
  <c r="K286" i="1"/>
  <c r="K287" i="1"/>
  <c r="K288" i="1" l="1"/>
  <c r="B78" i="1" l="1"/>
  <c r="B79" i="1"/>
  <c r="K295" i="1"/>
  <c r="K296" i="1"/>
  <c r="K297" i="1"/>
  <c r="K302" i="1"/>
  <c r="K303" i="1"/>
  <c r="B84" i="1"/>
  <c r="K313" i="1"/>
  <c r="B21" i="1"/>
  <c r="B20" i="1"/>
  <c r="B19" i="1"/>
  <c r="B18" i="1"/>
  <c r="B17" i="1"/>
  <c r="B16" i="1"/>
  <c r="B15" i="1"/>
  <c r="B14" i="1"/>
  <c r="K95" i="1"/>
  <c r="K96" i="1"/>
  <c r="K97" i="1"/>
  <c r="K98" i="1"/>
  <c r="K102" i="1" l="1"/>
  <c r="K99" i="1"/>
  <c r="K100" i="1" l="1"/>
  <c r="K101" i="1" l="1"/>
  <c r="B88" i="1" l="1"/>
  <c r="K103" i="1"/>
  <c r="B89" i="1"/>
  <c r="K314" i="1"/>
  <c r="K315" i="1"/>
  <c r="B87" i="1"/>
  <c r="K320" i="1"/>
  <c r="B93" i="1"/>
  <c r="K321" i="1"/>
  <c r="B94" i="1"/>
  <c r="B95" i="1"/>
  <c r="B96" i="1"/>
  <c r="K327" i="1"/>
  <c r="K328" i="1"/>
  <c r="K330" i="1"/>
  <c r="B100" i="1"/>
  <c r="B101" i="1"/>
  <c r="K331" i="1"/>
  <c r="K192" i="1"/>
  <c r="K339" i="1"/>
  <c r="K104" i="1"/>
  <c r="K316" i="1"/>
  <c r="B108" i="1"/>
  <c r="B107" i="1"/>
  <c r="K106" i="1" l="1"/>
  <c r="K107" i="1"/>
  <c r="K108" i="1"/>
  <c r="K109" i="1"/>
  <c r="K110" i="1"/>
  <c r="K111" i="1"/>
  <c r="K112" i="1" l="1"/>
  <c r="K113" i="1"/>
  <c r="K114" i="1"/>
  <c r="K115" i="1"/>
  <c r="K116" i="1"/>
  <c r="K117" i="1"/>
  <c r="K118" i="1"/>
  <c r="K119" i="1" l="1"/>
  <c r="K120" i="1"/>
  <c r="K170" i="1" l="1"/>
  <c r="K201" i="1"/>
  <c r="K105" i="1"/>
  <c r="K164" i="1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49" i="8"/>
  <c r="X48" i="8"/>
  <c r="X47" i="8"/>
  <c r="X19" i="8"/>
  <c r="X18" i="8"/>
  <c r="X17" i="8"/>
  <c r="X16" i="8"/>
  <c r="X15" i="8"/>
  <c r="X113" i="8"/>
  <c r="X45" i="8"/>
  <c r="X122" i="8"/>
  <c r="X30" i="8"/>
  <c r="X96" i="8"/>
  <c r="X13" i="8"/>
  <c r="X112" i="8"/>
  <c r="X44" i="8"/>
  <c r="X29" i="8"/>
  <c r="X28" i="8"/>
  <c r="X43" i="8"/>
  <c r="X42" i="8"/>
  <c r="X95" i="8"/>
  <c r="X111" i="8"/>
  <c r="X75" i="8"/>
  <c r="X110" i="8"/>
  <c r="X27" i="8"/>
  <c r="X26" i="8"/>
  <c r="X109" i="8"/>
  <c r="X12" i="8"/>
  <c r="X108" i="8"/>
  <c r="X74" i="8"/>
  <c r="X25" i="8"/>
  <c r="X73" i="8"/>
  <c r="X72" i="8"/>
  <c r="X11" i="8"/>
  <c r="X107" i="8"/>
  <c r="X106" i="8"/>
  <c r="X105" i="8"/>
  <c r="X94" i="8"/>
  <c r="X121" i="8"/>
  <c r="X104" i="8"/>
  <c r="X24" i="8"/>
  <c r="X71" i="8"/>
  <c r="X70" i="8"/>
  <c r="X93" i="8"/>
  <c r="X100" i="8"/>
  <c r="X69" i="8"/>
  <c r="X92" i="8"/>
  <c r="X91" i="8"/>
  <c r="X90" i="8"/>
  <c r="X89" i="8"/>
  <c r="X23" i="8"/>
  <c r="X88" i="8"/>
  <c r="X126" i="8"/>
  <c r="X125" i="8"/>
  <c r="X124" i="8"/>
  <c r="X123" i="8"/>
  <c r="X10" i="8"/>
  <c r="X9" i="8"/>
  <c r="X22" i="8"/>
  <c r="X103" i="8"/>
  <c r="X8" i="8"/>
  <c r="X68" i="8"/>
  <c r="X102" i="8"/>
  <c r="X41" i="8"/>
  <c r="X87" i="8"/>
  <c r="X21" i="8"/>
  <c r="X7" i="8"/>
  <c r="X86" i="8"/>
  <c r="X6" i="8"/>
  <c r="X40" i="8"/>
  <c r="X67" i="8"/>
  <c r="X20" i="8"/>
  <c r="X5" i="8"/>
  <c r="X39" i="8"/>
  <c r="X128" i="8"/>
  <c r="X51" i="8"/>
  <c r="X85" i="8"/>
  <c r="X66" i="8"/>
  <c r="X50" i="8"/>
  <c r="X38" i="8"/>
  <c r="X65" i="8"/>
  <c r="X127" i="8"/>
  <c r="X84" i="8"/>
  <c r="X64" i="8"/>
  <c r="X101" i="8"/>
  <c r="X4" i="8"/>
  <c r="K132" i="1"/>
  <c r="K133" i="1"/>
  <c r="K121" i="1"/>
  <c r="K122" i="1"/>
  <c r="K123" i="1"/>
  <c r="G615" i="5"/>
  <c r="G574" i="5"/>
  <c r="G614" i="5"/>
  <c r="G609" i="5" l="1"/>
  <c r="G567" i="5"/>
  <c r="G584" i="5" l="1"/>
  <c r="G566" i="5"/>
  <c r="G565" i="5"/>
  <c r="G564" i="5"/>
  <c r="G583" i="5"/>
  <c r="G593" i="5"/>
  <c r="G596" i="5"/>
  <c r="G582" i="5"/>
  <c r="K127" i="1" l="1"/>
  <c r="K342" i="1" l="1"/>
  <c r="K128" i="1"/>
  <c r="K129" i="1"/>
  <c r="K124" i="1" l="1"/>
  <c r="K125" i="1"/>
  <c r="K215" i="1"/>
  <c r="K462" i="1" l="1"/>
  <c r="K191" i="1"/>
  <c r="K143" i="1"/>
  <c r="K137" i="1"/>
  <c r="K138" i="1"/>
  <c r="K136" i="1"/>
  <c r="K130" i="1" l="1"/>
  <c r="K131" i="1" l="1"/>
  <c r="K134" i="1" l="1"/>
  <c r="K135" i="1" l="1"/>
  <c r="B27" i="1" l="1"/>
  <c r="G46" i="9"/>
  <c r="K46" i="9" s="1"/>
  <c r="J46" i="9" s="1"/>
  <c r="G45" i="9"/>
  <c r="K45" i="9" s="1"/>
  <c r="G44" i="9"/>
  <c r="G43" i="9"/>
  <c r="K43" i="9" s="1"/>
  <c r="G42" i="9"/>
  <c r="K42" i="9" s="1"/>
  <c r="G41" i="9"/>
  <c r="K41" i="9" s="1"/>
  <c r="G40" i="9"/>
  <c r="H40" i="9" s="1"/>
  <c r="G39" i="9"/>
  <c r="K39" i="9" s="1"/>
  <c r="G38" i="9"/>
  <c r="K38" i="9" s="1"/>
  <c r="K36" i="9"/>
  <c r="K35" i="9"/>
  <c r="K34" i="9"/>
  <c r="G32" i="9"/>
  <c r="G31" i="9"/>
  <c r="K31" i="9" s="1"/>
  <c r="G30" i="9"/>
  <c r="K30" i="9" s="1"/>
  <c r="L30" i="9" s="1"/>
  <c r="H39" i="9" l="1"/>
  <c r="J42" i="9"/>
  <c r="H42" i="9"/>
  <c r="H30" i="9"/>
  <c r="K37" i="9"/>
  <c r="J37" i="9" s="1"/>
  <c r="K44" i="9"/>
  <c r="J44" i="9" s="1"/>
  <c r="J30" i="9"/>
  <c r="J39" i="9"/>
  <c r="K32" i="9"/>
  <c r="J34" i="9"/>
  <c r="J36" i="9"/>
  <c r="L31" i="9"/>
  <c r="J31" i="9"/>
  <c r="J45" i="9"/>
  <c r="J35" i="9"/>
  <c r="H45" i="9"/>
  <c r="H38" i="9"/>
  <c r="K40" i="9"/>
  <c r="H31" i="9"/>
  <c r="K33" i="9"/>
  <c r="J38" i="9"/>
  <c r="H43" i="9"/>
  <c r="J43" i="9"/>
  <c r="H41" i="9"/>
  <c r="J41" i="9"/>
  <c r="H46" i="9"/>
  <c r="H32" i="9"/>
  <c r="H44" i="9"/>
  <c r="B145" i="1"/>
  <c r="L32" i="9" l="1"/>
  <c r="J32" i="9"/>
  <c r="L33" i="9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J33" i="9"/>
  <c r="J40" i="9"/>
  <c r="I6" i="10" l="1"/>
  <c r="I7" i="10" s="1"/>
  <c r="I8" i="10" s="1"/>
  <c r="I9" i="10" s="1"/>
  <c r="I10" i="10" s="1"/>
  <c r="I11" i="10" s="1"/>
  <c r="K139" i="1"/>
  <c r="K140" i="1"/>
  <c r="K141" i="1"/>
  <c r="K142" i="1"/>
  <c r="I12" i="10" l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K144" i="1"/>
  <c r="K145" i="1"/>
  <c r="K148" i="1"/>
  <c r="K149" i="1"/>
  <c r="K146" i="1"/>
  <c r="K147" i="1" l="1"/>
  <c r="K150" i="1" l="1"/>
  <c r="K151" i="1"/>
  <c r="K152" i="1"/>
  <c r="K153" i="1" l="1"/>
  <c r="B109" i="1" l="1"/>
  <c r="K154" i="1"/>
  <c r="B22" i="1"/>
  <c r="B24" i="1"/>
  <c r="B28" i="1"/>
  <c r="B31" i="1"/>
  <c r="B36" i="1"/>
  <c r="B43" i="1"/>
  <c r="B45" i="1"/>
  <c r="B53" i="1"/>
  <c r="B57" i="1"/>
  <c r="B61" i="1"/>
  <c r="B65" i="1"/>
  <c r="B69" i="1"/>
  <c r="B71" i="1"/>
  <c r="B76" i="1"/>
  <c r="B80" i="1"/>
  <c r="B82" i="1"/>
  <c r="B85" i="1"/>
  <c r="B90" i="1"/>
  <c r="B92" i="1"/>
  <c r="B97" i="1"/>
  <c r="B102" i="1"/>
  <c r="B105" i="1"/>
  <c r="B110" i="1"/>
  <c r="K155" i="1" l="1"/>
  <c r="K156" i="1"/>
  <c r="K157" i="1"/>
  <c r="K165" i="1"/>
  <c r="K158" i="1"/>
  <c r="B25" i="1"/>
  <c r="B29" i="1"/>
  <c r="B32" i="1"/>
  <c r="B37" i="1"/>
  <c r="K159" i="1" l="1"/>
  <c r="K160" i="1" l="1"/>
  <c r="K161" i="1"/>
  <c r="K162" i="1"/>
  <c r="K163" i="1" l="1"/>
  <c r="K171" i="1"/>
  <c r="K166" i="1" l="1"/>
  <c r="K174" i="1"/>
  <c r="K175" i="1"/>
  <c r="K176" i="1"/>
  <c r="K172" i="1"/>
  <c r="K167" i="1"/>
  <c r="K168" i="1"/>
  <c r="K169" i="1"/>
  <c r="K173" i="1"/>
  <c r="K177" i="1" l="1"/>
  <c r="K178" i="1"/>
  <c r="K179" i="1"/>
  <c r="K180" i="1"/>
  <c r="K181" i="1"/>
  <c r="K182" i="1"/>
  <c r="K183" i="1"/>
  <c r="K184" i="1"/>
  <c r="K186" i="1"/>
  <c r="K193" i="1"/>
  <c r="K185" i="1" l="1"/>
  <c r="K187" i="1" l="1"/>
  <c r="K188" i="1"/>
  <c r="K196" i="1"/>
  <c r="K202" i="1" l="1"/>
  <c r="K197" i="1"/>
  <c r="K198" i="1"/>
  <c r="K199" i="1"/>
  <c r="K200" i="1"/>
  <c r="K203" i="1"/>
  <c r="K194" i="1"/>
  <c r="K189" i="1"/>
  <c r="K190" i="1" l="1"/>
  <c r="K195" i="1" l="1"/>
  <c r="K204" i="1" l="1"/>
  <c r="K205" i="1"/>
  <c r="B112" i="1"/>
  <c r="B113" i="1"/>
  <c r="K206" i="1"/>
  <c r="K207" i="1"/>
  <c r="K208" i="1"/>
  <c r="K211" i="1"/>
  <c r="K212" i="1"/>
  <c r="R232" i="8" l="1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37" i="8"/>
  <c r="R31" i="8"/>
  <c r="R105" i="8"/>
  <c r="R118" i="8"/>
  <c r="R104" i="8"/>
  <c r="R15" i="8"/>
  <c r="R30" i="8"/>
  <c r="R52" i="8"/>
  <c r="R66" i="8"/>
  <c r="R65" i="8"/>
  <c r="R103" i="8"/>
  <c r="R109" i="8"/>
  <c r="R14" i="8"/>
  <c r="R64" i="8"/>
  <c r="R13" i="8"/>
  <c r="R29" i="8"/>
  <c r="R51" i="8"/>
  <c r="R50" i="8"/>
  <c r="R89" i="8"/>
  <c r="R49" i="8"/>
  <c r="R36" i="8"/>
  <c r="R48" i="8"/>
  <c r="R63" i="8"/>
  <c r="R47" i="8"/>
  <c r="R111" i="8"/>
  <c r="R40" i="8"/>
  <c r="R28" i="8"/>
  <c r="R12" i="8"/>
  <c r="R27" i="8"/>
  <c r="R35" i="8"/>
  <c r="R46" i="8"/>
  <c r="R62" i="8"/>
  <c r="R26" i="8"/>
  <c r="R25" i="8"/>
  <c r="R108" i="8"/>
  <c r="R107" i="8"/>
  <c r="R67" i="8"/>
  <c r="R117" i="8"/>
  <c r="R78" i="8"/>
  <c r="R61" i="8"/>
  <c r="R88" i="8"/>
  <c r="R24" i="8"/>
  <c r="R60" i="8"/>
  <c r="R77" i="8"/>
  <c r="R45" i="8"/>
  <c r="R11" i="8"/>
  <c r="R76" i="8"/>
  <c r="R116" i="8"/>
  <c r="R75" i="8"/>
  <c r="R23" i="8"/>
  <c r="R10" i="8"/>
  <c r="R115" i="8"/>
  <c r="R74" i="8"/>
  <c r="R73" i="8"/>
  <c r="R72" i="8"/>
  <c r="R71" i="8"/>
  <c r="R70" i="8"/>
  <c r="R69" i="8"/>
  <c r="R59" i="8"/>
  <c r="R44" i="8"/>
  <c r="R58" i="8"/>
  <c r="R110" i="8"/>
  <c r="R68" i="8"/>
  <c r="R43" i="8"/>
  <c r="R114" i="8"/>
  <c r="R57" i="8"/>
  <c r="R22" i="8"/>
  <c r="R34" i="8"/>
  <c r="R56" i="8"/>
  <c r="R21" i="8"/>
  <c r="R33" i="8"/>
  <c r="R32" i="8"/>
  <c r="R55" i="8"/>
  <c r="R9" i="8"/>
  <c r="R79" i="8"/>
  <c r="R8" i="8"/>
  <c r="R7" i="8"/>
  <c r="R87" i="8"/>
  <c r="R86" i="8"/>
  <c r="R20" i="8"/>
  <c r="R54" i="8"/>
  <c r="R113" i="8"/>
  <c r="R85" i="8"/>
  <c r="R19" i="8"/>
  <c r="R6" i="8"/>
  <c r="R18" i="8"/>
  <c r="R42" i="8"/>
  <c r="R17" i="8"/>
  <c r="R41" i="8"/>
  <c r="R39" i="8"/>
  <c r="R38" i="8"/>
  <c r="R53" i="8"/>
  <c r="R16" i="8"/>
  <c r="R84" i="8"/>
  <c r="R5" i="8"/>
  <c r="R83" i="8"/>
  <c r="R82" i="8"/>
  <c r="R106" i="8"/>
  <c r="R81" i="8"/>
  <c r="R80" i="8"/>
  <c r="R112" i="8"/>
  <c r="R4" i="8"/>
  <c r="R119" i="8"/>
  <c r="K213" i="1"/>
  <c r="K214" i="1"/>
  <c r="G595" i="5"/>
  <c r="G563" i="5"/>
  <c r="G573" i="5"/>
  <c r="G592" i="5"/>
  <c r="G613" i="5"/>
  <c r="G591" i="5"/>
  <c r="G608" i="5"/>
  <c r="G607" i="5"/>
  <c r="G606" i="5"/>
  <c r="G605" i="5"/>
  <c r="G581" i="5"/>
  <c r="G594" i="5"/>
  <c r="G604" i="5"/>
  <c r="G603" i="5"/>
  <c r="G562" i="5"/>
  <c r="G602" i="5"/>
  <c r="G580" i="5"/>
  <c r="G590" i="5"/>
  <c r="G589" i="5"/>
  <c r="G588" i="5"/>
  <c r="G587" i="5"/>
  <c r="G612" i="5"/>
  <c r="G611" i="5"/>
  <c r="G572" i="5"/>
  <c r="G586" i="5"/>
  <c r="G585" i="5"/>
  <c r="G610" i="5"/>
  <c r="G601" i="5"/>
  <c r="G600" i="5"/>
  <c r="G599" i="5"/>
  <c r="G598" i="5"/>
  <c r="G597" i="5"/>
  <c r="K573" i="5"/>
  <c r="K572" i="5"/>
  <c r="K571" i="5"/>
  <c r="K570" i="5"/>
  <c r="G579" i="5"/>
  <c r="K569" i="5"/>
  <c r="G578" i="5"/>
  <c r="K568" i="5"/>
  <c r="G577" i="5"/>
  <c r="K567" i="5"/>
  <c r="G576" i="5"/>
  <c r="K566" i="5"/>
  <c r="G575" i="5"/>
  <c r="K565" i="5"/>
  <c r="G571" i="5"/>
  <c r="K564" i="5"/>
  <c r="G570" i="5"/>
  <c r="K563" i="5"/>
  <c r="G569" i="5"/>
  <c r="K562" i="5"/>
  <c r="G568" i="5"/>
  <c r="L157" i="8"/>
  <c r="L156" i="8"/>
  <c r="L155" i="8"/>
  <c r="L154" i="8"/>
  <c r="L153" i="8"/>
  <c r="L152" i="8"/>
  <c r="L151" i="8"/>
  <c r="L150" i="8"/>
  <c r="L145" i="8"/>
  <c r="K225" i="1" l="1"/>
  <c r="K346" i="1"/>
  <c r="K347" i="1"/>
  <c r="K348" i="1" l="1"/>
  <c r="K359" i="1"/>
  <c r="K360" i="1"/>
  <c r="B122" i="1" l="1"/>
  <c r="K344" i="1"/>
  <c r="B137" i="1"/>
  <c r="B138" i="1"/>
  <c r="K274" i="1"/>
  <c r="K275" i="1"/>
  <c r="K276" i="1"/>
  <c r="K277" i="1"/>
  <c r="K278" i="1"/>
  <c r="K233" i="1"/>
  <c r="K289" i="1"/>
  <c r="K226" i="1"/>
  <c r="K227" i="1"/>
  <c r="B167" i="1" l="1"/>
  <c r="B176" i="1" l="1"/>
  <c r="K228" i="1"/>
  <c r="K453" i="1"/>
  <c r="K446" i="1"/>
  <c r="K429" i="1"/>
  <c r="K430" i="1" l="1"/>
  <c r="P23" i="9"/>
  <c r="T23" i="9" s="1"/>
  <c r="P22" i="9"/>
  <c r="T22" i="9" s="1"/>
  <c r="P21" i="9"/>
  <c r="P20" i="9"/>
  <c r="T20" i="9" s="1"/>
  <c r="P19" i="9"/>
  <c r="T19" i="9" s="1"/>
  <c r="P18" i="9"/>
  <c r="Q18" i="9" s="1"/>
  <c r="P17" i="9"/>
  <c r="Q17" i="9" s="1"/>
  <c r="P16" i="9"/>
  <c r="T16" i="9" s="1"/>
  <c r="P15" i="9"/>
  <c r="T15" i="9" s="1"/>
  <c r="P14" i="9"/>
  <c r="T14" i="9" s="1"/>
  <c r="P13" i="9"/>
  <c r="T13" i="9" s="1"/>
  <c r="P12" i="9"/>
  <c r="T12" i="9" s="1"/>
  <c r="P11" i="9"/>
  <c r="P10" i="9"/>
  <c r="T10" i="9" s="1"/>
  <c r="P9" i="9"/>
  <c r="P8" i="9"/>
  <c r="T8" i="9" s="1"/>
  <c r="P7" i="9"/>
  <c r="Q7" i="9" s="1"/>
  <c r="K230" i="1"/>
  <c r="T11" i="9" l="1"/>
  <c r="S11" i="9" s="1"/>
  <c r="T7" i="9"/>
  <c r="U7" i="9" s="1"/>
  <c r="U8" i="9" s="1"/>
  <c r="T9" i="9"/>
  <c r="S9" i="9" s="1"/>
  <c r="S19" i="9"/>
  <c r="Q19" i="9"/>
  <c r="Q14" i="9"/>
  <c r="S14" i="9"/>
  <c r="T21" i="9"/>
  <c r="S21" i="9" s="1"/>
  <c r="Q15" i="9"/>
  <c r="Q8" i="9"/>
  <c r="Q20" i="9"/>
  <c r="S8" i="9"/>
  <c r="S20" i="9"/>
  <c r="S13" i="9"/>
  <c r="Q11" i="9"/>
  <c r="Q23" i="9"/>
  <c r="Q12" i="9"/>
  <c r="Q10" i="9"/>
  <c r="Q22" i="9"/>
  <c r="S22" i="9"/>
  <c r="Q13" i="9"/>
  <c r="S18" i="9"/>
  <c r="Q16" i="9"/>
  <c r="T18" i="9"/>
  <c r="S23" i="9"/>
  <c r="S12" i="9"/>
  <c r="S10" i="9"/>
  <c r="T17" i="9"/>
  <c r="S15" i="9"/>
  <c r="Q9" i="9"/>
  <c r="S16" i="9"/>
  <c r="Q21" i="9"/>
  <c r="B114" i="1"/>
  <c r="B54" i="1"/>
  <c r="B58" i="1"/>
  <c r="B62" i="1"/>
  <c r="B66" i="1"/>
  <c r="B70" i="1"/>
  <c r="B103" i="1"/>
  <c r="B111" i="1"/>
  <c r="K234" i="1"/>
  <c r="B44" i="1"/>
  <c r="K235" i="1"/>
  <c r="K236" i="1"/>
  <c r="K237" i="1"/>
  <c r="K248" i="1"/>
  <c r="U9" i="9" l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S7" i="9"/>
  <c r="S17" i="9"/>
  <c r="G23" i="9"/>
  <c r="H23" i="9" s="1"/>
  <c r="K23" i="9" l="1"/>
  <c r="J23" i="9"/>
  <c r="K238" i="1" l="1"/>
  <c r="K239" i="1"/>
  <c r="K418" i="1" l="1"/>
  <c r="K419" i="1"/>
  <c r="K409" i="1"/>
  <c r="K279" i="1"/>
  <c r="K410" i="1"/>
  <c r="K411" i="1"/>
  <c r="K412" i="1"/>
  <c r="K407" i="1"/>
  <c r="K398" i="1" l="1"/>
  <c r="K399" i="1"/>
  <c r="K244" i="1"/>
  <c r="K245" i="1"/>
  <c r="K246" i="1"/>
  <c r="K269" i="1"/>
  <c r="K255" i="1"/>
  <c r="K256" i="1"/>
  <c r="K390" i="1" l="1"/>
  <c r="K391" i="1" l="1"/>
  <c r="K389" i="1"/>
  <c r="K384" i="1"/>
  <c r="K370" i="1"/>
  <c r="K371" i="1"/>
  <c r="K249" i="1"/>
  <c r="K250" i="1"/>
  <c r="K251" i="1"/>
  <c r="K290" i="1" l="1"/>
  <c r="K257" i="1"/>
  <c r="K258" i="1"/>
  <c r="D56" i="4"/>
  <c r="K259" i="1"/>
  <c r="K260" i="1"/>
  <c r="K261" i="1"/>
  <c r="K262" i="1"/>
  <c r="K263" i="1"/>
  <c r="K270" i="1" l="1"/>
  <c r="K271" i="1"/>
  <c r="K372" i="1" l="1"/>
  <c r="K272" i="1"/>
  <c r="K349" i="1"/>
  <c r="K350" i="1"/>
  <c r="K351" i="1"/>
  <c r="B77" i="1"/>
  <c r="K280" i="1"/>
  <c r="K281" i="1"/>
  <c r="K291" i="1"/>
  <c r="B81" i="1"/>
  <c r="K304" i="1" l="1"/>
  <c r="K298" i="1"/>
  <c r="K292" i="1"/>
  <c r="K322" i="1"/>
  <c r="K318" i="1" l="1"/>
  <c r="K299" i="1"/>
  <c r="B83" i="1"/>
  <c r="K431" i="1" l="1"/>
  <c r="K432" i="1"/>
  <c r="K433" i="1"/>
  <c r="K434" i="1"/>
  <c r="K435" i="1"/>
  <c r="K441" i="1"/>
  <c r="K438" i="1"/>
  <c r="K442" i="1"/>
  <c r="K443" i="1"/>
  <c r="K447" i="1"/>
  <c r="K448" i="1"/>
  <c r="K449" i="1"/>
  <c r="K450" i="1"/>
  <c r="K454" i="1"/>
  <c r="K300" i="1"/>
  <c r="K301" i="1"/>
  <c r="K305" i="1" l="1"/>
  <c r="K392" i="1"/>
  <c r="K376" i="1"/>
  <c r="K306" i="1"/>
  <c r="K307" i="1"/>
  <c r="K308" i="1"/>
  <c r="B86" i="1"/>
  <c r="K309" i="1"/>
  <c r="K310" i="1"/>
  <c r="K311" i="1"/>
  <c r="K312" i="1" l="1"/>
  <c r="B91" i="1" l="1"/>
  <c r="K471" i="1"/>
  <c r="K478" i="1"/>
  <c r="K495" i="1"/>
  <c r="K340" i="1"/>
  <c r="K421" i="1"/>
  <c r="K436" i="1"/>
  <c r="K385" i="1"/>
  <c r="K386" i="1"/>
  <c r="K387" i="1"/>
  <c r="K388" i="1"/>
  <c r="K393" i="1"/>
  <c r="K352" i="1"/>
  <c r="K353" i="1" l="1"/>
  <c r="K420" i="1"/>
  <c r="K422" i="1"/>
  <c r="K317" i="1"/>
  <c r="K216" i="1"/>
  <c r="K217" i="1"/>
  <c r="K423" i="1"/>
  <c r="K413" i="1"/>
  <c r="K424" i="1"/>
  <c r="K414" i="1"/>
  <c r="K425" i="1"/>
  <c r="K394" i="1"/>
  <c r="K400" i="1"/>
  <c r="K408" i="1"/>
  <c r="K458" i="1"/>
  <c r="K463" i="1"/>
  <c r="K464" i="1"/>
  <c r="K426" i="1"/>
  <c r="K427" i="1"/>
  <c r="K465" i="1"/>
  <c r="K401" i="1"/>
  <c r="K402" i="1"/>
  <c r="K361" i="1"/>
  <c r="K362" i="1"/>
  <c r="B117" i="1"/>
  <c r="B121" i="1"/>
  <c r="B124" i="1"/>
  <c r="B129" i="1"/>
  <c r="K363" i="1" l="1"/>
  <c r="K364" i="1"/>
  <c r="K365" i="1"/>
  <c r="K373" i="1"/>
  <c r="K354" i="1"/>
  <c r="K355" i="1"/>
  <c r="K343" i="1"/>
  <c r="K332" i="1"/>
  <c r="B106" i="1"/>
  <c r="B98" i="1" l="1"/>
  <c r="B131" i="1" l="1"/>
  <c r="B133" i="1" l="1"/>
  <c r="B134" i="1"/>
  <c r="B136" i="1"/>
  <c r="B139" i="1"/>
  <c r="B141" i="1"/>
  <c r="B146" i="1"/>
  <c r="B132" i="1"/>
  <c r="B148" i="1" l="1"/>
  <c r="B147" i="1"/>
  <c r="B149" i="1"/>
  <c r="B151" i="1"/>
  <c r="B152" i="1"/>
  <c r="B153" i="1"/>
  <c r="B154" i="1"/>
  <c r="B157" i="1"/>
  <c r="B159" i="1"/>
  <c r="B163" i="1"/>
  <c r="B162" i="1"/>
  <c r="B172" i="1"/>
  <c r="B173" i="1"/>
  <c r="B171" i="1"/>
  <c r="B104" i="1"/>
  <c r="B177" i="1"/>
  <c r="B142" i="1"/>
  <c r="B185" i="1" l="1"/>
  <c r="K333" i="1" l="1"/>
  <c r="K334" i="1"/>
  <c r="K335" i="1"/>
  <c r="K336" i="1"/>
  <c r="B143" i="1" l="1"/>
  <c r="B118" i="1" l="1"/>
  <c r="B119" i="1"/>
  <c r="B123" i="1"/>
  <c r="B125" i="1"/>
  <c r="B127" i="1"/>
  <c r="B130" i="1"/>
  <c r="B116" i="1" l="1"/>
  <c r="B115" i="1"/>
  <c r="K356" i="1"/>
  <c r="K357" i="1"/>
  <c r="K358" i="1" l="1"/>
  <c r="G551" i="5"/>
  <c r="G550" i="5"/>
  <c r="G549" i="5"/>
  <c r="G548" i="5"/>
  <c r="G547" i="5"/>
  <c r="G546" i="5"/>
  <c r="G540" i="5"/>
  <c r="G545" i="5"/>
  <c r="G508" i="5"/>
  <c r="G498" i="5"/>
  <c r="G491" i="5"/>
  <c r="G527" i="5"/>
  <c r="G507" i="5"/>
  <c r="G529" i="5"/>
  <c r="G539" i="5"/>
  <c r="G497" i="5"/>
  <c r="G506" i="5"/>
  <c r="G490" i="5"/>
  <c r="G538" i="5"/>
  <c r="G526" i="5"/>
  <c r="G505" i="5"/>
  <c r="G544" i="5"/>
  <c r="G525" i="5"/>
  <c r="G528" i="5"/>
  <c r="G537" i="5"/>
  <c r="G504" i="5"/>
  <c r="G543" i="5"/>
  <c r="G489" i="5"/>
  <c r="G500" i="5"/>
  <c r="G496" i="5"/>
  <c r="G542" i="5"/>
  <c r="G488" i="5"/>
  <c r="G541" i="5"/>
  <c r="G487" i="5"/>
  <c r="G536" i="5"/>
  <c r="G535" i="5"/>
  <c r="G499" i="5"/>
  <c r="G524" i="5"/>
  <c r="G523" i="5"/>
  <c r="G534" i="5"/>
  <c r="G533" i="5"/>
  <c r="G532" i="5"/>
  <c r="G531" i="5"/>
  <c r="G530" i="5"/>
  <c r="G522" i="5"/>
  <c r="G521" i="5"/>
  <c r="G520" i="5"/>
  <c r="G519" i="5"/>
  <c r="G518" i="5"/>
  <c r="G517" i="5"/>
  <c r="G516" i="5"/>
  <c r="G515" i="5"/>
  <c r="G514" i="5"/>
  <c r="G513" i="5"/>
  <c r="K498" i="5"/>
  <c r="G512" i="5"/>
  <c r="K497" i="5"/>
  <c r="G511" i="5"/>
  <c r="K496" i="5"/>
  <c r="G510" i="5"/>
  <c r="K495" i="5"/>
  <c r="G509" i="5"/>
  <c r="K494" i="5"/>
  <c r="G503" i="5"/>
  <c r="K493" i="5"/>
  <c r="G502" i="5"/>
  <c r="K492" i="5"/>
  <c r="K487" i="5"/>
  <c r="K491" i="5"/>
  <c r="G495" i="5"/>
  <c r="K490" i="5"/>
  <c r="G494" i="5"/>
  <c r="K489" i="5"/>
  <c r="G493" i="5"/>
  <c r="K488" i="5"/>
  <c r="G492" i="5"/>
  <c r="L93" i="8"/>
  <c r="L5" i="8"/>
  <c r="L63" i="8"/>
  <c r="L138" i="8"/>
  <c r="L139" i="8"/>
  <c r="L6" i="8"/>
  <c r="L7" i="8"/>
  <c r="L94" i="8"/>
  <c r="L29" i="8"/>
  <c r="L88" i="8"/>
  <c r="L8" i="8"/>
  <c r="L9" i="8"/>
  <c r="L95" i="8"/>
  <c r="L10" i="8"/>
  <c r="L64" i="8"/>
  <c r="L28" i="8"/>
  <c r="L85" i="8"/>
  <c r="L86" i="8"/>
  <c r="L87" i="8"/>
  <c r="L96" i="8"/>
  <c r="L30" i="8"/>
  <c r="L146" i="8"/>
  <c r="L11" i="8"/>
  <c r="L12" i="8"/>
  <c r="L13" i="8"/>
  <c r="L14" i="8"/>
  <c r="L97" i="8"/>
  <c r="L98" i="8"/>
  <c r="L99" i="8"/>
  <c r="L31" i="8"/>
  <c r="L89" i="8"/>
  <c r="L90" i="8"/>
  <c r="L140" i="8"/>
  <c r="L100" i="8"/>
  <c r="L15" i="8"/>
  <c r="L52" i="8"/>
  <c r="L76" i="8"/>
  <c r="L125" i="8"/>
  <c r="L101" i="8"/>
  <c r="L65" i="8"/>
  <c r="L16" i="8"/>
  <c r="L141" i="8"/>
  <c r="L142" i="8"/>
  <c r="L102" i="8"/>
  <c r="L17" i="8"/>
  <c r="L147" i="8"/>
  <c r="L103" i="8"/>
  <c r="L66" i="8"/>
  <c r="L104" i="8"/>
  <c r="L18" i="8"/>
  <c r="L105" i="8"/>
  <c r="L143" i="8"/>
  <c r="L144" i="8"/>
  <c r="L32" i="8"/>
  <c r="L106" i="8"/>
  <c r="L77" i="8"/>
  <c r="L78" i="8"/>
  <c r="L107" i="8"/>
  <c r="L19" i="8"/>
  <c r="L126" i="8"/>
  <c r="L33" i="8"/>
  <c r="L127" i="8"/>
  <c r="L108" i="8"/>
  <c r="L75" i="8"/>
  <c r="L128" i="8"/>
  <c r="L67" i="8"/>
  <c r="L91" i="8"/>
  <c r="L129" i="8"/>
  <c r="L79" i="8"/>
  <c r="L68" i="8"/>
  <c r="L34" i="8"/>
  <c r="L109" i="8"/>
  <c r="L35" i="8"/>
  <c r="L36" i="8"/>
  <c r="L37" i="8"/>
  <c r="L38" i="8"/>
  <c r="L130" i="8"/>
  <c r="L62" i="8"/>
  <c r="L39" i="8"/>
  <c r="L53" i="8"/>
  <c r="L110" i="8"/>
  <c r="L111" i="8"/>
  <c r="L40" i="8"/>
  <c r="L148" i="8"/>
  <c r="L20" i="8"/>
  <c r="L41" i="8"/>
  <c r="L61" i="8"/>
  <c r="L112" i="8"/>
  <c r="L42" i="8"/>
  <c r="L43" i="8"/>
  <c r="L113" i="8"/>
  <c r="L114" i="8"/>
  <c r="L21" i="8"/>
  <c r="L22" i="8"/>
  <c r="L115" i="8"/>
  <c r="L44" i="8"/>
  <c r="L116" i="8"/>
  <c r="L131" i="8"/>
  <c r="L135" i="8"/>
  <c r="L45" i="8"/>
  <c r="L136" i="8"/>
  <c r="L117" i="8"/>
  <c r="L118" i="8"/>
  <c r="L23" i="8"/>
  <c r="L132" i="8"/>
  <c r="L137" i="8"/>
  <c r="L24" i="8"/>
  <c r="L92" i="8"/>
  <c r="L119" i="8"/>
  <c r="L46" i="8"/>
  <c r="L149" i="8"/>
  <c r="L25" i="8"/>
  <c r="L47" i="8"/>
  <c r="L120" i="8"/>
  <c r="L26" i="8"/>
  <c r="L54" i="8"/>
  <c r="L133" i="8"/>
  <c r="L48" i="8"/>
  <c r="L49" i="8"/>
  <c r="L121" i="8"/>
  <c r="L69" i="8"/>
  <c r="L50" i="8"/>
  <c r="L122" i="8"/>
  <c r="L134" i="8"/>
  <c r="L123" i="8"/>
  <c r="L51" i="8"/>
  <c r="L55" i="8"/>
  <c r="L56" i="8"/>
  <c r="L57" i="8"/>
  <c r="L58" i="8"/>
  <c r="L59" i="8"/>
  <c r="L60" i="8"/>
  <c r="L70" i="8"/>
  <c r="L71" i="8"/>
  <c r="L72" i="8"/>
  <c r="L73" i="8"/>
  <c r="L27" i="8"/>
  <c r="L80" i="8"/>
  <c r="L81" i="8"/>
  <c r="L82" i="8"/>
  <c r="L83" i="8"/>
  <c r="L84" i="8"/>
  <c r="L74" i="8"/>
  <c r="L124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4" i="8"/>
  <c r="K420" i="5"/>
  <c r="G501" i="5" l="1"/>
  <c r="F154" i="8"/>
  <c r="F139" i="8"/>
  <c r="F140" i="8"/>
  <c r="F141" i="8"/>
  <c r="F142" i="8"/>
  <c r="F44" i="8"/>
  <c r="F21" i="8"/>
  <c r="F22" i="8"/>
  <c r="F50" i="8"/>
  <c r="F87" i="8"/>
  <c r="F80" i="8"/>
  <c r="F133" i="8"/>
  <c r="F144" i="8"/>
  <c r="F118" i="8"/>
  <c r="F134" i="8"/>
  <c r="F143" i="8"/>
  <c r="F45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D32" i="7" l="1"/>
  <c r="E415" i="5"/>
  <c r="E414" i="5"/>
  <c r="E413" i="5"/>
  <c r="F131" i="8"/>
  <c r="F132" i="8"/>
  <c r="F43" i="8"/>
  <c r="F117" i="8"/>
  <c r="F153" i="8"/>
  <c r="F88" i="8"/>
  <c r="F89" i="8"/>
  <c r="F90" i="8"/>
  <c r="F91" i="8"/>
  <c r="F92" i="8"/>
  <c r="F93" i="8"/>
  <c r="F94" i="8"/>
  <c r="F95" i="8"/>
  <c r="F61" i="8"/>
  <c r="F62" i="8"/>
  <c r="F63" i="8"/>
  <c r="K419" i="5"/>
  <c r="K366" i="1"/>
  <c r="B120" i="1"/>
  <c r="K377" i="1"/>
  <c r="K367" i="1"/>
  <c r="K368" i="1" l="1"/>
  <c r="K369" i="1"/>
  <c r="K374" i="1"/>
  <c r="K375" i="1"/>
  <c r="B126" i="1"/>
  <c r="B128" i="1"/>
  <c r="K378" i="1"/>
  <c r="K379" i="1"/>
  <c r="K395" i="1"/>
  <c r="K415" i="1"/>
  <c r="K416" i="1"/>
  <c r="K380" i="1"/>
  <c r="K381" i="1"/>
  <c r="K382" i="1"/>
  <c r="K383" i="1"/>
  <c r="K403" i="1"/>
  <c r="K396" i="1"/>
  <c r="K404" i="1"/>
  <c r="B150" i="1" l="1"/>
  <c r="B155" i="1"/>
  <c r="B158" i="1"/>
  <c r="B160" i="1"/>
  <c r="B164" i="1"/>
  <c r="B135" i="1"/>
  <c r="K397" i="1"/>
  <c r="B140" i="1"/>
  <c r="K405" i="1" l="1"/>
  <c r="K406" i="1"/>
  <c r="G14" i="9"/>
  <c r="K14" i="9" s="1"/>
  <c r="G15" i="9"/>
  <c r="K15" i="9" s="1"/>
  <c r="G16" i="9"/>
  <c r="K16" i="9" s="1"/>
  <c r="G17" i="9"/>
  <c r="K17" i="9" s="1"/>
  <c r="G18" i="9"/>
  <c r="K18" i="9" s="1"/>
  <c r="G19" i="9"/>
  <c r="K19" i="9" s="1"/>
  <c r="G20" i="9"/>
  <c r="K20" i="9" s="1"/>
  <c r="G21" i="9"/>
  <c r="K21" i="9" s="1"/>
  <c r="G22" i="9"/>
  <c r="K22" i="9" s="1"/>
  <c r="G11" i="9"/>
  <c r="K11" i="9" s="1"/>
  <c r="G12" i="9"/>
  <c r="K12" i="9" s="1"/>
  <c r="G13" i="9"/>
  <c r="K13" i="9" s="1"/>
  <c r="H12" i="9" l="1"/>
  <c r="J22" i="9"/>
  <c r="J21" i="9"/>
  <c r="J19" i="9"/>
  <c r="J18" i="9"/>
  <c r="J17" i="9"/>
  <c r="H13" i="9"/>
  <c r="J13" i="9"/>
  <c r="J11" i="9"/>
  <c r="J20" i="9"/>
  <c r="J16" i="9"/>
  <c r="J15" i="9"/>
  <c r="J14" i="9"/>
  <c r="J12" i="9"/>
  <c r="H19" i="9"/>
  <c r="H20" i="9"/>
  <c r="H21" i="9"/>
  <c r="H17" i="9"/>
  <c r="H11" i="9"/>
  <c r="H22" i="9"/>
  <c r="H18" i="9"/>
  <c r="H16" i="9"/>
  <c r="H15" i="9"/>
  <c r="H14" i="9"/>
  <c r="G8" i="9"/>
  <c r="K8" i="9" s="1"/>
  <c r="G9" i="9"/>
  <c r="K9" i="9" s="1"/>
  <c r="G10" i="9"/>
  <c r="K10" i="9" s="1"/>
  <c r="G7" i="9"/>
  <c r="K7" i="9" l="1"/>
  <c r="J8" i="9"/>
  <c r="J10" i="9"/>
  <c r="J9" i="9"/>
  <c r="H7" i="9"/>
  <c r="H10" i="9"/>
  <c r="H8" i="9"/>
  <c r="H9" i="9"/>
  <c r="B144" i="1"/>
  <c r="J7" i="9" l="1"/>
  <c r="L7" i="9"/>
  <c r="L8" i="9" s="1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B168" i="1"/>
  <c r="K417" i="1" l="1"/>
  <c r="K428" i="1"/>
  <c r="C13" i="4"/>
  <c r="B156" i="1" l="1"/>
  <c r="K437" i="1" l="1"/>
  <c r="B161" i="1"/>
  <c r="K439" i="1"/>
  <c r="B165" i="1"/>
  <c r="K440" i="1"/>
  <c r="B166" i="1"/>
  <c r="B169" i="1"/>
  <c r="B170" i="1"/>
  <c r="B174" i="1"/>
  <c r="B182" i="1"/>
  <c r="B183" i="1"/>
  <c r="B188" i="1"/>
  <c r="K472" i="1"/>
  <c r="B189" i="1"/>
  <c r="K444" i="1"/>
  <c r="K479" i="1"/>
  <c r="K480" i="1"/>
  <c r="K481" i="1"/>
  <c r="B196" i="1"/>
  <c r="B203" i="1"/>
  <c r="B217" i="1"/>
  <c r="K482" i="1" l="1"/>
  <c r="K487" i="1" l="1"/>
  <c r="K445" i="1"/>
  <c r="K483" i="1" l="1"/>
  <c r="B197" i="1"/>
  <c r="B192" i="1"/>
  <c r="K459" i="1"/>
  <c r="B175" i="1" l="1"/>
  <c r="B198" i="1"/>
  <c r="K488" i="1" l="1"/>
  <c r="K489" i="1"/>
  <c r="K490" i="1"/>
  <c r="K491" i="1"/>
  <c r="B200" i="1"/>
  <c r="K492" i="1"/>
  <c r="B199" i="1"/>
  <c r="K496" i="1"/>
  <c r="K497" i="1" l="1"/>
  <c r="K498" i="1"/>
  <c r="K499" i="1"/>
  <c r="B205" i="1" l="1"/>
  <c r="B204" i="1"/>
  <c r="K505" i="1" l="1"/>
  <c r="K506" i="1"/>
  <c r="B218" i="1"/>
  <c r="B219" i="1" l="1"/>
  <c r="B178" i="1" l="1"/>
  <c r="B186" i="1"/>
  <c r="B190" i="1" l="1"/>
  <c r="B193" i="1"/>
  <c r="B201" i="1"/>
  <c r="B213" i="1"/>
  <c r="B220" i="1"/>
  <c r="K493" i="1"/>
  <c r="K473" i="1"/>
  <c r="K474" i="1"/>
  <c r="K451" i="1"/>
  <c r="K466" i="1"/>
  <c r="K484" i="1"/>
  <c r="K452" i="1"/>
  <c r="K467" i="1" l="1"/>
  <c r="K485" i="1"/>
  <c r="K455" i="1" l="1"/>
  <c r="K468" i="1"/>
  <c r="K507" i="1"/>
  <c r="K508" i="1"/>
  <c r="K509" i="1"/>
  <c r="B179" i="1"/>
  <c r="K456" i="1" l="1"/>
  <c r="K457" i="1" l="1"/>
  <c r="K460" i="1" l="1"/>
  <c r="K461" i="1"/>
  <c r="B180" i="1"/>
  <c r="B181" i="1"/>
  <c r="K469" i="1" l="1"/>
  <c r="B187" i="1"/>
  <c r="B184" i="1"/>
  <c r="K470" i="1" l="1"/>
  <c r="K475" i="1"/>
  <c r="K477" i="1"/>
  <c r="K476" i="1"/>
  <c r="K486" i="1" l="1"/>
  <c r="B191" i="1" l="1"/>
  <c r="B194" i="1" l="1"/>
  <c r="B195" i="1"/>
  <c r="C56" i="4" l="1"/>
  <c r="B202" i="1"/>
  <c r="F152" i="8"/>
  <c r="F130" i="8"/>
  <c r="F129" i="8"/>
  <c r="F128" i="8"/>
  <c r="F42" i="8"/>
  <c r="F151" i="8"/>
  <c r="F138" i="8"/>
  <c r="F137" i="8"/>
  <c r="F136" i="8"/>
  <c r="F86" i="8"/>
  <c r="F20" i="8"/>
  <c r="F41" i="8"/>
  <c r="F127" i="8"/>
  <c r="F19" i="8"/>
  <c r="F60" i="8"/>
  <c r="F116" i="8"/>
  <c r="F40" i="8"/>
  <c r="F150" i="8"/>
  <c r="F79" i="8"/>
  <c r="F149" i="8"/>
  <c r="F39" i="8"/>
  <c r="F148" i="8"/>
  <c r="F52" i="8"/>
  <c r="F115" i="8"/>
  <c r="F38" i="8"/>
  <c r="F59" i="8"/>
  <c r="F23" i="8"/>
  <c r="F114" i="8"/>
  <c r="F37" i="8"/>
  <c r="F49" i="8"/>
  <c r="F113" i="8"/>
  <c r="F135" i="8"/>
  <c r="F51" i="8"/>
  <c r="F58" i="8"/>
  <c r="F112" i="8"/>
  <c r="F18" i="8"/>
  <c r="F147" i="8"/>
  <c r="F57" i="8"/>
  <c r="F126" i="8"/>
  <c r="F111" i="8"/>
  <c r="F36" i="8"/>
  <c r="F146" i="8"/>
  <c r="F35" i="8"/>
  <c r="F145" i="8"/>
  <c r="F34" i="8"/>
  <c r="F17" i="8"/>
  <c r="F110" i="8"/>
  <c r="F85" i="8"/>
  <c r="F109" i="8"/>
  <c r="F108" i="8"/>
  <c r="F33" i="8"/>
  <c r="F16" i="8"/>
  <c r="F73" i="8"/>
  <c r="F32" i="8"/>
  <c r="F72" i="8"/>
  <c r="F48" i="8"/>
  <c r="F125" i="8"/>
  <c r="F107" i="8"/>
  <c r="F56" i="8"/>
  <c r="F106" i="8"/>
  <c r="F31" i="8"/>
  <c r="F30" i="8"/>
  <c r="F15" i="8"/>
  <c r="F71" i="8"/>
  <c r="F124" i="8"/>
  <c r="F14" i="8"/>
  <c r="F84" i="8"/>
  <c r="F29" i="8"/>
  <c r="F105" i="8"/>
  <c r="F13" i="8"/>
  <c r="F83" i="8"/>
  <c r="F123" i="8"/>
  <c r="F104" i="8"/>
  <c r="F103" i="8"/>
  <c r="F28" i="8"/>
  <c r="F122" i="8"/>
  <c r="F102" i="8"/>
  <c r="F12" i="8"/>
  <c r="F101" i="8"/>
  <c r="F78" i="8"/>
  <c r="F70" i="8"/>
  <c r="F27" i="8"/>
  <c r="F77" i="8"/>
  <c r="F69" i="8"/>
  <c r="F47" i="8"/>
  <c r="F55" i="8"/>
  <c r="F25" i="8"/>
  <c r="F68" i="8"/>
  <c r="F67" i="8"/>
  <c r="F75" i="8"/>
  <c r="F74" i="8"/>
  <c r="F10" i="8"/>
  <c r="F100" i="8"/>
  <c r="F66" i="8"/>
  <c r="F9" i="8"/>
  <c r="F8" i="8"/>
  <c r="F99" i="8"/>
  <c r="F98" i="8"/>
  <c r="F64" i="8"/>
  <c r="F120" i="8"/>
  <c r="F54" i="8"/>
  <c r="F65" i="8"/>
  <c r="F7" i="8"/>
  <c r="F97" i="8"/>
  <c r="F119" i="8"/>
  <c r="F6" i="8"/>
  <c r="F24" i="8"/>
  <c r="F96" i="8"/>
  <c r="F81" i="8"/>
  <c r="F5" i="8"/>
  <c r="F46" i="8"/>
  <c r="F4" i="8"/>
  <c r="F53" i="8"/>
  <c r="C57" i="4" l="1"/>
  <c r="D59" i="4" s="1"/>
  <c r="K494" i="1"/>
  <c r="B206" i="1" l="1"/>
  <c r="K500" i="1" l="1"/>
  <c r="K501" i="1"/>
  <c r="K502" i="1"/>
  <c r="B207" i="1"/>
  <c r="B208" i="1" l="1"/>
  <c r="B209" i="1"/>
  <c r="B210" i="1"/>
  <c r="B211" i="1"/>
  <c r="B212" i="1"/>
  <c r="B222" i="1" l="1"/>
  <c r="B223" i="1"/>
  <c r="B224" i="1"/>
  <c r="B225" i="1"/>
  <c r="B214" i="1"/>
  <c r="K503" i="1"/>
  <c r="B215" i="1"/>
  <c r="B216" i="1"/>
  <c r="K504" i="1"/>
  <c r="B221" i="1"/>
  <c r="K510" i="1"/>
  <c r="V7" i="1" l="1"/>
  <c r="W10" i="1"/>
  <c r="V15" i="1"/>
  <c r="V16" i="1"/>
  <c r="V10" i="1"/>
  <c r="W15" i="1"/>
  <c r="W9" i="1"/>
  <c r="W14" i="1"/>
  <c r="W8" i="1"/>
  <c r="V14" i="1"/>
  <c r="V8" i="1"/>
  <c r="V13" i="1"/>
  <c r="W18" i="1"/>
  <c r="W12" i="1"/>
  <c r="V18" i="1"/>
  <c r="V9" i="1"/>
  <c r="W13" i="1"/>
  <c r="V12" i="1"/>
  <c r="W17" i="1"/>
  <c r="W11" i="1"/>
  <c r="V17" i="1"/>
  <c r="V11" i="1"/>
  <c r="W16" i="1"/>
  <c r="W7" i="1"/>
  <c r="F12" i="2"/>
  <c r="X11" i="1" l="1"/>
  <c r="X8" i="1"/>
  <c r="X13" i="1"/>
  <c r="X16" i="1"/>
  <c r="X15" i="1"/>
  <c r="X10" i="1"/>
  <c r="X7" i="1"/>
  <c r="Y7" i="1" s="1"/>
  <c r="X17" i="1"/>
  <c r="X12" i="1"/>
  <c r="X14" i="1"/>
  <c r="X9" i="1"/>
  <c r="X18" i="1"/>
  <c r="G476" i="5"/>
  <c r="G475" i="5"/>
  <c r="G474" i="5"/>
  <c r="G473" i="5"/>
  <c r="G472" i="5"/>
  <c r="G422" i="5"/>
  <c r="G421" i="5"/>
  <c r="G420" i="5"/>
  <c r="G470" i="5"/>
  <c r="G469" i="5"/>
  <c r="G468" i="5"/>
  <c r="G467" i="5"/>
  <c r="G466" i="5"/>
  <c r="G465" i="5"/>
  <c r="G440" i="5"/>
  <c r="G439" i="5"/>
  <c r="G438" i="5"/>
  <c r="G437" i="5"/>
  <c r="G436" i="5"/>
  <c r="G435" i="5"/>
  <c r="G430" i="5"/>
  <c r="G429" i="5"/>
  <c r="G428" i="5"/>
  <c r="G427" i="5"/>
  <c r="G416" i="5"/>
  <c r="G415" i="5"/>
  <c r="G414" i="5"/>
  <c r="G413" i="5"/>
  <c r="G412" i="5"/>
  <c r="G464" i="5"/>
  <c r="G463" i="5"/>
  <c r="G426" i="5"/>
  <c r="G455" i="5"/>
  <c r="G462" i="5"/>
  <c r="G419" i="5"/>
  <c r="G454" i="5"/>
  <c r="G461" i="5"/>
  <c r="G411" i="5"/>
  <c r="G453" i="5"/>
  <c r="G452" i="5"/>
  <c r="G451" i="5"/>
  <c r="G434" i="5"/>
  <c r="G418" i="5"/>
  <c r="G417" i="5"/>
  <c r="G450" i="5"/>
  <c r="G449" i="5"/>
  <c r="G410" i="5"/>
  <c r="G433" i="5"/>
  <c r="G425" i="5"/>
  <c r="G460" i="5"/>
  <c r="G459" i="5"/>
  <c r="G458" i="5"/>
  <c r="G448" i="5"/>
  <c r="G447" i="5"/>
  <c r="G457" i="5"/>
  <c r="G471" i="5"/>
  <c r="G446" i="5"/>
  <c r="G445" i="5"/>
  <c r="G444" i="5"/>
  <c r="K418" i="5"/>
  <c r="G443" i="5"/>
  <c r="K417" i="5"/>
  <c r="G442" i="5"/>
  <c r="K416" i="5"/>
  <c r="G441" i="5"/>
  <c r="K415" i="5"/>
  <c r="K414" i="5"/>
  <c r="G423" i="5"/>
  <c r="K413" i="5"/>
  <c r="G432" i="5"/>
  <c r="K412" i="5"/>
  <c r="G424" i="5"/>
  <c r="K411" i="5"/>
  <c r="G431" i="5"/>
  <c r="K410" i="5"/>
  <c r="G456" i="5"/>
  <c r="K409" i="5"/>
  <c r="Y8" i="1" l="1"/>
  <c r="G379" i="5"/>
  <c r="G353" i="5"/>
  <c r="G354" i="5"/>
  <c r="G365" i="5"/>
  <c r="G384" i="5"/>
  <c r="G385" i="5"/>
  <c r="G386" i="5"/>
  <c r="G400" i="5"/>
  <c r="G397" i="5"/>
  <c r="D6" i="7"/>
  <c r="D32" i="4" l="1"/>
  <c r="D80" i="4" s="1"/>
  <c r="C32" i="4"/>
  <c r="C33" i="4" l="1"/>
  <c r="D35" i="4" s="1"/>
  <c r="D76" i="4" s="1"/>
  <c r="G381" i="5"/>
  <c r="G358" i="5" l="1"/>
  <c r="G345" i="5"/>
  <c r="G396" i="5"/>
  <c r="G378" i="5"/>
  <c r="G395" i="5"/>
  <c r="G364" i="5"/>
  <c r="G357" i="5"/>
  <c r="G377" i="5"/>
  <c r="G399" i="5"/>
  <c r="G394" i="5"/>
  <c r="G393" i="5"/>
  <c r="G344" i="5"/>
  <c r="G368" i="5"/>
  <c r="G369" i="5"/>
  <c r="G361" i="5"/>
  <c r="G367" i="5"/>
  <c r="G359" i="5"/>
  <c r="G360" i="5"/>
  <c r="G366" i="5"/>
  <c r="G341" i="5"/>
  <c r="G362" i="5"/>
  <c r="G342" i="5"/>
  <c r="G349" i="5"/>
  <c r="G348" i="5"/>
  <c r="G347" i="5"/>
  <c r="G346" i="5"/>
  <c r="G392" i="5"/>
  <c r="G375" i="5"/>
  <c r="G374" i="5"/>
  <c r="G363" i="5"/>
  <c r="G373" i="5"/>
  <c r="G391" i="5"/>
  <c r="G351" i="5"/>
  <c r="G343" i="5"/>
  <c r="G372" i="5"/>
  <c r="G356" i="5"/>
  <c r="G350" i="5"/>
  <c r="G390" i="5"/>
  <c r="G371" i="5"/>
  <c r="G383" i="5"/>
  <c r="G370" i="5"/>
  <c r="G388" i="5"/>
  <c r="G340" i="5"/>
  <c r="K348" i="5"/>
  <c r="G380" i="5"/>
  <c r="K347" i="5"/>
  <c r="G355" i="5"/>
  <c r="K346" i="5"/>
  <c r="G376" i="5"/>
  <c r="K345" i="5"/>
  <c r="G352" i="5"/>
  <c r="K344" i="5"/>
  <c r="G382" i="5"/>
  <c r="K343" i="5"/>
  <c r="K342" i="5"/>
  <c r="G398" i="5"/>
  <c r="K341" i="5"/>
  <c r="G389" i="5"/>
  <c r="K340" i="5"/>
  <c r="G387" i="5"/>
  <c r="K339" i="5"/>
  <c r="D47" i="7" l="1"/>
  <c r="E47" i="7" s="1"/>
  <c r="G288" i="5" l="1"/>
  <c r="G287" i="5"/>
  <c r="G286" i="5"/>
  <c r="G285" i="5" l="1"/>
  <c r="G284" i="5"/>
  <c r="M10" i="4" l="1"/>
  <c r="M11" i="4"/>
  <c r="K299" i="5" l="1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K306" i="5"/>
  <c r="G306" i="5"/>
  <c r="K305" i="5"/>
  <c r="G305" i="5"/>
  <c r="K304" i="5"/>
  <c r="G304" i="5"/>
  <c r="K303" i="5"/>
  <c r="G303" i="5"/>
  <c r="K302" i="5"/>
  <c r="G302" i="5"/>
  <c r="K301" i="5"/>
  <c r="G301" i="5"/>
  <c r="K300" i="5"/>
  <c r="G300" i="5"/>
  <c r="G299" i="5"/>
  <c r="K298" i="5"/>
  <c r="G298" i="5"/>
  <c r="K297" i="5"/>
  <c r="G283" i="5" l="1"/>
  <c r="G245" i="5" l="1"/>
  <c r="G246" i="5"/>
  <c r="E13" i="7" l="1"/>
  <c r="E6" i="7"/>
  <c r="G282" i="5"/>
  <c r="G279" i="5"/>
  <c r="G263" i="5"/>
  <c r="G257" i="5"/>
  <c r="G250" i="5"/>
  <c r="G244" i="5"/>
  <c r="G278" i="5"/>
  <c r="K233" i="5" l="1"/>
  <c r="K242" i="5"/>
  <c r="E13" i="4"/>
  <c r="C80" i="4" s="1"/>
  <c r="C14" i="4" l="1"/>
  <c r="G224" i="5"/>
  <c r="G223" i="5"/>
  <c r="G222" i="5"/>
  <c r="G239" i="5"/>
  <c r="G238" i="5"/>
  <c r="G256" i="5"/>
  <c r="G243" i="5"/>
  <c r="G273" i="5"/>
  <c r="G272" i="5"/>
  <c r="G271" i="5"/>
  <c r="G270" i="5"/>
  <c r="G262" i="5"/>
  <c r="G281" i="5"/>
  <c r="G237" i="5"/>
  <c r="G255" i="5"/>
  <c r="G254" i="5"/>
  <c r="G269" i="5"/>
  <c r="G268" i="5"/>
  <c r="G277" i="5"/>
  <c r="G261" i="5"/>
  <c r="G236" i="5"/>
  <c r="G280" i="5"/>
  <c r="G260" i="5"/>
  <c r="G259" i="5"/>
  <c r="G258" i="5"/>
  <c r="G267" i="5"/>
  <c r="G266" i="5"/>
  <c r="G235" i="5"/>
  <c r="G265" i="5"/>
  <c r="G242" i="5"/>
  <c r="G253" i="5"/>
  <c r="G252" i="5"/>
  <c r="G241" i="5"/>
  <c r="G264" i="5"/>
  <c r="G276" i="5"/>
  <c r="K241" i="5"/>
  <c r="G249" i="5"/>
  <c r="K240" i="5"/>
  <c r="G248" i="5"/>
  <c r="K239" i="5"/>
  <c r="G247" i="5"/>
  <c r="K238" i="5"/>
  <c r="G240" i="5"/>
  <c r="K237" i="5"/>
  <c r="G251" i="5"/>
  <c r="K236" i="5"/>
  <c r="G234" i="5"/>
  <c r="K235" i="5"/>
  <c r="G275" i="5"/>
  <c r="K234" i="5"/>
  <c r="G274" i="5"/>
  <c r="G221" i="5"/>
  <c r="G220" i="5"/>
  <c r="G219" i="5"/>
  <c r="G218" i="5"/>
  <c r="G217" i="5"/>
  <c r="G216" i="5"/>
  <c r="G215" i="5"/>
  <c r="G214" i="5"/>
  <c r="G213" i="5"/>
  <c r="G212" i="5"/>
  <c r="G211" i="5"/>
  <c r="G205" i="5" l="1"/>
  <c r="G206" i="5"/>
  <c r="G207" i="5"/>
  <c r="G208" i="5"/>
  <c r="G209" i="5"/>
  <c r="G210" i="5"/>
  <c r="G204" i="5"/>
  <c r="G203" i="5"/>
  <c r="G202" i="5" l="1"/>
  <c r="G201" i="5" l="1"/>
  <c r="G200" i="5" l="1"/>
  <c r="G199" i="5" l="1"/>
  <c r="G198" i="5" l="1"/>
  <c r="G197" i="5"/>
  <c r="K186" i="5"/>
  <c r="K182" i="5"/>
  <c r="K184" i="5"/>
  <c r="K185" i="5"/>
  <c r="K183" i="5"/>
  <c r="K181" i="5"/>
  <c r="K180" i="5"/>
  <c r="K179" i="5"/>
  <c r="K178" i="5"/>
  <c r="G153" i="5" l="1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52" i="5"/>
  <c r="G151" i="5"/>
  <c r="G150" i="5"/>
  <c r="G149" i="5"/>
  <c r="P148" i="5"/>
  <c r="G148" i="5"/>
  <c r="P147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K132" i="5"/>
  <c r="G132" i="5"/>
  <c r="K131" i="5"/>
  <c r="G131" i="5"/>
  <c r="K130" i="5"/>
  <c r="G130" i="5"/>
  <c r="K129" i="5"/>
  <c r="G129" i="5"/>
  <c r="K128" i="5"/>
  <c r="G128" i="5"/>
  <c r="K127" i="5"/>
  <c r="G127" i="5"/>
  <c r="K126" i="5"/>
  <c r="G126" i="5"/>
  <c r="K125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K67" i="5"/>
  <c r="G67" i="5"/>
  <c r="K66" i="5"/>
  <c r="G66" i="5"/>
  <c r="K65" i="5"/>
  <c r="G65" i="5"/>
  <c r="K64" i="5"/>
  <c r="G64" i="5"/>
  <c r="K63" i="5"/>
  <c r="G63" i="5"/>
  <c r="K62" i="5"/>
  <c r="G62" i="5"/>
  <c r="K61" i="5"/>
  <c r="G61" i="5"/>
  <c r="K60" i="5"/>
  <c r="G60" i="5"/>
  <c r="K59" i="5"/>
  <c r="G51" i="5"/>
  <c r="G50" i="5"/>
  <c r="G49" i="5"/>
  <c r="G48" i="5"/>
  <c r="G47" i="5"/>
  <c r="G46" i="5"/>
  <c r="G45" i="5"/>
  <c r="G44" i="5"/>
  <c r="G43" i="5"/>
  <c r="G42" i="5"/>
  <c r="G41" i="5"/>
  <c r="P40" i="5"/>
  <c r="G40" i="5"/>
  <c r="G39" i="5"/>
  <c r="G38" i="5"/>
  <c r="G37" i="5"/>
  <c r="G36" i="5"/>
  <c r="G35" i="5"/>
  <c r="G34" i="5"/>
  <c r="G33" i="5"/>
  <c r="G32" i="5"/>
  <c r="G31" i="5"/>
  <c r="G30" i="5"/>
  <c r="P29" i="5"/>
  <c r="G29" i="5"/>
  <c r="P28" i="5"/>
  <c r="G28" i="5"/>
  <c r="P27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K14" i="5"/>
  <c r="G14" i="5"/>
  <c r="K13" i="5"/>
  <c r="P26" i="5" s="1"/>
  <c r="G13" i="5"/>
  <c r="K12" i="5"/>
  <c r="G12" i="5"/>
  <c r="K11" i="5"/>
  <c r="P25" i="5" s="1"/>
  <c r="G11" i="5"/>
  <c r="K10" i="5"/>
  <c r="P24" i="5" s="1"/>
  <c r="G10" i="5"/>
  <c r="K9" i="5"/>
  <c r="P22" i="5" s="1"/>
  <c r="G9" i="5"/>
  <c r="K8" i="5"/>
  <c r="P21" i="5" s="1"/>
  <c r="M13" i="4"/>
  <c r="M12" i="4"/>
  <c r="M9" i="4"/>
  <c r="M8" i="4"/>
  <c r="M7" i="4"/>
  <c r="M6" i="4"/>
  <c r="M5" i="4"/>
  <c r="E6" i="3"/>
  <c r="P31" i="5" l="1"/>
  <c r="P149" i="5"/>
  <c r="P30" i="5"/>
  <c r="M14" i="4"/>
  <c r="P32" i="5" l="1"/>
  <c r="Y9" i="1" l="1"/>
  <c r="Y10" i="1" s="1"/>
  <c r="Y11" i="1" s="1"/>
  <c r="Y12" i="1" s="1"/>
  <c r="Y13" i="1" s="1"/>
  <c r="Y14" i="1" s="1"/>
  <c r="Y15" i="1" s="1"/>
  <c r="Y16" i="1" s="1"/>
  <c r="Y17" i="1" s="1"/>
  <c r="Y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SOSA</author>
    <author>Joel</author>
  </authors>
  <commentList>
    <comment ref="C44" authorId="0" shapeId="0" xr:uid="{52CCB98F-9803-438D-AB62-AB36AA01B8C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DINERO ENTREGADO POR DON FERNANDO DE SU BOLSILLO</t>
        </r>
      </text>
    </comment>
    <comment ref="C328" authorId="0" shapeId="0" xr:uid="{D544B895-DB8C-4DCA-99C2-946730C51F55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4 CUOTAS DE 100.000</t>
        </r>
      </text>
    </comment>
    <comment ref="C361" authorId="0" shapeId="0" xr:uid="{004A576D-3004-4E22-B9FB-64A5AC74A484}">
      <text>
        <r>
          <rPr>
            <b/>
            <sz val="9"/>
            <color indexed="81"/>
            <rFont val="Tahoma"/>
            <family val="2"/>
          </rPr>
          <t>JOEL SOSA
8 CUOTAS DE 100 Y 1 CUOTA DE 70
PAGADO 70.000</t>
        </r>
      </text>
    </comment>
    <comment ref="C365" authorId="0" shapeId="0" xr:uid="{8535D334-D665-4BCB-A432-62E2694CD6FA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368" authorId="0" shapeId="0" xr:uid="{9EC2661C-C8B2-4557-876B-E4A43B7FD8F4}">
      <text>
        <r>
          <rPr>
            <b/>
            <sz val="9"/>
            <color indexed="81"/>
            <rFont val="Tahoma"/>
            <family val="2"/>
          </rPr>
          <t>JOEL SOSA:
4 CUOTAS DE 50MIL</t>
        </r>
      </text>
    </comment>
    <comment ref="C369" authorId="0" shapeId="0" xr:uid="{3BC8CBDF-053F-42B8-8296-FBA8BB747BCD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6 CUOTAS DE 50MIL</t>
        </r>
      </text>
    </comment>
    <comment ref="C387" authorId="0" shapeId="0" xr:uid="{1A28C3C4-12A9-4FDC-906D-3A4AF4EDD2A3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393" authorId="0" shapeId="0" xr:uid="{BCC99C5E-C306-4ADF-95BF-597401DFD18B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5 CUOTAS DE 100.000</t>
        </r>
      </text>
    </comment>
    <comment ref="C427" authorId="1" shapeId="0" xr:uid="{442D6CB0-AE44-4C1A-87D3-7FC928F46787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429" authorId="0" shapeId="0" xr:uid="{13E1A97E-F931-4404-BC6E-67497B2C06FB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438" authorId="0" shapeId="0" xr:uid="{6C2BD2A7-829B-48B6-8B8B-BB875DE5BD84}">
      <text>
        <r>
          <rPr>
            <b/>
            <sz val="9"/>
            <color indexed="81"/>
            <rFont val="Tahoma"/>
            <family val="2"/>
          </rPr>
          <t>JOEL SOSA:
4 CUOTAS DE 50MIL</t>
        </r>
      </text>
    </comment>
    <comment ref="C439" authorId="0" shapeId="0" xr:uid="{6026C6BF-5938-4DE9-8DC0-14CA53E94BAD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6 CUOTAS DE 50MIL</t>
        </r>
      </text>
    </comment>
    <comment ref="C465" authorId="0" shapeId="0" xr:uid="{6F565D88-D675-4F43-A15C-DEAA499E03D9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466" authorId="1" shapeId="0" xr:uid="{BA6A9ED9-E35F-413E-ADEE-B74FA76B17CD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501" authorId="1" shapeId="0" xr:uid="{680ADC54-1A21-4880-B727-BEDBCA19FF4D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503" authorId="0" shapeId="0" xr:uid="{7BD5E9B3-DBF1-457B-AA60-4826EAE06012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530" authorId="0" shapeId="0" xr:uid="{190F85C7-0096-44A0-9AF2-FDFF92AFBD08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531" authorId="1" shapeId="0" xr:uid="{7B04EDC8-08CC-4D2C-BA03-3E9A23DD43B2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577" authorId="1" shapeId="0" xr:uid="{56B82BA7-E11E-47BE-B22F-8C512815EC66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579" authorId="0" shapeId="0" xr:uid="{CAF0FE5C-AFBC-4C72-B265-2DE18613FCF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597" authorId="0" shapeId="0" xr:uid="{DFB58569-F48D-4D54-950D-330D5A0CF8F1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  <comment ref="C598" authorId="1" shapeId="0" xr:uid="{C519DBB7-2F90-427B-BA4B-08AD59049FF4}">
      <text>
        <r>
          <rPr>
            <b/>
            <sz val="9"/>
            <color indexed="81"/>
            <rFont val="Tahoma"/>
            <family val="2"/>
          </rPr>
          <t>Joel:</t>
        </r>
        <r>
          <rPr>
            <sz val="9"/>
            <color indexed="81"/>
            <rFont val="Tahoma"/>
            <family val="2"/>
          </rPr>
          <t xml:space="preserve">
5 CUOTAS DE 100
</t>
        </r>
      </text>
    </comment>
    <comment ref="C646" authorId="1" shapeId="0" xr:uid="{269A0E41-07D4-4B18-B3F9-3AE860FCFF5D}">
      <text>
        <r>
          <rPr>
            <b/>
            <sz val="9"/>
            <color indexed="81"/>
            <rFont val="Tahoma"/>
            <family val="2"/>
          </rPr>
          <t xml:space="preserve">Joel:
</t>
        </r>
        <r>
          <rPr>
            <sz val="9"/>
            <color indexed="81"/>
            <rFont val="Tahoma"/>
            <family val="2"/>
          </rPr>
          <t xml:space="preserve">
8 CUOTAS DE 100 Y 1 CUOTA DE 70
</t>
        </r>
      </text>
    </comment>
    <comment ref="C648" authorId="0" shapeId="0" xr:uid="{49E67681-FB30-43BB-B39C-BF4081B8C556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DE 500.000 
250.000 EFECTIVO
250.000 TRANSFERENCIA</t>
        </r>
      </text>
    </comment>
    <comment ref="C663" authorId="0" shapeId="0" xr:uid="{52DE2EBD-4AA5-4C9C-B365-154FC1DE86AF}">
      <text>
        <r>
          <rPr>
            <b/>
            <sz val="9"/>
            <color indexed="81"/>
            <rFont val="Tahoma"/>
            <family val="2"/>
          </rPr>
          <t>JOEL SOSA:</t>
        </r>
        <r>
          <rPr>
            <sz val="9"/>
            <color indexed="81"/>
            <rFont val="Tahoma"/>
            <family val="2"/>
          </rPr>
          <t xml:space="preserve">
PRESTAMO 3.000.000</t>
        </r>
      </text>
    </comment>
  </commentList>
</comments>
</file>

<file path=xl/sharedStrings.xml><?xml version="1.0" encoding="utf-8"?>
<sst xmlns="http://schemas.openxmlformats.org/spreadsheetml/2006/main" count="7219" uniqueCount="1689">
  <si>
    <t>INGRESOS</t>
  </si>
  <si>
    <t>GASTOS</t>
  </si>
  <si>
    <t>BALANCE</t>
  </si>
  <si>
    <t>MES</t>
  </si>
  <si>
    <t>FECHA</t>
  </si>
  <si>
    <t xml:space="preserve">FORMA DE PAGO </t>
  </si>
  <si>
    <t>DETALLE</t>
  </si>
  <si>
    <t># DOCUMENTO</t>
  </si>
  <si>
    <t>MONTO</t>
  </si>
  <si>
    <t>TIPO DOC</t>
  </si>
  <si>
    <t>IMPORTE</t>
  </si>
  <si>
    <t>CATEGORÍA</t>
  </si>
  <si>
    <t># DOC</t>
  </si>
  <si>
    <t>BENEFICIARIO</t>
  </si>
  <si>
    <t>FORMA DE PAGO</t>
  </si>
  <si>
    <t>INGRESO</t>
  </si>
  <si>
    <t>EGRESO</t>
  </si>
  <si>
    <t>SALDO MENSUAL</t>
  </si>
  <si>
    <t>SALDO ACUMULADO</t>
  </si>
  <si>
    <t>Sept</t>
  </si>
  <si>
    <t>Efectivo</t>
  </si>
  <si>
    <t>SN</t>
  </si>
  <si>
    <t>SD</t>
  </si>
  <si>
    <t>Otros Gastos</t>
  </si>
  <si>
    <t>Factura</t>
  </si>
  <si>
    <t>Tarjeta</t>
  </si>
  <si>
    <t>Feb</t>
  </si>
  <si>
    <t>BEBIDAS</t>
  </si>
  <si>
    <t>Donaciones</t>
  </si>
  <si>
    <t>Transferencia</t>
  </si>
  <si>
    <t>Mar</t>
  </si>
  <si>
    <t>Eléctrico</t>
  </si>
  <si>
    <t>Abr</t>
  </si>
  <si>
    <t>Ago</t>
  </si>
  <si>
    <t>POLARIZADO</t>
  </si>
  <si>
    <t>Gráfica</t>
  </si>
  <si>
    <t>May</t>
  </si>
  <si>
    <t>Encomiendas</t>
  </si>
  <si>
    <t>Jun</t>
  </si>
  <si>
    <t>Vales a Empleados</t>
  </si>
  <si>
    <t>ALIMENTACION JUNIOR</t>
  </si>
  <si>
    <t>Jul</t>
  </si>
  <si>
    <t>Oct</t>
  </si>
  <si>
    <t>Nov</t>
  </si>
  <si>
    <t>Dic</t>
  </si>
  <si>
    <t>Insumos Oficina</t>
  </si>
  <si>
    <t>Insumos de aseo</t>
  </si>
  <si>
    <t>Retiros Personales</t>
  </si>
  <si>
    <t>BEBIDA</t>
  </si>
  <si>
    <t>Arriendos</t>
  </si>
  <si>
    <t>PLAN CESAR</t>
  </si>
  <si>
    <t>Sueldos</t>
  </si>
  <si>
    <t>CGE</t>
  </si>
  <si>
    <t>GRABADO PATENTE</t>
  </si>
  <si>
    <t>AGUA</t>
  </si>
  <si>
    <t>Polarizados</t>
  </si>
  <si>
    <t>ADHESIVOS</t>
  </si>
  <si>
    <t>IVA / PPM</t>
  </si>
  <si>
    <t>ESPATULAS DANIEL</t>
  </si>
  <si>
    <t>LUIS</t>
  </si>
  <si>
    <t>ANTOCARZ</t>
  </si>
  <si>
    <t>VALE DANIEL</t>
  </si>
  <si>
    <t>ALEJANDRO</t>
  </si>
  <si>
    <t>DINERO DANIEL</t>
  </si>
  <si>
    <t>Previred</t>
  </si>
  <si>
    <t>IMANTADOS</t>
  </si>
  <si>
    <t>PLAN CELULAR CESAR</t>
  </si>
  <si>
    <t>PRESTAMO DAYRON</t>
  </si>
  <si>
    <t>TARJETAS</t>
  </si>
  <si>
    <t>AGUAS</t>
  </si>
  <si>
    <t>VALE ALEJANDRO</t>
  </si>
  <si>
    <t>VALE ANGEL</t>
  </si>
  <si>
    <t>ANGEL</t>
  </si>
  <si>
    <t>DANIEL</t>
  </si>
  <si>
    <t>Reembolsos</t>
  </si>
  <si>
    <t>ESPATULAS</t>
  </si>
  <si>
    <t xml:space="preserve">DANIEL </t>
  </si>
  <si>
    <t>VALE JUNIOR</t>
  </si>
  <si>
    <t>MONSTER</t>
  </si>
  <si>
    <t>POWER</t>
  </si>
  <si>
    <t xml:space="preserve"> </t>
  </si>
  <si>
    <t>GATORADE</t>
  </si>
  <si>
    <t>DAYRON</t>
  </si>
  <si>
    <t xml:space="preserve">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</si>
  <si>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</si>
  <si>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Parámetros</t>
  </si>
  <si>
    <t>CATEG GASTOS</t>
  </si>
  <si>
    <t>RESUMEN VENTAS DIARIAS EFECTIVO-TARJETA-TRANSFERENCIA</t>
  </si>
  <si>
    <t>ARQUEO DE CAJA</t>
  </si>
  <si>
    <t>Concepto</t>
  </si>
  <si>
    <t>Efectivo y Transferencias</t>
  </si>
  <si>
    <t>TUU</t>
  </si>
  <si>
    <t>DEN</t>
  </si>
  <si>
    <t>CANT</t>
  </si>
  <si>
    <t>TOTAL</t>
  </si>
  <si>
    <t>Ventas Brutas</t>
  </si>
  <si>
    <t>Ventas en Efectivo</t>
  </si>
  <si>
    <t>COMISION</t>
  </si>
  <si>
    <t>SALDO DIA ANTERIOR</t>
  </si>
  <si>
    <t>ENTREGA DE CAJA</t>
  </si>
  <si>
    <t>SALDO FINAL EN CAJA</t>
  </si>
  <si>
    <t>VENTAS LIQUIDAS TARJETA</t>
  </si>
  <si>
    <t>VENTAS LIQUIDAS DEL DIA EFECTIVO - TARJETA - TRANSFERENCIA</t>
  </si>
  <si>
    <t>TOTALES</t>
  </si>
  <si>
    <t>SALDO EN BANCOS</t>
  </si>
  <si>
    <t>RENTENCIONES</t>
  </si>
  <si>
    <t>SALDO FINAL EN BANCOS</t>
  </si>
  <si>
    <t>SALDO ANTERIOR</t>
  </si>
  <si>
    <t>DEDUCCIONES 2025</t>
  </si>
  <si>
    <t>Resumen los Resultados</t>
  </si>
  <si>
    <t>COLABORADOR</t>
  </si>
  <si>
    <t>SALDO</t>
  </si>
  <si>
    <t>CONCEPTO</t>
  </si>
  <si>
    <t>SALIDAS</t>
  </si>
  <si>
    <t>Cesar</t>
  </si>
  <si>
    <t xml:space="preserve">VALE F12 </t>
  </si>
  <si>
    <t>Alejandro</t>
  </si>
  <si>
    <t>VALE F13</t>
  </si>
  <si>
    <t>Junior</t>
  </si>
  <si>
    <t>Daniel</t>
  </si>
  <si>
    <t>VALE F08</t>
  </si>
  <si>
    <t>Carlos</t>
  </si>
  <si>
    <t>VALE F14</t>
  </si>
  <si>
    <t>Angel</t>
  </si>
  <si>
    <t>VALE F16</t>
  </si>
  <si>
    <t>POR COMPRA ML</t>
  </si>
  <si>
    <t>Luis</t>
  </si>
  <si>
    <t>VALE F19</t>
  </si>
  <si>
    <t>TALADRO FACT. 140628265</t>
  </si>
  <si>
    <t>VALE CESAR</t>
  </si>
  <si>
    <t>VALE F27 JUNIOR</t>
  </si>
  <si>
    <t>SUELDO</t>
  </si>
  <si>
    <t>A PAGAR</t>
  </si>
  <si>
    <t>MODO DE PAGO</t>
  </si>
  <si>
    <t>ALMUERZOS</t>
  </si>
  <si>
    <t>CESAR</t>
  </si>
  <si>
    <t>EFECTIVO</t>
  </si>
  <si>
    <t>ADELANTO</t>
  </si>
  <si>
    <t>INTERNET CELULAR</t>
  </si>
  <si>
    <t>CUADRA CON JAIRO</t>
  </si>
  <si>
    <t>JUNIOR</t>
  </si>
  <si>
    <t>ARRIENDO</t>
  </si>
  <si>
    <t>CARLOS</t>
  </si>
  <si>
    <t>TRANSFERENCIA</t>
  </si>
  <si>
    <t xml:space="preserve">MIGUEL </t>
  </si>
  <si>
    <t xml:space="preserve">JOEL </t>
  </si>
  <si>
    <t>INTERNET CASA</t>
  </si>
  <si>
    <t>DON FERNANDITO</t>
  </si>
  <si>
    <t>IMPOSICIONES MAYO</t>
  </si>
  <si>
    <t>TOTAL A PAGAR EFECTIVO</t>
  </si>
  <si>
    <t>IMPOSICIONES JUNIO</t>
  </si>
  <si>
    <t>TOTAL A PAGAR TRANSFERENCIA</t>
  </si>
  <si>
    <t>TOTAL EN SUELDOS JUNIO 2025</t>
  </si>
  <si>
    <t>DE CAJA</t>
  </si>
  <si>
    <t>ENTREGADO POR DON FER</t>
  </si>
  <si>
    <t>COLCHON</t>
  </si>
  <si>
    <t>PRESTAMO</t>
  </si>
  <si>
    <t>FRUTAS</t>
  </si>
  <si>
    <t>-</t>
  </si>
  <si>
    <t>VALE F28 JUNIOR</t>
  </si>
  <si>
    <t>VALE F29 ALEJANDRO</t>
  </si>
  <si>
    <t>DON FER</t>
  </si>
  <si>
    <t>VALE F30 DANIEL</t>
  </si>
  <si>
    <t>SOBRANTE</t>
  </si>
  <si>
    <t>VALE F31 ALEJANDRO</t>
  </si>
  <si>
    <t>JUANITO PLATA COLOMBIA</t>
  </si>
  <si>
    <t>VALE F33</t>
  </si>
  <si>
    <t>VALE F34</t>
  </si>
  <si>
    <t>VALE F36</t>
  </si>
  <si>
    <t>VALE F37</t>
  </si>
  <si>
    <t>VALE F38</t>
  </si>
  <si>
    <t>DIFERENCIA JUGO</t>
  </si>
  <si>
    <t>MATERIAL</t>
  </si>
  <si>
    <t>JULIO 2025</t>
  </si>
  <si>
    <t xml:space="preserve">ADELANTO JULIO </t>
  </si>
  <si>
    <t>PENDIENTE JUNIO</t>
  </si>
  <si>
    <t>Bryan Dwork</t>
  </si>
  <si>
    <t>VALE F39</t>
  </si>
  <si>
    <t>ARRIENDO JULIO</t>
  </si>
  <si>
    <t>ARRIENDO JUNIOR</t>
  </si>
  <si>
    <t>INTERNET</t>
  </si>
  <si>
    <t>Miguel</t>
  </si>
  <si>
    <t>DOCUMENTO COLOMBIA</t>
  </si>
  <si>
    <t>ESPATULAS PARA PPF</t>
  </si>
  <si>
    <t>VALE F40</t>
  </si>
  <si>
    <t>VALE F41</t>
  </si>
  <si>
    <t>VALE F43</t>
  </si>
  <si>
    <t>INASISTENCIA</t>
  </si>
  <si>
    <t xml:space="preserve">VALE DANIEL </t>
  </si>
  <si>
    <t>VALE CESAR F45</t>
  </si>
  <si>
    <t>VALE JUNIOR F44</t>
  </si>
  <si>
    <t>VALE F47</t>
  </si>
  <si>
    <t>ATOMIZADOR</t>
  </si>
  <si>
    <t>2 CARTONEROS</t>
  </si>
  <si>
    <t>VALE F49</t>
  </si>
  <si>
    <t>VALE F50</t>
  </si>
  <si>
    <t>VALE F51</t>
  </si>
  <si>
    <t>VALE F52</t>
  </si>
  <si>
    <t>VALE F53</t>
  </si>
  <si>
    <t>CARTONERO OLFA</t>
  </si>
  <si>
    <t>VALE 01</t>
  </si>
  <si>
    <t>VALE 02</t>
  </si>
  <si>
    <t>VALE 03</t>
  </si>
  <si>
    <t>VALE 04</t>
  </si>
  <si>
    <t>RADIO, TWEETER, PARLANTES, PANTALLA</t>
  </si>
  <si>
    <t>ESPATULAS 3m</t>
  </si>
  <si>
    <t>CUOTA 01 CELULAR</t>
  </si>
  <si>
    <t>FORRADO ASIENTO</t>
  </si>
  <si>
    <t>ALMUERZO</t>
  </si>
  <si>
    <t>VALE</t>
  </si>
  <si>
    <t>VALE SABADO</t>
  </si>
  <si>
    <t>ESPATULA 3M, FELPAS, GUANTES</t>
  </si>
  <si>
    <t>DAÑO CHAPA</t>
  </si>
  <si>
    <t>IMPOSICIONES JULIO</t>
  </si>
  <si>
    <t>PISTOLA DE CALOR</t>
  </si>
  <si>
    <t>FLETE ESPATULAS</t>
  </si>
  <si>
    <t>AGOSTO 2025</t>
  </si>
  <si>
    <t>ADELANTO SUELDO</t>
  </si>
  <si>
    <t>VALE 07</t>
  </si>
  <si>
    <t>VALE 08</t>
  </si>
  <si>
    <t>VALE 09</t>
  </si>
  <si>
    <t>VALE 10</t>
  </si>
  <si>
    <t>ARRIENDO AGOSTO</t>
  </si>
  <si>
    <t xml:space="preserve">CARTONEROS </t>
  </si>
  <si>
    <t>BEBIDAS ALEJANDRO</t>
  </si>
  <si>
    <t>BEBIDAS CESAR</t>
  </si>
  <si>
    <t>BEBIDAS DANIEL</t>
  </si>
  <si>
    <t>SEPTIEMBRE 2025</t>
  </si>
  <si>
    <t>INSUMOS JUNIOR ESPATULA Y CARTONERO</t>
  </si>
  <si>
    <t>ADELANTO ALEJANDRO</t>
  </si>
  <si>
    <t>CARTONERO</t>
  </si>
  <si>
    <t>BENCINA VALE 15</t>
  </si>
  <si>
    <t>DUNAS VALE 11</t>
  </si>
  <si>
    <t>DUNAS VALE 12</t>
  </si>
  <si>
    <t>ADELANTO vale 13</t>
  </si>
  <si>
    <t>ADELANTO VALE 14</t>
  </si>
  <si>
    <t>PLAN CELULAR</t>
  </si>
  <si>
    <t>ARRIENDO ANGEL</t>
  </si>
  <si>
    <t>Empleado</t>
  </si>
  <si>
    <t>Tipo de bebida</t>
  </si>
  <si>
    <t>Cantidad</t>
  </si>
  <si>
    <t>Precio</t>
  </si>
  <si>
    <t>Total</t>
  </si>
  <si>
    <t>ANDRES</t>
  </si>
  <si>
    <t>SCORE</t>
  </si>
  <si>
    <t>MIGUEL</t>
  </si>
  <si>
    <t>COCACOLA</t>
  </si>
  <si>
    <t>Dayron</t>
  </si>
  <si>
    <t xml:space="preserve">SD </t>
  </si>
  <si>
    <t>BIDONES</t>
  </si>
  <si>
    <t>VALE 16</t>
  </si>
  <si>
    <t>VALE 17</t>
  </si>
  <si>
    <t>TELAS CARLOS</t>
  </si>
  <si>
    <t>Don Fers</t>
  </si>
  <si>
    <t>VALE DON FER 18</t>
  </si>
  <si>
    <t>VALE 19 DANIEL</t>
  </si>
  <si>
    <t>VALE 20</t>
  </si>
  <si>
    <t>VALE 21</t>
  </si>
  <si>
    <t>DESCUENTO DIA NO LABORADO</t>
  </si>
  <si>
    <t xml:space="preserve">ALIMENTACION CRISTIAN VELEZ </t>
  </si>
  <si>
    <t>BEBIDAS JUNIOR</t>
  </si>
  <si>
    <t>BEBIDAS CARLOS</t>
  </si>
  <si>
    <t>BEBIDAS ANGEL</t>
  </si>
  <si>
    <t>INTERNET DANIEL</t>
  </si>
  <si>
    <t xml:space="preserve">INTERNET CASA </t>
  </si>
  <si>
    <t>CELULAR</t>
  </si>
  <si>
    <t>LUCES MIGUEL</t>
  </si>
  <si>
    <t>EMPAVONADO MIGUEL</t>
  </si>
  <si>
    <t>BEBIDAS MIGUEL</t>
  </si>
  <si>
    <t>AGUAS CESAR</t>
  </si>
  <si>
    <t>OCTUBRE 2025</t>
  </si>
  <si>
    <t>PASAJES JUNIOR</t>
  </si>
  <si>
    <t>DIFERENCIA VACACIONES</t>
  </si>
  <si>
    <t>DANIEL REFRI</t>
  </si>
  <si>
    <t>DIFERENCIA CASCO</t>
  </si>
  <si>
    <t>PONY</t>
  </si>
  <si>
    <t>JESUS</t>
  </si>
  <si>
    <t>ADELANTO CESAR LOPEZ</t>
  </si>
  <si>
    <t xml:space="preserve">ARRIENDO OCTUBRE </t>
  </si>
  <si>
    <t xml:space="preserve">                              </t>
  </si>
  <si>
    <t>SPRITE</t>
  </si>
  <si>
    <t>PARQUEO</t>
  </si>
  <si>
    <t>Préstamos</t>
  </si>
  <si>
    <t>DAÑO TELA PARASOL</t>
  </si>
  <si>
    <t>VALE 22</t>
  </si>
  <si>
    <t>CARGADOR ANGEL</t>
  </si>
  <si>
    <t>POLERAS DAYRON 7</t>
  </si>
  <si>
    <t>FLETE LENTES</t>
  </si>
  <si>
    <t>DAYRON PEGANTE</t>
  </si>
  <si>
    <t>FLETE PEDIDO DAYRON</t>
  </si>
  <si>
    <t>DESCUENTO SABADO Y LUNES</t>
  </si>
  <si>
    <t>3 POLERAS LUIS</t>
  </si>
  <si>
    <t>VALE 26</t>
  </si>
  <si>
    <t>VALE 27</t>
  </si>
  <si>
    <t>VALE 23</t>
  </si>
  <si>
    <t>IVA DWORK</t>
  </si>
  <si>
    <t>IVA PTAGONIA</t>
  </si>
  <si>
    <t>VALE 28</t>
  </si>
  <si>
    <t>VALE 29</t>
  </si>
  <si>
    <t>VALE 30</t>
  </si>
  <si>
    <t>VALE 31</t>
  </si>
  <si>
    <t>VALE 32</t>
  </si>
  <si>
    <t>INSUMOS AMERICAN FILMS</t>
  </si>
  <si>
    <t>DAYRON TELAS Y FLETE</t>
  </si>
  <si>
    <t>KIT DE TINTAS</t>
  </si>
  <si>
    <t>VINILOS ROJO Y VERDE</t>
  </si>
  <si>
    <t>VALE 35</t>
  </si>
  <si>
    <t>VALE 36</t>
  </si>
  <si>
    <t>VALE 34</t>
  </si>
  <si>
    <t>VALE 24</t>
  </si>
  <si>
    <t>VALE 25</t>
  </si>
  <si>
    <t>VALE 33</t>
  </si>
  <si>
    <t>BASE</t>
  </si>
  <si>
    <t>DESCUENTOS</t>
  </si>
  <si>
    <t>DETALLE DESCUENTOS</t>
  </si>
  <si>
    <t>INTERNET JUNIOR</t>
  </si>
  <si>
    <t>MIGUEL TRABAJOS</t>
  </si>
  <si>
    <t>NOVIEMBRE 2025</t>
  </si>
  <si>
    <t>PASAJES</t>
  </si>
  <si>
    <t>DAYRON PRESTAMO</t>
  </si>
  <si>
    <t>ESTUFA ANGEL</t>
  </si>
  <si>
    <t>DAÑO VINILO</t>
  </si>
  <si>
    <t>ESPATULA 3 M DANIEL</t>
  </si>
  <si>
    <t>ESPATULA 3M JUNIOR</t>
  </si>
  <si>
    <t>PRESTAMO DEBITO</t>
  </si>
  <si>
    <t>PREVIRED SEPTIEMBRE</t>
  </si>
  <si>
    <t>ALCOHOL</t>
  </si>
  <si>
    <t>VALE 38</t>
  </si>
  <si>
    <t>VALE 39</t>
  </si>
  <si>
    <t>ADHESIVO CARLOS 3X435 METROS</t>
  </si>
  <si>
    <t xml:space="preserve">CARTONERO </t>
  </si>
  <si>
    <t>VALE 37</t>
  </si>
  <si>
    <t>QUINCENA DANIEL CON VALE 40</t>
  </si>
  <si>
    <t>VALE 41</t>
  </si>
  <si>
    <t>VALE 42</t>
  </si>
  <si>
    <t>VALE 43</t>
  </si>
  <si>
    <t>ARRIENDO ANGEL RESTREPO</t>
  </si>
  <si>
    <t>INTERNET ANGEL CASA</t>
  </si>
  <si>
    <t>JOEL</t>
  </si>
  <si>
    <t>DON FERS</t>
  </si>
  <si>
    <t>POLERA</t>
  </si>
  <si>
    <t>CUOTA CELULAR A PARTIR DE ENERO 2026</t>
  </si>
  <si>
    <t>DICIEMBRE 2025</t>
  </si>
  <si>
    <t>CUOTA 1 DE 12</t>
  </si>
  <si>
    <t>VALE 44</t>
  </si>
  <si>
    <t>SALDO DAYRO PATAGONIA</t>
  </si>
  <si>
    <t>SALDO DAYRO CUENTA VARIAS</t>
  </si>
  <si>
    <t>ROBERTO HERMES</t>
  </si>
  <si>
    <t xml:space="preserve">PEGANTE </t>
  </si>
  <si>
    <t>ACEITE MOTO</t>
  </si>
  <si>
    <t>VALE 45</t>
  </si>
  <si>
    <t>VALE 46</t>
  </si>
  <si>
    <t>VALE 47</t>
  </si>
  <si>
    <t>VALE 48</t>
  </si>
  <si>
    <t>VALE 49</t>
  </si>
  <si>
    <t>VALE 50</t>
  </si>
  <si>
    <t>VALE 51</t>
  </si>
  <si>
    <t>VALE 52</t>
  </si>
  <si>
    <t>VALE 53</t>
  </si>
  <si>
    <t>VALE 54</t>
  </si>
  <si>
    <t>VALE 55</t>
  </si>
  <si>
    <t>VALE 56</t>
  </si>
  <si>
    <t>VALE 57</t>
  </si>
  <si>
    <t>VALE 58</t>
  </si>
  <si>
    <t>VALE DADO POR JAIRO</t>
  </si>
  <si>
    <t>SOPLETE</t>
  </si>
  <si>
    <t>CUOTA 1 CELULAR</t>
  </si>
  <si>
    <t>CUOTA 2 DE 9 PRESTAMO CESAR</t>
  </si>
  <si>
    <t>CUOTA 2 DE 6 PRESTAMO DE 300</t>
  </si>
  <si>
    <t>CUOTA 2 DE 4  PRESTAMO DE 200</t>
  </si>
  <si>
    <t>CUOTA PIE CELULAR</t>
  </si>
  <si>
    <t>CUOTA 2 PRESTAMO 500.000</t>
  </si>
  <si>
    <t>VALE 59</t>
  </si>
  <si>
    <t>PEDRO CHORIZO</t>
  </si>
  <si>
    <t>VALE 60</t>
  </si>
  <si>
    <t>ESTACIONAMIENTO</t>
  </si>
  <si>
    <t>PIE CELULAR JUNIOR</t>
  </si>
  <si>
    <t>VALE ALEJANDRO-JAIRO</t>
  </si>
  <si>
    <t xml:space="preserve">PLAN CELULAR </t>
  </si>
  <si>
    <t>CHORIZOS</t>
  </si>
  <si>
    <t>CUOTA 1 DE 5 (500.000)</t>
  </si>
  <si>
    <t>ENERGIA</t>
  </si>
  <si>
    <t>COMPLEMENTO SUELDO JOEL</t>
  </si>
  <si>
    <t>CUOTA PLAN CELULAR</t>
  </si>
  <si>
    <t>ENERO 2026</t>
  </si>
  <si>
    <t>CUOTA 2 PIE CELULAR</t>
  </si>
  <si>
    <t>DEUDA MES DICIEMBRE</t>
  </si>
  <si>
    <t>VALE ANGEL DINERO DADO POR JAIRO</t>
  </si>
  <si>
    <t>GATORE- AGUA</t>
  </si>
  <si>
    <t>STICKER</t>
  </si>
  <si>
    <t xml:space="preserve">ECONOPRINT CESAR </t>
  </si>
  <si>
    <t>MOSTER</t>
  </si>
  <si>
    <t xml:space="preserve">FANTA </t>
  </si>
  <si>
    <t xml:space="preserve">DAIRO </t>
  </si>
  <si>
    <t>SERVICIO ELECTRICO</t>
  </si>
  <si>
    <t>POLARIZADO PARABRISA</t>
  </si>
  <si>
    <t>207085</t>
  </si>
  <si>
    <t>ALMAPACK-FERNANDO</t>
  </si>
  <si>
    <t>CAMARAS</t>
  </si>
  <si>
    <t>NATALIA</t>
  </si>
  <si>
    <t>STICKER SE VENDE</t>
  </si>
  <si>
    <t>ENCENDEDORES</t>
  </si>
  <si>
    <t xml:space="preserve"> SD</t>
  </si>
  <si>
    <t>VILLYCAR-FERNANDO</t>
  </si>
  <si>
    <t>Ene</t>
  </si>
  <si>
    <t>SUSPENDIDO DANIEL 24 AL 27 DIC</t>
  </si>
  <si>
    <t>GATORERADE</t>
  </si>
  <si>
    <t>ARREGLO DE LUZ</t>
  </si>
  <si>
    <t>REPARACION FOCOS</t>
  </si>
  <si>
    <t>VALE  CRISTIAN VELEZ</t>
  </si>
  <si>
    <t>61</t>
  </si>
  <si>
    <t>Comprobante</t>
  </si>
  <si>
    <t>CRISTIAN VELEZ</t>
  </si>
  <si>
    <t>FLETE CHILEXPRESS</t>
  </si>
  <si>
    <t>PENDIENTE</t>
  </si>
  <si>
    <t>CHILEXPRESS</t>
  </si>
  <si>
    <t>FLETES ANTOFAGASTA Y VALPARAISO</t>
  </si>
  <si>
    <t>13242298</t>
  </si>
  <si>
    <t>STARKEN</t>
  </si>
  <si>
    <t>VENTAS DEL DIA CON TARJETA</t>
  </si>
  <si>
    <t>05012026</t>
  </si>
  <si>
    <t>AJUSTE EFECTIVO SOBRANTE CAJA NATALIA</t>
  </si>
  <si>
    <t>AGUA LOCAL</t>
  </si>
  <si>
    <t>BAHIA AZUL</t>
  </si>
  <si>
    <t>VENTAS DEL DIA EN EFECTIVO</t>
  </si>
  <si>
    <t>06012025</t>
  </si>
  <si>
    <t>REGLA</t>
  </si>
  <si>
    <t>GRABADO DE PATENTE</t>
  </si>
  <si>
    <t>POLARIZADO PARABRISAS</t>
  </si>
  <si>
    <t>INSUMOS</t>
  </si>
  <si>
    <t>151647</t>
  </si>
  <si>
    <t>INTERFILM</t>
  </si>
  <si>
    <t>62</t>
  </si>
  <si>
    <t>DANIEL MONO</t>
  </si>
  <si>
    <t>VALE DANIEL MONO</t>
  </si>
  <si>
    <t>FLETE INTERFILM</t>
  </si>
  <si>
    <t>13249283</t>
  </si>
  <si>
    <t>PAGO FLETERO</t>
  </si>
  <si>
    <t>FLETERO TIERRA</t>
  </si>
  <si>
    <t>ABONO SKC</t>
  </si>
  <si>
    <t>1644/45/46/47/48/49</t>
  </si>
  <si>
    <t>COMPRA RELAY</t>
  </si>
  <si>
    <t>27227</t>
  </si>
  <si>
    <t>MILIANS  ISABEL OTAROLA</t>
  </si>
  <si>
    <t xml:space="preserve">VENTAS DEL DIA EN EFECTIVO </t>
  </si>
  <si>
    <t>COMPRA IDINI DAYRON</t>
  </si>
  <si>
    <t>IDINI -DAYRON</t>
  </si>
  <si>
    <t>IDINI-DAYRON</t>
  </si>
  <si>
    <t>VALE CRISTIAN VELEZ</t>
  </si>
  <si>
    <t>64</t>
  </si>
  <si>
    <t>PREVIRED DICIEMBRE 2025</t>
  </si>
  <si>
    <t>VALE CESAR LOPEZ</t>
  </si>
  <si>
    <t>CESAR LOPEZ</t>
  </si>
  <si>
    <t>VALE CRISTIAN VELEZ (DINERO PASADO POR JAIRO)</t>
  </si>
  <si>
    <t>VALE 64</t>
  </si>
  <si>
    <t>VALE 63</t>
  </si>
  <si>
    <t>63</t>
  </si>
  <si>
    <t>VALE 62</t>
  </si>
  <si>
    <t>SALDO DAYRON CUENTA VARIAS</t>
  </si>
  <si>
    <t>SALDO DAYRON PATAGONIA</t>
  </si>
  <si>
    <t>ABONO PATAGONIA DAYRON</t>
  </si>
  <si>
    <t>ALEJANDRO MINORTA</t>
  </si>
  <si>
    <t>65</t>
  </si>
  <si>
    <t>VALE 65</t>
  </si>
  <si>
    <t>ENCHUFES</t>
  </si>
  <si>
    <t>37133965</t>
  </si>
  <si>
    <t>EASY</t>
  </si>
  <si>
    <t>FLETE PISOS</t>
  </si>
  <si>
    <t>13250342</t>
  </si>
  <si>
    <t>DISTANCIADORES DAYRON</t>
  </si>
  <si>
    <t>ABONO MEGATACAMA</t>
  </si>
  <si>
    <t>INSUMOS SOCADIN</t>
  </si>
  <si>
    <t>87051</t>
  </si>
  <si>
    <t>SOCADIN</t>
  </si>
  <si>
    <t>INSUMOS VARIOS</t>
  </si>
  <si>
    <t>37133966</t>
  </si>
  <si>
    <t>FLETE AMERICAN FILMS</t>
  </si>
  <si>
    <t>777700686712</t>
  </si>
  <si>
    <t>PDQ</t>
  </si>
  <si>
    <t>YESO</t>
  </si>
  <si>
    <t>14613</t>
  </si>
  <si>
    <t>NIVAC</t>
  </si>
  <si>
    <t>53371</t>
  </si>
  <si>
    <t>AMERICAN FILMS</t>
  </si>
  <si>
    <t>53369</t>
  </si>
  <si>
    <t>CABLES</t>
  </si>
  <si>
    <t>14181</t>
  </si>
  <si>
    <t>DROGUET</t>
  </si>
  <si>
    <t>02012026</t>
  </si>
  <si>
    <t>03012026</t>
  </si>
  <si>
    <t>06012026</t>
  </si>
  <si>
    <t>07012026</t>
  </si>
  <si>
    <t>08012026</t>
  </si>
  <si>
    <t>10012026TAR</t>
  </si>
  <si>
    <t>12012026TAR</t>
  </si>
  <si>
    <t>ABONO ATACAMA TECH</t>
  </si>
  <si>
    <t>1720</t>
  </si>
  <si>
    <t>ABONO SERNEWMAS</t>
  </si>
  <si>
    <t>1672</t>
  </si>
  <si>
    <t>ABONO CENTRO DE ENTRETENCIONES</t>
  </si>
  <si>
    <t>CENTRO DE EVENTOS</t>
  </si>
  <si>
    <t>BISEL</t>
  </si>
  <si>
    <t>ABONO IISO</t>
  </si>
  <si>
    <t>1596</t>
  </si>
  <si>
    <t>ABONO PARQUEO CARLOS PIZARRO</t>
  </si>
  <si>
    <t>ARRIENDO ENERO 2026</t>
  </si>
  <si>
    <t>05012026ARR</t>
  </si>
  <si>
    <t>PAOLA RUBINA</t>
  </si>
  <si>
    <t>ANGEL RESTREPOS</t>
  </si>
  <si>
    <t>ARRIENDO ENERO</t>
  </si>
  <si>
    <t>PERFILERIA</t>
  </si>
  <si>
    <t>IDINI</t>
  </si>
  <si>
    <t>Servicios Públicos</t>
  </si>
  <si>
    <t>PAGO CGE</t>
  </si>
  <si>
    <t>30012025CGE</t>
  </si>
  <si>
    <t>ABONO LC GROUP</t>
  </si>
  <si>
    <t>1682</t>
  </si>
  <si>
    <t>COMPRA LAMPARAS LED</t>
  </si>
  <si>
    <t>84662723</t>
  </si>
  <si>
    <t>MERCADO LIBRE</t>
  </si>
  <si>
    <t>ABONO CHEQUE BASSI</t>
  </si>
  <si>
    <t>1001110</t>
  </si>
  <si>
    <t>1045227</t>
  </si>
  <si>
    <t>MUNDO TRANSFER</t>
  </si>
  <si>
    <t>FLETE ANTOCARZ</t>
  </si>
  <si>
    <t>PISOS DE GOMA</t>
  </si>
  <si>
    <t>137073</t>
  </si>
  <si>
    <t>VICTOR MORALES</t>
  </si>
  <si>
    <t>PISOS PLATA</t>
  </si>
  <si>
    <t>137071</t>
  </si>
  <si>
    <t>ABONO MEGA ATACAMA</t>
  </si>
  <si>
    <t>ARTICULOS DE ASEO</t>
  </si>
  <si>
    <t>8598</t>
  </si>
  <si>
    <t>BRUNO</t>
  </si>
  <si>
    <t>ABONO VICTOR ALEJANDRO MENDEZ</t>
  </si>
  <si>
    <t>ABONO RESTANTE TRANSPORTE GALLARDO</t>
  </si>
  <si>
    <t>1697</t>
  </si>
  <si>
    <t xml:space="preserve">COMPRA CAMARA </t>
  </si>
  <si>
    <t>9483808</t>
  </si>
  <si>
    <t>Bencina</t>
  </si>
  <si>
    <t>BENCINA BERLINGO</t>
  </si>
  <si>
    <t>180018</t>
  </si>
  <si>
    <t>COMERCIAL MARAMBIO</t>
  </si>
  <si>
    <t>37133930</t>
  </si>
  <si>
    <t>TARJETAS VILLYCAR TUNING</t>
  </si>
  <si>
    <t>RPS</t>
  </si>
  <si>
    <t>ABONO PATAGONIA</t>
  </si>
  <si>
    <t>ABONO AUCAN</t>
  </si>
  <si>
    <t>DISTANCIADORES</t>
  </si>
  <si>
    <t>66758</t>
  </si>
  <si>
    <t>PRORACK</t>
  </si>
  <si>
    <t>PAGO LUIS CHONA</t>
  </si>
  <si>
    <t>LUIS CHONA (PECAS)</t>
  </si>
  <si>
    <t>PAGO LUZ CASA JAIRO</t>
  </si>
  <si>
    <t>PAGO LINEA JAIRO</t>
  </si>
  <si>
    <t>539049</t>
  </si>
  <si>
    <t>MOVISTAR</t>
  </si>
  <si>
    <t>ABONO INGENIO (TRASPASADO A BANCO DE CHILE)</t>
  </si>
  <si>
    <t>COMPRA MODULOS LED</t>
  </si>
  <si>
    <t>694</t>
  </si>
  <si>
    <t>VENLUZ SPA</t>
  </si>
  <si>
    <t>ABONO PAOLA RUBINA</t>
  </si>
  <si>
    <t>ABONO KRADE</t>
  </si>
  <si>
    <t>1713</t>
  </si>
  <si>
    <t>ABONO MOINCO</t>
  </si>
  <si>
    <t>1701/1702</t>
  </si>
  <si>
    <t>13012026</t>
  </si>
  <si>
    <t>14012026</t>
  </si>
  <si>
    <t>ABONO GRAND NOMADE LAMINA</t>
  </si>
  <si>
    <t>FLETE SKY PISTON</t>
  </si>
  <si>
    <t>13261329</t>
  </si>
  <si>
    <t>DECORACION BUS</t>
  </si>
  <si>
    <t>66</t>
  </si>
  <si>
    <t>VALE 66</t>
  </si>
  <si>
    <t>DAYRON VILLALBA</t>
  </si>
  <si>
    <t>VALE 67</t>
  </si>
  <si>
    <t xml:space="preserve">VALE JHON DAYRON </t>
  </si>
  <si>
    <t>FLETE COMIDA JAIRO</t>
  </si>
  <si>
    <t>PEDIDOS YA</t>
  </si>
  <si>
    <t>CAMARAS DE RETROCESO</t>
  </si>
  <si>
    <t>3420537</t>
  </si>
  <si>
    <t>AUTOPLANET</t>
  </si>
  <si>
    <t>SEBASTIAN</t>
  </si>
  <si>
    <t>ESPATULA 3M</t>
  </si>
  <si>
    <t>FACTURA</t>
  </si>
  <si>
    <t>MONTO TOTAL</t>
  </si>
  <si>
    <t>MONTO NETO</t>
  </si>
  <si>
    <t>MONTO IVA</t>
  </si>
  <si>
    <t>25% JOEL</t>
  </si>
  <si>
    <t>73</t>
  </si>
  <si>
    <t>CUERDA PENDON</t>
  </si>
  <si>
    <t>101870</t>
  </si>
  <si>
    <t>Boleta</t>
  </si>
  <si>
    <t>COMERCIALIZADORA YINGYING</t>
  </si>
  <si>
    <t>BERNIE HERMES</t>
  </si>
  <si>
    <t>BIDONES DE AGUA</t>
  </si>
  <si>
    <t>DYLAN +569 3689 3115</t>
  </si>
  <si>
    <t>23012026</t>
  </si>
  <si>
    <t>15012026</t>
  </si>
  <si>
    <t>16012026</t>
  </si>
  <si>
    <t>17012026</t>
  </si>
  <si>
    <t>19012026</t>
  </si>
  <si>
    <t>20012026</t>
  </si>
  <si>
    <t>CAMARO</t>
  </si>
  <si>
    <t>ALEXANDER</t>
  </si>
  <si>
    <t>FLETE LOVCAR</t>
  </si>
  <si>
    <t>262757596</t>
  </si>
  <si>
    <t>8779</t>
  </si>
  <si>
    <t>8752</t>
  </si>
  <si>
    <t>PLAN EMPRESA Y CELULAR JUNIOR</t>
  </si>
  <si>
    <t>LUZ CASA JAIRO</t>
  </si>
  <si>
    <t>LUZ LOCAL</t>
  </si>
  <si>
    <t>4839720</t>
  </si>
  <si>
    <t>PLETINA</t>
  </si>
  <si>
    <t>115325</t>
  </si>
  <si>
    <t>CINTA 3 M</t>
  </si>
  <si>
    <t>30829</t>
  </si>
  <si>
    <t>MARIA MARCELA GONZALEZ</t>
  </si>
  <si>
    <t>CINTA VERDE</t>
  </si>
  <si>
    <t>14681</t>
  </si>
  <si>
    <t>GASTOS SIN FACTURA</t>
  </si>
  <si>
    <t>ANTONY</t>
  </si>
  <si>
    <t>CINTA REFLECTANTE</t>
  </si>
  <si>
    <t>886970</t>
  </si>
  <si>
    <t>KAUFMANN</t>
  </si>
  <si>
    <t>ABONO TUU</t>
  </si>
  <si>
    <t>VENTAS DEL DIA CON EFECTIVO</t>
  </si>
  <si>
    <t>26012026</t>
  </si>
  <si>
    <t>PINO SECO</t>
  </si>
  <si>
    <t>37268728</t>
  </si>
  <si>
    <t>TABLAS</t>
  </si>
  <si>
    <t>22379303</t>
  </si>
  <si>
    <t>CONSTRUMART</t>
  </si>
  <si>
    <t>DEVOLUCION CLIENTE POR COBRO DE MAS</t>
  </si>
  <si>
    <t>CLIENTE EXTERNO</t>
  </si>
  <si>
    <t>FLETE IMPORTA VINILOS ALTA INTENSIDAD</t>
  </si>
  <si>
    <t>777700736415</t>
  </si>
  <si>
    <t>VINILOS ALTA INTENSIDAD</t>
  </si>
  <si>
    <t>20247</t>
  </si>
  <si>
    <t>IMPORTA</t>
  </si>
  <si>
    <t>75</t>
  </si>
  <si>
    <t>VALE 61</t>
  </si>
  <si>
    <t>VALE 69</t>
  </si>
  <si>
    <t>VALE 70</t>
  </si>
  <si>
    <t>VALE 71</t>
  </si>
  <si>
    <t>Josselyn</t>
  </si>
  <si>
    <t>VALE 72</t>
  </si>
  <si>
    <t>VALE 73</t>
  </si>
  <si>
    <t>VALE 75</t>
  </si>
  <si>
    <t xml:space="preserve">ATOMIZADOR </t>
  </si>
  <si>
    <t>ESPATULA ROSADA</t>
  </si>
  <si>
    <t>ESPATULA CONQUERER</t>
  </si>
  <si>
    <t>INSUMOS INICIALES</t>
  </si>
  <si>
    <t>CUOTA 3 PRESTAMO</t>
  </si>
  <si>
    <t>CUOTA 2 DE 5 (500.000)</t>
  </si>
  <si>
    <t>CUOTA 2 CELULAR</t>
  </si>
  <si>
    <t>30-01-20206</t>
  </si>
  <si>
    <t>2 CUOTAS RESTANTES PRESTAMO DE 200</t>
  </si>
  <si>
    <t>3 CUOTAS RESTANTES  PRESTAMO DE 300</t>
  </si>
  <si>
    <t>CUOTA 2 DE 12</t>
  </si>
  <si>
    <t>CUOTA 3 PRESTAMO DE 500.000</t>
  </si>
  <si>
    <t>CUOTA 2 DE 18 CELULAR IPHONE</t>
  </si>
  <si>
    <t xml:space="preserve">PANTALLA </t>
  </si>
  <si>
    <t>PRESTAMO COMPRA EASY</t>
  </si>
  <si>
    <t>PRESTAMO COMPRA IDINI</t>
  </si>
  <si>
    <t>Sebastian</t>
  </si>
  <si>
    <t>FEBRERO 2026</t>
  </si>
  <si>
    <t>FEBRERO</t>
  </si>
  <si>
    <t>ARRIENDO FEBRERO</t>
  </si>
  <si>
    <t>CUOTA 4 PRESTAMO</t>
  </si>
  <si>
    <t>CUOTA 3 DE 5 (500.000)</t>
  </si>
  <si>
    <t>CUOTA 3 DE 12</t>
  </si>
  <si>
    <t>CUOTA 4 PRESTAMO DE 500.000</t>
  </si>
  <si>
    <t>CUOTA 3 DE 18 CELULAR IPHONE</t>
  </si>
  <si>
    <t>VALE 76</t>
  </si>
  <si>
    <t>SUELDO ALEJANDRO MINORTA</t>
  </si>
  <si>
    <t>30012026</t>
  </si>
  <si>
    <t>SUELDO CESAR LOPEZ</t>
  </si>
  <si>
    <t>SUELDO MIGUEL BERRIOS</t>
  </si>
  <si>
    <t>MIGUEL BERRIOS</t>
  </si>
  <si>
    <t>02022026</t>
  </si>
  <si>
    <t>31012026</t>
  </si>
  <si>
    <t>24012026</t>
  </si>
  <si>
    <t>VENTAS DEL DIA CON FACTURA</t>
  </si>
  <si>
    <t>27012026</t>
  </si>
  <si>
    <t>28012026</t>
  </si>
  <si>
    <t>29012026</t>
  </si>
  <si>
    <t>75% J2</t>
  </si>
  <si>
    <t>21012026</t>
  </si>
  <si>
    <t>COMPRA TALADRO</t>
  </si>
  <si>
    <t>EXTERNO</t>
  </si>
  <si>
    <t>AMPOLLETAS</t>
  </si>
  <si>
    <t>50382</t>
  </si>
  <si>
    <t>REGIONAL AUTOS</t>
  </si>
  <si>
    <t>27607</t>
  </si>
  <si>
    <t>MILIANS ISABEL OTAROLA</t>
  </si>
  <si>
    <t>777700756847</t>
  </si>
  <si>
    <t>VINILOS</t>
  </si>
  <si>
    <t>ABONO HSCE</t>
  </si>
  <si>
    <t>1745</t>
  </si>
  <si>
    <t>ABONO PRISCILA PASTEN</t>
  </si>
  <si>
    <t>ABONO MEGA ATACAMA (FACTURADO POR DWORK)</t>
  </si>
  <si>
    <t>ABONO MARIA CRISTINA</t>
  </si>
  <si>
    <t>1707</t>
  </si>
  <si>
    <t>ABONO MARTIN CEBALLOS</t>
  </si>
  <si>
    <t>ABONO GABRIELA ORDOÑEZ</t>
  </si>
  <si>
    <t>ABONO MARIA CRISTINA MOLINA</t>
  </si>
  <si>
    <t>1708</t>
  </si>
  <si>
    <t>ABONO SERGIO ARAYA</t>
  </si>
  <si>
    <t>ABONO HIDROMOTION</t>
  </si>
  <si>
    <t>1734</t>
  </si>
  <si>
    <t>ABONO DANIELA CAMPUSANO</t>
  </si>
  <si>
    <t>ABONO FELIPE DEL TRANSITO</t>
  </si>
  <si>
    <t>ABONO 1 ESLABON</t>
  </si>
  <si>
    <t>ABONO ENGEL GABRIELLE</t>
  </si>
  <si>
    <t>ABONO MAGLIO ERAZO</t>
  </si>
  <si>
    <t>ABONO TOLECAR</t>
  </si>
  <si>
    <t>ABONO SEMINET</t>
  </si>
  <si>
    <t>1721</t>
  </si>
  <si>
    <t>ABONOS VARIOS</t>
  </si>
  <si>
    <t>ABONO JAG SERVICIOS</t>
  </si>
  <si>
    <t>1755</t>
  </si>
  <si>
    <t>ABONO TERRAPUERTO</t>
  </si>
  <si>
    <t>1556/1562</t>
  </si>
  <si>
    <t>1657/1658</t>
  </si>
  <si>
    <t>ABONO SAN RAFAEL</t>
  </si>
  <si>
    <t>ABONO 2 ESLABON</t>
  </si>
  <si>
    <t>1663/1664</t>
  </si>
  <si>
    <t>ABONO SAN RAFAEL INGENIERIA</t>
  </si>
  <si>
    <t>ABONO 3 ESLABON</t>
  </si>
  <si>
    <t>ABONO BASTIAN GALLARDO</t>
  </si>
  <si>
    <t>DON ROBERTO</t>
  </si>
  <si>
    <t>ABONO CALBISTUR</t>
  </si>
  <si>
    <t>1667</t>
  </si>
  <si>
    <t>06022026</t>
  </si>
  <si>
    <t>INSUMOS DE ASEO OFICINA</t>
  </si>
  <si>
    <t>8848</t>
  </si>
  <si>
    <t>FLETE TENTEX</t>
  </si>
  <si>
    <t>143845672699</t>
  </si>
  <si>
    <t>TRABA TUERCAS</t>
  </si>
  <si>
    <t>1477</t>
  </si>
  <si>
    <t>EQUIPMENT ENGINEERING</t>
  </si>
  <si>
    <t>FLETE AUDIOS</t>
  </si>
  <si>
    <t>80126005843</t>
  </si>
  <si>
    <t>VARMONTT</t>
  </si>
  <si>
    <t>FLETE LOVCARS</t>
  </si>
  <si>
    <t>263147737</t>
  </si>
  <si>
    <t>263085405</t>
  </si>
  <si>
    <t>PLUMONES</t>
  </si>
  <si>
    <t>26034</t>
  </si>
  <si>
    <t>LIBRERIA COPAO</t>
  </si>
  <si>
    <t>RESMA PAPEL</t>
  </si>
  <si>
    <t>26031</t>
  </si>
  <si>
    <t>ABONO PIÑONES</t>
  </si>
  <si>
    <t>1783</t>
  </si>
  <si>
    <t>ABONO 1 PROYECTO CIUDAD</t>
  </si>
  <si>
    <t>ABONO 2 PROYECTO CIUDAD</t>
  </si>
  <si>
    <t>INDICADOR PLANO</t>
  </si>
  <si>
    <t>87638</t>
  </si>
  <si>
    <t>PIOLAS</t>
  </si>
  <si>
    <t>87640</t>
  </si>
  <si>
    <t>7777700724468</t>
  </si>
  <si>
    <t>INSUMOS POLARIZADOS</t>
  </si>
  <si>
    <t>53652</t>
  </si>
  <si>
    <t>7699</t>
  </si>
  <si>
    <t>LIBRERIA VILTI</t>
  </si>
  <si>
    <t>FLETE PR AUDIO</t>
  </si>
  <si>
    <t>82126000892</t>
  </si>
  <si>
    <t>RADIOS</t>
  </si>
  <si>
    <t>1271</t>
  </si>
  <si>
    <t>PR AUDIO</t>
  </si>
  <si>
    <t>37059222</t>
  </si>
  <si>
    <t xml:space="preserve">PASTO SINTETICO </t>
  </si>
  <si>
    <t>37059223</t>
  </si>
  <si>
    <t>ANGULOS</t>
  </si>
  <si>
    <t>114404</t>
  </si>
  <si>
    <t>INSUMOS ELECTRICOS</t>
  </si>
  <si>
    <t>2309</t>
  </si>
  <si>
    <t>VIVENCIO ELECTRONICA</t>
  </si>
  <si>
    <t>COMPRAS VARIAS</t>
  </si>
  <si>
    <t>COMERCIALIZADORA YINGYING MAO</t>
  </si>
  <si>
    <t>PAGO FLETE DEVOLUCION</t>
  </si>
  <si>
    <t>133865591</t>
  </si>
  <si>
    <t>13266876</t>
  </si>
  <si>
    <t>FLETE COMERCIAL PROCAR</t>
  </si>
  <si>
    <t>FLETE PROCAR</t>
  </si>
  <si>
    <t>4831861</t>
  </si>
  <si>
    <t>262519470</t>
  </si>
  <si>
    <t>BALLERINA</t>
  </si>
  <si>
    <t>8699</t>
  </si>
  <si>
    <t>ARRIENDOS</t>
  </si>
  <si>
    <t>PROYECTO AGUAS ALCANTARILLASO</t>
  </si>
  <si>
    <t>ROBINSON ALVAREZ</t>
  </si>
  <si>
    <t>263788384</t>
  </si>
  <si>
    <t>FLETE PEGANTES</t>
  </si>
  <si>
    <t>777700710870</t>
  </si>
  <si>
    <t>PEGANTE</t>
  </si>
  <si>
    <t>1691</t>
  </si>
  <si>
    <t>AROSA</t>
  </si>
  <si>
    <t>FLETE IMPORTA</t>
  </si>
  <si>
    <t>777700711779</t>
  </si>
  <si>
    <t>20124</t>
  </si>
  <si>
    <t>PREVIRED ENERO 2026</t>
  </si>
  <si>
    <t>PREVIRED</t>
  </si>
  <si>
    <t>IVA Y PPM ENERO 2026</t>
  </si>
  <si>
    <t>SII</t>
  </si>
  <si>
    <t>INTERRUPTOR</t>
  </si>
  <si>
    <t>27433</t>
  </si>
  <si>
    <t>MILIANS OTAROLA</t>
  </si>
  <si>
    <t>FOCO TRASERO</t>
  </si>
  <si>
    <t>6280736</t>
  </si>
  <si>
    <t>IMPLEMENTOS</t>
  </si>
  <si>
    <t>SOPORTE PERTIGA</t>
  </si>
  <si>
    <t>87496</t>
  </si>
  <si>
    <t>PORTACUÑAS</t>
  </si>
  <si>
    <t>1442</t>
  </si>
  <si>
    <t>ENGINEERING</t>
  </si>
  <si>
    <t>INSUMOS CAMIONETA MOINCO</t>
  </si>
  <si>
    <t>87492</t>
  </si>
  <si>
    <t>ARRIENDO FEBRERO ANGEL</t>
  </si>
  <si>
    <t>03022026</t>
  </si>
  <si>
    <t>PRETAMO DAYRON</t>
  </si>
  <si>
    <t>PLAN CELULAR JAIRO</t>
  </si>
  <si>
    <t>COMPRA EASY</t>
  </si>
  <si>
    <t>36037363</t>
  </si>
  <si>
    <t>263993682</t>
  </si>
  <si>
    <t>CORDON H05</t>
  </si>
  <si>
    <t>6828580</t>
  </si>
  <si>
    <t>GOBANTES</t>
  </si>
  <si>
    <t>87978</t>
  </si>
  <si>
    <t>INSUMOS EQUIPAMIENTO CAMIONETA</t>
  </si>
  <si>
    <t>87977</t>
  </si>
  <si>
    <t>VALE JOSSELIN</t>
  </si>
  <si>
    <t>81</t>
  </si>
  <si>
    <t>JOSSELIN</t>
  </si>
  <si>
    <t>CUBRELUNETA</t>
  </si>
  <si>
    <t>87981</t>
  </si>
  <si>
    <t>27719</t>
  </si>
  <si>
    <t>FLETE AROSA</t>
  </si>
  <si>
    <t>857009</t>
  </si>
  <si>
    <t>1737</t>
  </si>
  <si>
    <t>RX3/DISYUNTOR</t>
  </si>
  <si>
    <t>6827776</t>
  </si>
  <si>
    <t>4878019</t>
  </si>
  <si>
    <t>NEUMATICOS AUTO JAIRO</t>
  </si>
  <si>
    <t>3153</t>
  </si>
  <si>
    <t>LUBRICENTER MACHINES</t>
  </si>
  <si>
    <t>PINZAS NATALIA</t>
  </si>
  <si>
    <t>5298759</t>
  </si>
  <si>
    <t>LUCES LED</t>
  </si>
  <si>
    <t>276202</t>
  </si>
  <si>
    <t>OFICINA VIRTUAL VILLYCAR</t>
  </si>
  <si>
    <t>1484</t>
  </si>
  <si>
    <t>JYV SERVICIOS</t>
  </si>
  <si>
    <t>COMPRA RADIO 7"</t>
  </si>
  <si>
    <t>20890635</t>
  </si>
  <si>
    <t>VINILO AZUL</t>
  </si>
  <si>
    <t>1000</t>
  </si>
  <si>
    <t>SKY PISTON</t>
  </si>
  <si>
    <t>REEMBOLSO LOGO MOINCO</t>
  </si>
  <si>
    <t>JOEL SOSA</t>
  </si>
  <si>
    <t>LAMINA DE SEGURIDAD</t>
  </si>
  <si>
    <t>COMPRA PANEL LED</t>
  </si>
  <si>
    <t>682213</t>
  </si>
  <si>
    <t>PARLANTES</t>
  </si>
  <si>
    <t>66287</t>
  </si>
  <si>
    <t>PROCAR AUDIO</t>
  </si>
  <si>
    <t>PAGO PATENTE MUNICIPAL</t>
  </si>
  <si>
    <t>MUNICIPALIDAD DE COPIAPO</t>
  </si>
  <si>
    <t>BANDERAS RECTANGULARES</t>
  </si>
  <si>
    <t>15032</t>
  </si>
  <si>
    <t>TENTEX</t>
  </si>
  <si>
    <t>BOTON AUTO</t>
  </si>
  <si>
    <t>75878415</t>
  </si>
  <si>
    <t>FANTA</t>
  </si>
  <si>
    <t>NEUMATICOS CAMIONETA HERMES</t>
  </si>
  <si>
    <t>304</t>
  </si>
  <si>
    <t>COMERCIAL VAS</t>
  </si>
  <si>
    <t>PORTACUÑAS Y RELAY</t>
  </si>
  <si>
    <t>27762</t>
  </si>
  <si>
    <t>CANALETA</t>
  </si>
  <si>
    <t>22443890</t>
  </si>
  <si>
    <t>AMPLIFICADORES</t>
  </si>
  <si>
    <t>1377</t>
  </si>
  <si>
    <t>PR COMERCIALIZADORA</t>
  </si>
  <si>
    <t>12022026</t>
  </si>
  <si>
    <t>VALE FERNANDO VILLALBA</t>
  </si>
  <si>
    <t>82</t>
  </si>
  <si>
    <t>FERNANDO VILLALBA</t>
  </si>
  <si>
    <t>LIJA</t>
  </si>
  <si>
    <t>31075</t>
  </si>
  <si>
    <t>SILICONA ALEJANDRO</t>
  </si>
  <si>
    <t xml:space="preserve">PROVEEDOR EXTERNO </t>
  </si>
  <si>
    <t>SUELDO YOSELIN</t>
  </si>
  <si>
    <t>YOSELIN</t>
  </si>
  <si>
    <t>CARLOS PIZARRO</t>
  </si>
  <si>
    <t>TARJETAS RPS</t>
  </si>
  <si>
    <t>50% REGISTRO DE MARCA J2 PUBLICIDAD</t>
  </si>
  <si>
    <t>CATALINA</t>
  </si>
  <si>
    <t>PERNOS</t>
  </si>
  <si>
    <t>18761</t>
  </si>
  <si>
    <t>LUIS SEPULVEDA</t>
  </si>
  <si>
    <t>TUERCAS</t>
  </si>
  <si>
    <t>18760</t>
  </si>
  <si>
    <t>1307058</t>
  </si>
  <si>
    <t>DEVOLUCION FLETE ANTOCARZ Y AUDIO</t>
  </si>
  <si>
    <t>9099</t>
  </si>
  <si>
    <t>9088</t>
  </si>
  <si>
    <t>9089</t>
  </si>
  <si>
    <t>SHAMPOO POLARIZADOS</t>
  </si>
  <si>
    <t>456372</t>
  </si>
  <si>
    <t>LIQUIMAX</t>
  </si>
  <si>
    <t>VALE SEBASTIAN</t>
  </si>
  <si>
    <t>SEBASTIAN ACOSTA</t>
  </si>
  <si>
    <t>PERNOS EDU</t>
  </si>
  <si>
    <t>TRABATUERCAS SOPORTE PERTIGA</t>
  </si>
  <si>
    <t>88065</t>
  </si>
  <si>
    <t>ALOE</t>
  </si>
  <si>
    <t>SERVICIO ALINEACION</t>
  </si>
  <si>
    <t>23142</t>
  </si>
  <si>
    <t>DYD</t>
  </si>
  <si>
    <t>SERVICIO DE ALINEACION</t>
  </si>
  <si>
    <t>PLANCHA MDF</t>
  </si>
  <si>
    <t>145547062</t>
  </si>
  <si>
    <t>SODIMAC</t>
  </si>
  <si>
    <t>MUCHACHO NEGRITO</t>
  </si>
  <si>
    <t>CARTONEROS LOVCAR</t>
  </si>
  <si>
    <t>LOVECAR</t>
  </si>
  <si>
    <t>VINILOS Y PRODUCTOS DETAILING</t>
  </si>
  <si>
    <t>260</t>
  </si>
  <si>
    <t>LOVCARS</t>
  </si>
  <si>
    <t>ABONO CAMARO</t>
  </si>
  <si>
    <t>ALEXIS DANILO</t>
  </si>
  <si>
    <t>BANDERAS</t>
  </si>
  <si>
    <t>15057</t>
  </si>
  <si>
    <t>ABONO  PLOTTER</t>
  </si>
  <si>
    <t>411719</t>
  </si>
  <si>
    <t>ABINGRAF</t>
  </si>
  <si>
    <t>GASTOS DE GERENCIA</t>
  </si>
  <si>
    <t>795615</t>
  </si>
  <si>
    <t>MAFA COMERCIAL SPA</t>
  </si>
  <si>
    <t>264307581</t>
  </si>
  <si>
    <t>85</t>
  </si>
  <si>
    <t>86</t>
  </si>
  <si>
    <t>87</t>
  </si>
  <si>
    <t>CUCHILLO CARTONERO</t>
  </si>
  <si>
    <t>21840</t>
  </si>
  <si>
    <t>ARQUIPUNTO</t>
  </si>
  <si>
    <t>ABONO ABINGRAF</t>
  </si>
  <si>
    <t>CINTAS DE ENMASCARAR</t>
  </si>
  <si>
    <t>25919</t>
  </si>
  <si>
    <t xml:space="preserve">COMERCIAL Y SERVICIOS CHRISTIAN </t>
  </si>
  <si>
    <t>COMPRA RCA MACHOS</t>
  </si>
  <si>
    <t>ALIEXPRESS</t>
  </si>
  <si>
    <t>PAGO ABINGRAF</t>
  </si>
  <si>
    <t>PAGO CHINOS</t>
  </si>
  <si>
    <t>CQM</t>
  </si>
  <si>
    <t>TINTAS PLOTER ROLAND</t>
  </si>
  <si>
    <t>422209</t>
  </si>
  <si>
    <t>INSUMOS DE ASEO</t>
  </si>
  <si>
    <t>79</t>
  </si>
  <si>
    <t>72</t>
  </si>
  <si>
    <t>ALARMAS</t>
  </si>
  <si>
    <t>66326</t>
  </si>
  <si>
    <t>VALE ALEJANDRO MINORTA</t>
  </si>
  <si>
    <t>89</t>
  </si>
  <si>
    <t>90</t>
  </si>
  <si>
    <t>CLIENTE</t>
  </si>
  <si>
    <t>SAN RAFAEL</t>
  </si>
  <si>
    <t>NUEVA COPIAPO</t>
  </si>
  <si>
    <t>VINILOS Y TELAS</t>
  </si>
  <si>
    <t>60413</t>
  </si>
  <si>
    <t>MICROGEO</t>
  </si>
  <si>
    <t>VALE ANGEL RESTREPOS</t>
  </si>
  <si>
    <t>91</t>
  </si>
  <si>
    <t>92</t>
  </si>
  <si>
    <t>VALE YOSSELIN TAPIA</t>
  </si>
  <si>
    <t>93</t>
  </si>
  <si>
    <t>YOSSELIN TAPIA</t>
  </si>
  <si>
    <t>23022026</t>
  </si>
  <si>
    <t>BONO FONASA ALEJANDRO</t>
  </si>
  <si>
    <t>16022026</t>
  </si>
  <si>
    <t>17022026</t>
  </si>
  <si>
    <t>18022026</t>
  </si>
  <si>
    <t>19022026</t>
  </si>
  <si>
    <t>20022026</t>
  </si>
  <si>
    <t>BERNIE</t>
  </si>
  <si>
    <t>HERMES</t>
  </si>
  <si>
    <t xml:space="preserve">FLETE BANDERAS </t>
  </si>
  <si>
    <t>15110</t>
  </si>
  <si>
    <t>ARRIENDO OFICINA VIRTUAL VILLYCAR TUNING</t>
  </si>
  <si>
    <t>INMOBILIARIA INVERSIONES</t>
  </si>
  <si>
    <t>TARJETAS VILLYCAR</t>
  </si>
  <si>
    <t>26123</t>
  </si>
  <si>
    <t>COMPRA DE PASTO</t>
  </si>
  <si>
    <t>COMPRA EXTERNA</t>
  </si>
  <si>
    <t>ARRIENDO ENERO ANGEL</t>
  </si>
  <si>
    <t>1688</t>
  </si>
  <si>
    <t xml:space="preserve">IVA FACTURA </t>
  </si>
  <si>
    <t>1689 Y 1690</t>
  </si>
  <si>
    <t>CAMBIO RUEDAS CAMION HERMES</t>
  </si>
  <si>
    <t>VULCA MOVIL</t>
  </si>
  <si>
    <t>INGRESOS DEL DIA</t>
  </si>
  <si>
    <t>EGRESOS DEL DIA</t>
  </si>
  <si>
    <t>FLETE ENVIO VINILO ANTOFAGASTA</t>
  </si>
  <si>
    <t>140282090</t>
  </si>
  <si>
    <t>83726001004</t>
  </si>
  <si>
    <t>BATERIA AUTO</t>
  </si>
  <si>
    <t>3479091</t>
  </si>
  <si>
    <t xml:space="preserve">BARRA INT MAXUS </t>
  </si>
  <si>
    <t>88145</t>
  </si>
  <si>
    <t>ANTONIO</t>
  </si>
  <si>
    <t>PERTIGAS Y PORTACUÑAS</t>
  </si>
  <si>
    <t>88146</t>
  </si>
  <si>
    <t>AGUA DESMINERALIZADA</t>
  </si>
  <si>
    <t>3460294</t>
  </si>
  <si>
    <t>43728</t>
  </si>
  <si>
    <t>SHELL</t>
  </si>
  <si>
    <t>SILLA-MICROHONDAS-CINTA ENMASCARAR</t>
  </si>
  <si>
    <t>818928540</t>
  </si>
  <si>
    <t>RESUMEN</t>
  </si>
  <si>
    <t>ABONO FRANCISCO OLMOS</t>
  </si>
  <si>
    <t>SUELDO JOEL SOSA</t>
  </si>
  <si>
    <t>ABONO JOSE RIVERA</t>
  </si>
  <si>
    <t>HOJAS BOND</t>
  </si>
  <si>
    <t xml:space="preserve">MARCADORES </t>
  </si>
  <si>
    <t>COPAO</t>
  </si>
  <si>
    <t>PAGO BANDERAS</t>
  </si>
  <si>
    <t>204998</t>
  </si>
  <si>
    <t>SUELDO JUNIOR</t>
  </si>
  <si>
    <t>300122026</t>
  </si>
  <si>
    <t>SUELDO DON FERS</t>
  </si>
  <si>
    <t>COMPRA PERFIL</t>
  </si>
  <si>
    <t>3660</t>
  </si>
  <si>
    <t>VIALUM</t>
  </si>
  <si>
    <t>SALIDA CAMPING</t>
  </si>
  <si>
    <t>SALIDA CAMPING X2</t>
  </si>
  <si>
    <t>PAPA ALEX</t>
  </si>
  <si>
    <t>CORTACORRIENTE</t>
  </si>
  <si>
    <t>VALE 77</t>
  </si>
  <si>
    <t>VALE 78</t>
  </si>
  <si>
    <t>VALE 79</t>
  </si>
  <si>
    <t>VALE 80</t>
  </si>
  <si>
    <t>VALE 81</t>
  </si>
  <si>
    <t>VALE 82</t>
  </si>
  <si>
    <t>VALE 84</t>
  </si>
  <si>
    <t>VALE 85</t>
  </si>
  <si>
    <t>VALE 86</t>
  </si>
  <si>
    <t>VALE 87</t>
  </si>
  <si>
    <t>VALE 89</t>
  </si>
  <si>
    <t>VALE 90</t>
  </si>
  <si>
    <t>VALE 91</t>
  </si>
  <si>
    <t>VALE 92</t>
  </si>
  <si>
    <t>VALE 93</t>
  </si>
  <si>
    <t>VALE 94</t>
  </si>
  <si>
    <t>VALE 95</t>
  </si>
  <si>
    <t>MARZO</t>
  </si>
  <si>
    <t>CUOTA 4 DE 12</t>
  </si>
  <si>
    <t>CUOTA 4 DE 18 CELULAR IPHONE</t>
  </si>
  <si>
    <t>VALE  CARLOS PIZARRO</t>
  </si>
  <si>
    <t>97</t>
  </si>
  <si>
    <t>PRESTAMO DAYRON VILLALBA</t>
  </si>
  <si>
    <t>02032026</t>
  </si>
  <si>
    <t>MARZO 026</t>
  </si>
  <si>
    <t>VICENTE HERMES</t>
  </si>
  <si>
    <t>01</t>
  </si>
  <si>
    <t>215277</t>
  </si>
  <si>
    <t>ALMAPACK</t>
  </si>
  <si>
    <t>REPUESTOS ELECTRICOS</t>
  </si>
  <si>
    <t>6849019</t>
  </si>
  <si>
    <t>TERMO ALEJANDRO</t>
  </si>
  <si>
    <t>ABONO TEMPLO DE LAS DIOSAS</t>
  </si>
  <si>
    <t>VALE SEBASTIAN ACOSTA</t>
  </si>
  <si>
    <t>03</t>
  </si>
  <si>
    <t>04</t>
  </si>
  <si>
    <t>COPIA DE LLAVES</t>
  </si>
  <si>
    <t>PENDI</t>
  </si>
  <si>
    <t>RETIROS PERSONALES</t>
  </si>
  <si>
    <t>JAIRO VILLALBA</t>
  </si>
  <si>
    <t>VALE 05</t>
  </si>
  <si>
    <t>DILUYENTE</t>
  </si>
  <si>
    <t>31259</t>
  </si>
  <si>
    <t>SEÑALERAS</t>
  </si>
  <si>
    <t>6392047</t>
  </si>
  <si>
    <t>TIRAS DE ANGULO</t>
  </si>
  <si>
    <t>3681</t>
  </si>
  <si>
    <t>NEUMATICOS</t>
  </si>
  <si>
    <t>4545</t>
  </si>
  <si>
    <t>CRONOS</t>
  </si>
  <si>
    <t>14449</t>
  </si>
  <si>
    <t>MARIA ANGELICA NARA</t>
  </si>
  <si>
    <t>14886</t>
  </si>
  <si>
    <t>ARAMCO</t>
  </si>
  <si>
    <t>INSUMOS CAMIONETA</t>
  </si>
  <si>
    <t>88842</t>
  </si>
  <si>
    <t>MOLDURAS</t>
  </si>
  <si>
    <t>145795842</t>
  </si>
  <si>
    <t>423673</t>
  </si>
  <si>
    <t>IVA FACT.1873</t>
  </si>
  <si>
    <t>VALE 06</t>
  </si>
  <si>
    <t>07</t>
  </si>
  <si>
    <t>VALE LUIS GARCIA</t>
  </si>
  <si>
    <t>05</t>
  </si>
  <si>
    <t>LUIS GARCIA</t>
  </si>
  <si>
    <t>CABLE</t>
  </si>
  <si>
    <t>6855098</t>
  </si>
  <si>
    <t>221153</t>
  </si>
  <si>
    <t>PROCAD</t>
  </si>
  <si>
    <t>FLETE PROCAD</t>
  </si>
  <si>
    <t>777700850932</t>
  </si>
  <si>
    <t>28135</t>
  </si>
  <si>
    <t xml:space="preserve"> MILIANS ISABEL OTAROLA</t>
  </si>
  <si>
    <t>BIDON BENCINA</t>
  </si>
  <si>
    <t>4949965</t>
  </si>
  <si>
    <t>COMPRA CINTA DOBLE</t>
  </si>
  <si>
    <t>CHINOS</t>
  </si>
  <si>
    <t>MEMBRESIA FREEPIK</t>
  </si>
  <si>
    <t>13979942</t>
  </si>
  <si>
    <t>FREEPIK</t>
  </si>
  <si>
    <t>14459</t>
  </si>
  <si>
    <t>13349179</t>
  </si>
  <si>
    <t>REEMBOLSO SEIN POR COBRO INCORRECTO</t>
  </si>
  <si>
    <t>SEIN</t>
  </si>
  <si>
    <t>EDUARDO</t>
  </si>
  <si>
    <t>SEBASTIAN DINERO COLOMBIA</t>
  </si>
  <si>
    <t>DINERO NATALIA</t>
  </si>
  <si>
    <t>VALE DANIEL DINERO MIGUEL</t>
  </si>
  <si>
    <t>118292</t>
  </si>
  <si>
    <t>AMARRAS PLASTICAS</t>
  </si>
  <si>
    <t>PROVEEDOR EXTERNO</t>
  </si>
  <si>
    <t>MONITOR FURGON</t>
  </si>
  <si>
    <t>1398</t>
  </si>
  <si>
    <t>RPM TUNING</t>
  </si>
  <si>
    <t>777700856702</t>
  </si>
  <si>
    <t>VINILO AMARILLO FLUOR</t>
  </si>
  <si>
    <t>20844</t>
  </si>
  <si>
    <t>ADHESIVOS Y MAGNETICOS</t>
  </si>
  <si>
    <t>20843</t>
  </si>
  <si>
    <t>1/16 GAL POLIESTER</t>
  </si>
  <si>
    <t>31275</t>
  </si>
  <si>
    <t>VALE DON FERNANDO</t>
  </si>
  <si>
    <t>09</t>
  </si>
  <si>
    <t>54542</t>
  </si>
  <si>
    <t>777700865512</t>
  </si>
  <si>
    <t>RETIRO PERSONAL DAYRON</t>
  </si>
  <si>
    <t>OTRAS TRANSFERENCIAS</t>
  </si>
  <si>
    <t>10</t>
  </si>
  <si>
    <t>TOALLA NOVA</t>
  </si>
  <si>
    <t>217135</t>
  </si>
  <si>
    <t>REPUESTOS</t>
  </si>
  <si>
    <t>28189</t>
  </si>
  <si>
    <t xml:space="preserve">VENTAS DEL DIA CON EFECTIVO </t>
  </si>
  <si>
    <t>24022026</t>
  </si>
  <si>
    <t>25022026</t>
  </si>
  <si>
    <t>26022026</t>
  </si>
  <si>
    <t>27022026</t>
  </si>
  <si>
    <t>13358403</t>
  </si>
  <si>
    <t>082126003774</t>
  </si>
  <si>
    <t>DIFERENCIA ROLLO LAMINA</t>
  </si>
  <si>
    <t>DEUDA CARRO</t>
  </si>
  <si>
    <t>AROMATIZANTE</t>
  </si>
  <si>
    <t>36254</t>
  </si>
  <si>
    <t>LIJAS</t>
  </si>
  <si>
    <t>14835</t>
  </si>
  <si>
    <t>04022026</t>
  </si>
  <si>
    <t>05022026</t>
  </si>
  <si>
    <t>07022026</t>
  </si>
  <si>
    <t>09022026</t>
  </si>
  <si>
    <t>10022026</t>
  </si>
  <si>
    <t>11022026</t>
  </si>
  <si>
    <t>13022026</t>
  </si>
  <si>
    <t>14022026</t>
  </si>
  <si>
    <t>21022026</t>
  </si>
  <si>
    <t>28022026</t>
  </si>
  <si>
    <t>PINTURA Y RODILLO</t>
  </si>
  <si>
    <t>44199971</t>
  </si>
  <si>
    <t>TRAPEROS Y CLORO</t>
  </si>
  <si>
    <t>461680</t>
  </si>
  <si>
    <t>BENCINA CHANGANG</t>
  </si>
  <si>
    <t>VILLYCAR</t>
  </si>
  <si>
    <t>TIMBRE</t>
  </si>
  <si>
    <t>494</t>
  </si>
  <si>
    <t>IMPRESION, GRABADOS</t>
  </si>
  <si>
    <t>185155</t>
  </si>
  <si>
    <t>RESSITENCIAS</t>
  </si>
  <si>
    <t>14502</t>
  </si>
  <si>
    <t>ALUCOM</t>
  </si>
  <si>
    <t>424958</t>
  </si>
  <si>
    <t>TROVICEL</t>
  </si>
  <si>
    <t>424846</t>
  </si>
  <si>
    <t>TINTAS</t>
  </si>
  <si>
    <t>424776</t>
  </si>
  <si>
    <t>14</t>
  </si>
  <si>
    <t>VALE  CESAR LOPEZ</t>
  </si>
  <si>
    <t>VALE 14</t>
  </si>
  <si>
    <t>AMPOLLETA</t>
  </si>
  <si>
    <t>1388</t>
  </si>
  <si>
    <t>PIAZZOLI</t>
  </si>
  <si>
    <t>PERMISO CIRCULACION  Y OTRO</t>
  </si>
  <si>
    <t>VALE 15</t>
  </si>
  <si>
    <t>VALE JUNIOR DINERO ENTREGADO POR JAIRO</t>
  </si>
  <si>
    <t>15</t>
  </si>
  <si>
    <t>VALE JHOSSELIN</t>
  </si>
  <si>
    <t>16</t>
  </si>
  <si>
    <t>JHOSSELIN</t>
  </si>
  <si>
    <t>ABONO</t>
  </si>
  <si>
    <t>SALDOS A LA FECHA</t>
  </si>
  <si>
    <t>REFLECTANTE</t>
  </si>
  <si>
    <t>TECLADO</t>
  </si>
  <si>
    <t>VIAJE SANTIAGO</t>
  </si>
  <si>
    <t>PLANCHAS ABONGRAF</t>
  </si>
  <si>
    <t>SEGUROS Y PC CAMARO</t>
  </si>
  <si>
    <t>PC HAVAL</t>
  </si>
  <si>
    <t>KIT DE TINTAS ROLAND</t>
  </si>
  <si>
    <t>LUZ Y JOEL</t>
  </si>
  <si>
    <t>PAGO DEBITO</t>
  </si>
  <si>
    <t>PATAGONIA FACT 1842</t>
  </si>
  <si>
    <t>PATAGONIA FACT 1843</t>
  </si>
  <si>
    <t>ROBERTO</t>
  </si>
  <si>
    <t>WARNER 3 CAMIONETAS</t>
  </si>
  <si>
    <t>PRESTAMO 24-03-2026</t>
  </si>
  <si>
    <t>PAGO WOM CESAR</t>
  </si>
  <si>
    <t>PAGO FUNERARIA</t>
  </si>
  <si>
    <t>1660</t>
  </si>
  <si>
    <t>1771</t>
  </si>
  <si>
    <t>VALE 18</t>
  </si>
  <si>
    <t>19</t>
  </si>
  <si>
    <t>VALE 11</t>
  </si>
  <si>
    <t>HELADOS</t>
  </si>
  <si>
    <t>VINILOS VEHICULARES</t>
  </si>
  <si>
    <t>282</t>
  </si>
  <si>
    <t>LOVCAR</t>
  </si>
  <si>
    <t>185519</t>
  </si>
  <si>
    <t>ENCOMIENDA LOVCAR</t>
  </si>
  <si>
    <t>266895021</t>
  </si>
  <si>
    <t>1 BIDON DE BENCINA</t>
  </si>
  <si>
    <t>185414</t>
  </si>
  <si>
    <t>CABLE DP PC MIGUEL</t>
  </si>
  <si>
    <t>5534974</t>
  </si>
  <si>
    <t>PC FACTORY</t>
  </si>
  <si>
    <t>265872947</t>
  </si>
  <si>
    <t>ALIENACION Y BALANCEO</t>
  </si>
  <si>
    <t>9916</t>
  </si>
  <si>
    <t xml:space="preserve">KIRBY JEAN GUZMAN ALVARADO </t>
  </si>
  <si>
    <t>PREVIRED FEBRERO</t>
  </si>
  <si>
    <t>ARRIENDO MES DE MARZO</t>
  </si>
  <si>
    <t>6327488154</t>
  </si>
  <si>
    <t>PROYECTO AGUA ALCANTARILLADO</t>
  </si>
  <si>
    <t>2455000</t>
  </si>
  <si>
    <t>ALFONSO ENRIQUE SILVA SANCHEZ</t>
  </si>
  <si>
    <t>POLERAS</t>
  </si>
  <si>
    <t>RICARDO</t>
  </si>
  <si>
    <t>14892</t>
  </si>
  <si>
    <t>PAGO CSI</t>
  </si>
  <si>
    <t>CUCHILLAS</t>
  </si>
  <si>
    <t>53850</t>
  </si>
  <si>
    <t>MANTENCION CNC</t>
  </si>
  <si>
    <t>LUIS LOPEZ</t>
  </si>
  <si>
    <t>VALE 12</t>
  </si>
  <si>
    <t>VALE 13</t>
  </si>
  <si>
    <t>VALE 19</t>
  </si>
  <si>
    <t>CUOTA 4 DE 5 (500.000)</t>
  </si>
  <si>
    <t>CUOTA 5 DE 9 PRESTAMO</t>
  </si>
  <si>
    <t>TERMO</t>
  </si>
  <si>
    <t>CUOTA FINAL PRESTAMO DE 500.000</t>
  </si>
  <si>
    <t>ARRIENDO MARZO</t>
  </si>
  <si>
    <t>MAQUINA DE CAFE</t>
  </si>
  <si>
    <t>57777</t>
  </si>
  <si>
    <t>COMERCIAL MOYA</t>
  </si>
  <si>
    <t>219977</t>
  </si>
  <si>
    <t>INSUMOS PARAMAQUINA DE CAFE</t>
  </si>
  <si>
    <t>57778</t>
  </si>
  <si>
    <t>777700903592</t>
  </si>
  <si>
    <t>21096</t>
  </si>
  <si>
    <t>ABRIL</t>
  </si>
  <si>
    <t>777700863484</t>
  </si>
  <si>
    <t>FLETE DPG</t>
  </si>
  <si>
    <t>BENCINA</t>
  </si>
  <si>
    <t>373838</t>
  </si>
  <si>
    <t>ESTACION DE SERVICIOS EL VALLE</t>
  </si>
  <si>
    <t>227805</t>
  </si>
  <si>
    <t>ENEX</t>
  </si>
  <si>
    <t>183824</t>
  </si>
  <si>
    <t>SUELDO CARLOS PIZARRO</t>
  </si>
  <si>
    <t>31032026</t>
  </si>
  <si>
    <t>SUELDO MARZO</t>
  </si>
  <si>
    <t>SUELDO JOSSELIN</t>
  </si>
  <si>
    <t xml:space="preserve">SUELDO ALEJANDRO </t>
  </si>
  <si>
    <t>SUELDO ALEJANDRO</t>
  </si>
  <si>
    <t>SUELDO SEBASTIAN</t>
  </si>
  <si>
    <t>SUELDO DANIEL MONO</t>
  </si>
  <si>
    <t>22</t>
  </si>
  <si>
    <t>23</t>
  </si>
  <si>
    <t>SUELDO DON FER</t>
  </si>
  <si>
    <t>SUELDO CRISTIAN VELEZ</t>
  </si>
  <si>
    <t>ABONO INGENIERIA HIDRAULICA</t>
  </si>
  <si>
    <t>1775</t>
  </si>
  <si>
    <t>PROYECTO AGUA</t>
  </si>
  <si>
    <t>ALFONSO ENRIQUE SILVA</t>
  </si>
  <si>
    <t>ARRIENDO ABRIL 2026</t>
  </si>
  <si>
    <t>COMPRA INSUMOS</t>
  </si>
  <si>
    <t>20344</t>
  </si>
  <si>
    <t>ARRIENDO ANGEL RESTREPOS</t>
  </si>
  <si>
    <t>TUBERIA CASA JAIRO</t>
  </si>
  <si>
    <t>ABONO RYR</t>
  </si>
  <si>
    <t>1778</t>
  </si>
  <si>
    <t>ABONO DHARMA</t>
  </si>
  <si>
    <t>8931</t>
  </si>
  <si>
    <t xml:space="preserve">PRESTAMO </t>
  </si>
  <si>
    <t>COMPRA RELAYS</t>
  </si>
  <si>
    <t>ABONO TECRAPOL</t>
  </si>
  <si>
    <t>1698</t>
  </si>
  <si>
    <t>ABONO INVERSIONES ALONSO</t>
  </si>
  <si>
    <t>1781</t>
  </si>
  <si>
    <t>1692</t>
  </si>
  <si>
    <t>COMPRA TRABAVOLANTE</t>
  </si>
  <si>
    <t>ABONO BITUMIX</t>
  </si>
  <si>
    <t>1670</t>
  </si>
  <si>
    <t>FLETE PLOTER</t>
  </si>
  <si>
    <t>860027</t>
  </si>
  <si>
    <t>1782</t>
  </si>
  <si>
    <t>ADAPTADORES H7</t>
  </si>
  <si>
    <t>25900241</t>
  </si>
  <si>
    <t>RUEDA VEHICULO HERMES</t>
  </si>
  <si>
    <t>6401536</t>
  </si>
  <si>
    <t>ABONO CAROLINA BARRERA</t>
  </si>
  <si>
    <t>PADRON AUTO JAIRO</t>
  </si>
  <si>
    <t>REGISTRO CIVIL</t>
  </si>
  <si>
    <t>ABONO  FELIPE DEL TRANSITO VEAS</t>
  </si>
  <si>
    <t>288</t>
  </si>
  <si>
    <t>CAFÉ</t>
  </si>
  <si>
    <t>122102</t>
  </si>
  <si>
    <t>COMISIONES CERRADAS FEBRERO</t>
  </si>
  <si>
    <t>CONSTRUCTORA BOL</t>
  </si>
  <si>
    <t>FLETE PR</t>
  </si>
  <si>
    <t>82126005267</t>
  </si>
  <si>
    <t>VARMONT</t>
  </si>
  <si>
    <t>INSUMOS PR</t>
  </si>
  <si>
    <t>1632</t>
  </si>
  <si>
    <t>186958</t>
  </si>
  <si>
    <t>TOALLA DE PAPEL</t>
  </si>
  <si>
    <t>220884</t>
  </si>
  <si>
    <t>PAÑOS</t>
  </si>
  <si>
    <t>31502</t>
  </si>
  <si>
    <t>24</t>
  </si>
  <si>
    <t>SALIDAS EN EFECTIVO</t>
  </si>
  <si>
    <t>CHANGAN</t>
  </si>
  <si>
    <t>MAQUINA</t>
  </si>
  <si>
    <t>JOEL Y LUZ</t>
  </si>
  <si>
    <t>IMPOSICIONES</t>
  </si>
  <si>
    <t>ABONO FACT BITUMIX</t>
  </si>
  <si>
    <t>11042026</t>
  </si>
  <si>
    <t>10042026</t>
  </si>
  <si>
    <t>09042026</t>
  </si>
  <si>
    <t>08042026</t>
  </si>
  <si>
    <t>07042026</t>
  </si>
  <si>
    <t>06042026</t>
  </si>
  <si>
    <t>02042026</t>
  </si>
  <si>
    <t>01042026</t>
  </si>
  <si>
    <t>RETIRO PERSONAL JAIRO</t>
  </si>
  <si>
    <t>ABONO HUGO CARDENAS</t>
  </si>
  <si>
    <t>COMPRA CAMBUS ANTOCARZ</t>
  </si>
  <si>
    <t>ANTOCARS</t>
  </si>
  <si>
    <t>PRESTAMO DWORK</t>
  </si>
  <si>
    <t>DWORK</t>
  </si>
  <si>
    <t>INSUMOS LOVCAR</t>
  </si>
  <si>
    <t>268</t>
  </si>
  <si>
    <t>RENOVACION DOMINIO VILLYCAR</t>
  </si>
  <si>
    <t>HOSTINGER</t>
  </si>
  <si>
    <t>OFICINA VIRTUAL FEBRERO VILLYCAR</t>
  </si>
  <si>
    <t>1511</t>
  </si>
  <si>
    <t>JYV</t>
  </si>
  <si>
    <t>ABONO MILITZA GARCIA</t>
  </si>
  <si>
    <t>ABONO TILSECO</t>
  </si>
  <si>
    <t>1795</t>
  </si>
  <si>
    <t>EGRESOS</t>
  </si>
  <si>
    <t>COMPRA PORTACUÑAS</t>
  </si>
  <si>
    <t>IVA DWORK ENERO 2026</t>
  </si>
  <si>
    <t>CABLE DE RED IMPRESORA</t>
  </si>
  <si>
    <t>PAGO MECANICO JAIRO</t>
  </si>
  <si>
    <t>MIGUEL HERNANDEZ</t>
  </si>
  <si>
    <t>ABONO ECONORENT</t>
  </si>
  <si>
    <t>1714</t>
  </si>
  <si>
    <t>1715</t>
  </si>
  <si>
    <t>1716</t>
  </si>
  <si>
    <t>ABONO KAUFMANN</t>
  </si>
  <si>
    <t>1717</t>
  </si>
  <si>
    <t>ABONO SANCHEZ Y SANCHEZ COMPAÑÍA</t>
  </si>
  <si>
    <t>COMPRA GPS</t>
  </si>
  <si>
    <t>4656</t>
  </si>
  <si>
    <t>ARRIENDO ABRIL</t>
  </si>
  <si>
    <t>CUOTA 6 DE 9 PRESTAMO</t>
  </si>
  <si>
    <t>CUOTA 5 DE 5 (500.000)</t>
  </si>
  <si>
    <t>CUOTA 5 DE 12</t>
  </si>
  <si>
    <t>CUOTA 5 DE 18 CELULAR IPHONE</t>
  </si>
  <si>
    <t>VALE JUNIOR (TRANSFERENCIA TRAMICOP)</t>
  </si>
  <si>
    <t>COMIDA PERRO</t>
  </si>
  <si>
    <t>2307393249</t>
  </si>
  <si>
    <t>UNIMARC</t>
  </si>
  <si>
    <t>ABRAZADERAS</t>
  </si>
  <si>
    <t>63683</t>
  </si>
  <si>
    <t>COMERCIAL PRODECO</t>
  </si>
  <si>
    <t>31</t>
  </si>
  <si>
    <t>PRESTAMO EN EFECTIVO</t>
  </si>
  <si>
    <t>DINERO PARA DON FER</t>
  </si>
  <si>
    <t>COMPRA LLAVEROS</t>
  </si>
  <si>
    <t>32</t>
  </si>
  <si>
    <t>VALE 32 (TRANSFERENCIA)</t>
  </si>
  <si>
    <t>VALE 33 (EFECTIVO)</t>
  </si>
  <si>
    <t>33</t>
  </si>
  <si>
    <t>ABONO ROBERTO</t>
  </si>
  <si>
    <t>VUELTO CLIENTE</t>
  </si>
  <si>
    <t>34</t>
  </si>
  <si>
    <t>GASTOS JEFE</t>
  </si>
  <si>
    <t>6949538</t>
  </si>
  <si>
    <t>35</t>
  </si>
  <si>
    <t>INSUMOS POLARIZADO</t>
  </si>
  <si>
    <t>55070</t>
  </si>
  <si>
    <t>INSUMOS GRAFICOS</t>
  </si>
  <si>
    <t>153817</t>
  </si>
  <si>
    <t>36</t>
  </si>
  <si>
    <t>37</t>
  </si>
  <si>
    <t>VALE ANGEL RESTREPO</t>
  </si>
  <si>
    <t>38</t>
  </si>
  <si>
    <t>ANGEL RESTREPO</t>
  </si>
  <si>
    <t>INSUMOS INTERFILM</t>
  </si>
  <si>
    <t>7777700965377</t>
  </si>
  <si>
    <t>FLETE ENVIO PR AUDIO</t>
  </si>
  <si>
    <t>13415997</t>
  </si>
  <si>
    <t>98</t>
  </si>
  <si>
    <t>99</t>
  </si>
  <si>
    <t>PRESTAMO JHON DAYRON</t>
  </si>
  <si>
    <t>DINERO PARA GRABIEL</t>
  </si>
  <si>
    <t>GABRIEL</t>
  </si>
  <si>
    <t>REEMBOLSOS CLIENTES EN EFECTIVO</t>
  </si>
  <si>
    <t>RODRIGO FLORES</t>
  </si>
  <si>
    <t>REEMBOLSO CLIENTE CON TRANSFERENCIA</t>
  </si>
  <si>
    <t>NAVEAS</t>
  </si>
  <si>
    <t>INSUMOS VARIOS OFICINA</t>
  </si>
  <si>
    <t>26940</t>
  </si>
  <si>
    <t>DEVOLUCION CLIENTE</t>
  </si>
  <si>
    <t>CLIENTE MOTO</t>
  </si>
  <si>
    <t>COMPRA LEDS</t>
  </si>
  <si>
    <t>TIENDA CHINA</t>
  </si>
  <si>
    <t>TRANSFERENCIA SLABON</t>
  </si>
  <si>
    <t>LAMPARA POLARIZADOS</t>
  </si>
  <si>
    <t>TRANSFERENCIA MILITZA</t>
  </si>
  <si>
    <t>PAGO PATENTE VILLYCAR</t>
  </si>
  <si>
    <t>ENVIOS ANTOCARS Y PR</t>
  </si>
  <si>
    <t>ABONO CARABINEROS</t>
  </si>
  <si>
    <t>1962</t>
  </si>
  <si>
    <t>1925</t>
  </si>
  <si>
    <t>1930</t>
  </si>
  <si>
    <t>ABONO CLIENTA ACRILICO</t>
  </si>
  <si>
    <t>BALIZA</t>
  </si>
  <si>
    <t>6534246</t>
  </si>
  <si>
    <t>ABONO NOVACLEAN</t>
  </si>
  <si>
    <t>1999</t>
  </si>
  <si>
    <t>OTROS INSUMOS</t>
  </si>
  <si>
    <t>22671963</t>
  </si>
  <si>
    <t>COMPRA ML</t>
  </si>
  <si>
    <t>DEVOLUCION FLETES</t>
  </si>
  <si>
    <t>262380</t>
  </si>
  <si>
    <t>REEMBOLSO GASTOS GERENCIA</t>
  </si>
  <si>
    <t>NATRALIA DURAN</t>
  </si>
  <si>
    <t>1740 // 1749</t>
  </si>
  <si>
    <t>ABONO NAVEA</t>
  </si>
  <si>
    <t>LAMPARA LED PARA POLARIZADOS</t>
  </si>
  <si>
    <t>COMPRA COMERCIAL PROCAR</t>
  </si>
  <si>
    <t>66752</t>
  </si>
  <si>
    <t>COMERCIAL PROCAR</t>
  </si>
  <si>
    <t>PAGO GRUAS DE HERMES</t>
  </si>
  <si>
    <t>TOLEDO SEGURA</t>
  </si>
  <si>
    <t>ABONO VITALMED</t>
  </si>
  <si>
    <t>ABONO CLIENTE</t>
  </si>
  <si>
    <t>ABONO ELIAS NICOLAS</t>
  </si>
  <si>
    <t>1751</t>
  </si>
  <si>
    <t>1758</t>
  </si>
  <si>
    <t>OTROS ABONOS</t>
  </si>
  <si>
    <t>ABONO GRANDLEASING</t>
  </si>
  <si>
    <t>1767</t>
  </si>
  <si>
    <t xml:space="preserve">RETIRO PERSONAL </t>
  </si>
  <si>
    <t>ALEXIS DANILO PALMA</t>
  </si>
  <si>
    <t>FONASA</t>
  </si>
  <si>
    <t>ABONO NUEVA COPIAPO</t>
  </si>
  <si>
    <t>1850</t>
  </si>
  <si>
    <t>ABONO CONTRUCCIONES METALICAS</t>
  </si>
  <si>
    <t>1834</t>
  </si>
  <si>
    <t>PAGO A COMILLA SIMPLE</t>
  </si>
  <si>
    <t>COMILLA SIMPLE</t>
  </si>
  <si>
    <t>ABONO CLIENTA PALOMA</t>
  </si>
  <si>
    <t>ABONO RID INGENIERIA</t>
  </si>
  <si>
    <t>ABONO JUAN FERNANDO FIGUEROA</t>
  </si>
  <si>
    <t>ABONO EQUIPMENT ENGINEERING</t>
  </si>
  <si>
    <t>1824</t>
  </si>
  <si>
    <t>FLETE</t>
  </si>
  <si>
    <t>ABONO ETYCA</t>
  </si>
  <si>
    <t>ABONO VINILO</t>
  </si>
  <si>
    <t>ABONO MABEL ALEJANDRA RIOS</t>
  </si>
  <si>
    <t>SOCIEDAD GALLEGUILLOS</t>
  </si>
  <si>
    <t>GERENCIA</t>
  </si>
  <si>
    <t>ENCOMIENTA PR</t>
  </si>
  <si>
    <t>COMPRA INSUMOS ALIEXPRESS</t>
  </si>
  <si>
    <t>COMPPRA SODIMAC</t>
  </si>
  <si>
    <t>PAGO MARTES 13</t>
  </si>
  <si>
    <t>MARTES 13</t>
  </si>
  <si>
    <t>REFRI ANGEL</t>
  </si>
  <si>
    <t>MADEMSA</t>
  </si>
  <si>
    <t>152420</t>
  </si>
  <si>
    <t>COMPRA SOCADIN</t>
  </si>
  <si>
    <t>87852</t>
  </si>
  <si>
    <t>FLETE PDQ</t>
  </si>
  <si>
    <t>859866</t>
  </si>
  <si>
    <t>PAGO TRABAJOS PECAS</t>
  </si>
  <si>
    <t>LUIS CHONA</t>
  </si>
  <si>
    <t>SANTANDER CONSUMER</t>
  </si>
  <si>
    <t>CAPACITACION PLOTTER</t>
  </si>
  <si>
    <t>COMPRA EQUIPMENT CHILE</t>
  </si>
  <si>
    <t>EQUIPMENT CHILE</t>
  </si>
  <si>
    <t>INSUMOS EQUIPAMIENTO</t>
  </si>
  <si>
    <t>87748</t>
  </si>
  <si>
    <t>TRANSFERENCIA SOLUCIONES GLOBALES</t>
  </si>
  <si>
    <t>SUELDO MIGUEL</t>
  </si>
  <si>
    <t>SUELDO CARLOS</t>
  </si>
  <si>
    <t>SUELDO CESAR</t>
  </si>
  <si>
    <t>SUELDO JHOSSELIN</t>
  </si>
  <si>
    <t>PPM J2</t>
  </si>
  <si>
    <t>IVA MARZO J2</t>
  </si>
  <si>
    <t>30032026</t>
  </si>
  <si>
    <t>AJUSTE SALIDAS EN EFECTIVO</t>
  </si>
  <si>
    <t>AJUSTE</t>
  </si>
  <si>
    <t>COMPRA MERCADO LIBRE</t>
  </si>
  <si>
    <t>PLOTTERS DE CORTE</t>
  </si>
  <si>
    <t>223215</t>
  </si>
  <si>
    <t>777700992696</t>
  </si>
  <si>
    <t>44</t>
  </si>
  <si>
    <t>BROCHES PLASTICOS</t>
  </si>
  <si>
    <t>28907</t>
  </si>
  <si>
    <t>LACAS</t>
  </si>
  <si>
    <t>31671</t>
  </si>
  <si>
    <t>DINERO ENTREGADO A RICARDO</t>
  </si>
  <si>
    <t>MERIENDA</t>
  </si>
  <si>
    <t>GLORIA DULCE</t>
  </si>
  <si>
    <t>OC 10283</t>
  </si>
  <si>
    <t>COMISIONES NUEVAS MAYO</t>
  </si>
  <si>
    <t>COMISIONES CERRADAS MARZO</t>
  </si>
  <si>
    <t>46</t>
  </si>
  <si>
    <t>VALE 98</t>
  </si>
  <si>
    <t>VALE 99</t>
  </si>
  <si>
    <t>VALE 25 (TRANSFERENCIA)</t>
  </si>
  <si>
    <t>VALE 28 (TRANSFERENCIA)</t>
  </si>
  <si>
    <t>VALE 30 (TRANSFERENCIA)</t>
  </si>
  <si>
    <t xml:space="preserve">VALE 35 </t>
  </si>
  <si>
    <t>VALE 40</t>
  </si>
  <si>
    <t>VALE 43 (TRANSFERENCIA)</t>
  </si>
  <si>
    <t>VALE 46 (EFECTIVO)</t>
  </si>
  <si>
    <t>TRASPASO MOTO</t>
  </si>
  <si>
    <t>DOCUMENTACION VEHICULO</t>
  </si>
  <si>
    <t>RASPADOR</t>
  </si>
  <si>
    <t>PLANILLA DE CALCULO</t>
  </si>
  <si>
    <t>VALE 47 (DINERO ENTREGADO POR JAIRO)</t>
  </si>
  <si>
    <t>VINILO</t>
  </si>
  <si>
    <t>MAYO</t>
  </si>
  <si>
    <t>AUTO CUOTA 2 DE 6</t>
  </si>
  <si>
    <t>SALDO MES ABRIL</t>
  </si>
  <si>
    <t>ABONO CUOTA 2</t>
  </si>
  <si>
    <t>FLETE DE NATALIA</t>
  </si>
  <si>
    <t>FLETE EXTERNO</t>
  </si>
  <si>
    <t>SUELDO EN EFECTIVO CESAR</t>
  </si>
  <si>
    <t>SUELDO EN EFECTIVO SEBASTIAN</t>
  </si>
  <si>
    <t>48</t>
  </si>
  <si>
    <t>28962</t>
  </si>
  <si>
    <t>PATENTE MUNICIPAL</t>
  </si>
  <si>
    <t>4298</t>
  </si>
  <si>
    <t>GASTOS JAIRO</t>
  </si>
  <si>
    <t>50</t>
  </si>
  <si>
    <t>111269</t>
  </si>
  <si>
    <t>SILICONA</t>
  </si>
  <si>
    <t>29055</t>
  </si>
  <si>
    <t>BUS PARTICULAR</t>
  </si>
  <si>
    <t>ENVIO BUS LUIS</t>
  </si>
  <si>
    <t>PREVIRED DWORK CESAR</t>
  </si>
  <si>
    <t>PREVIRED TRABAJADORES J2</t>
  </si>
  <si>
    <t>51</t>
  </si>
  <si>
    <t>COMISIONES CERRADAS ABRIL</t>
  </si>
  <si>
    <t>VALE 52 (TRANSFERENCIA)</t>
  </si>
  <si>
    <t xml:space="preserve">VALE </t>
  </si>
  <si>
    <t>DINERO ENTREGADO POR JAIRO</t>
  </si>
  <si>
    <t>53</t>
  </si>
  <si>
    <t>VALE CRISTIAN</t>
  </si>
  <si>
    <t>54</t>
  </si>
  <si>
    <t>FLETE ANTOCARS</t>
  </si>
  <si>
    <t>VALE CESAR EFECTIVO (EMERGENCIA HOSPITAL)</t>
  </si>
  <si>
    <t xml:space="preserve">3 METROS DE PERFIL </t>
  </si>
  <si>
    <t>65942</t>
  </si>
  <si>
    <t>1 METRO DE PERFIL</t>
  </si>
  <si>
    <t>65953</t>
  </si>
  <si>
    <t>REVISION TECNICA</t>
  </si>
  <si>
    <t>200704</t>
  </si>
  <si>
    <t>55</t>
  </si>
  <si>
    <t>56</t>
  </si>
  <si>
    <t>PAGO  INSUMOS DON FER</t>
  </si>
  <si>
    <t>16074</t>
  </si>
  <si>
    <t>TERRONES Y TERRONES</t>
  </si>
  <si>
    <t>2 DISPENSADORES</t>
  </si>
  <si>
    <t>MICROHONDAS</t>
  </si>
  <si>
    <t>HORNO</t>
  </si>
  <si>
    <t>REFRIGERADOR</t>
  </si>
  <si>
    <t>8 SILLAS</t>
  </si>
  <si>
    <t>5 MONITORES</t>
  </si>
  <si>
    <t>IMPRESORA MULTI EPSON SONNEDIX</t>
  </si>
  <si>
    <t>SILLAS NEW CHICAGO</t>
  </si>
  <si>
    <t>MINI PC HP SONNEDIX</t>
  </si>
  <si>
    <t>CAFETERA SONNEDIX</t>
  </si>
  <si>
    <t>PERTIGA Y BALIZA</t>
  </si>
  <si>
    <t>2102</t>
  </si>
  <si>
    <t>VALE CESAR (TRANSFERENCIA)</t>
  </si>
  <si>
    <t>VALE 59 (ENTREGADO POR JAIRO)</t>
  </si>
  <si>
    <t>VALE 58 (ENTREGADO POR JAIRO)</t>
  </si>
  <si>
    <t>VALE 57 (ENTREGADO POR JAIRO)</t>
  </si>
  <si>
    <t>1072525</t>
  </si>
  <si>
    <t>ANTALIS</t>
  </si>
  <si>
    <t>TECALAN Y MANGUERA</t>
  </si>
  <si>
    <t>39667</t>
  </si>
  <si>
    <t>BALATAS BORDOLI</t>
  </si>
  <si>
    <t>222851</t>
  </si>
  <si>
    <t>TINTA ROLAND</t>
  </si>
  <si>
    <t>427501</t>
  </si>
  <si>
    <t>VENTAS DEL MES CON TARJETA</t>
  </si>
  <si>
    <t>032026</t>
  </si>
  <si>
    <t>BENCINA VILLY MOVIL</t>
  </si>
  <si>
    <t>187428</t>
  </si>
  <si>
    <t>INTGERRUPTOR</t>
  </si>
  <si>
    <t>2553</t>
  </si>
  <si>
    <t>VICENCIO ELECTRONICA</t>
  </si>
  <si>
    <t>BOCINA</t>
  </si>
  <si>
    <t>28881</t>
  </si>
  <si>
    <t>BOCINA RETROCESO</t>
  </si>
  <si>
    <t>29251</t>
  </si>
  <si>
    <t>PERFILES ALUMINIO</t>
  </si>
  <si>
    <t>3877</t>
  </si>
  <si>
    <t>SERVAL</t>
  </si>
  <si>
    <t>BANCO ESTADO J2</t>
  </si>
  <si>
    <t>BANCO DE CHILE J2</t>
  </si>
  <si>
    <t>BANCO DE CHILE VILLYCAR</t>
  </si>
  <si>
    <t>ENCOMIENDA AMERICAN FILMS</t>
  </si>
  <si>
    <t>777701064866</t>
  </si>
  <si>
    <t>67</t>
  </si>
  <si>
    <t>TINTAS Y VINILOS</t>
  </si>
  <si>
    <t>DINERO EFECTIVO ENCOMIENDA</t>
  </si>
  <si>
    <t>PRESTAMO DWORK POR ENCOMIENDA</t>
  </si>
  <si>
    <t>SIN MOVIMIENTO</t>
  </si>
  <si>
    <t>ABONO PATAGONIA FACT 2055</t>
  </si>
  <si>
    <t>BITUMIX FACT 1974</t>
  </si>
  <si>
    <t>PATAGONIA FACT 2050</t>
  </si>
  <si>
    <t>ETYCA</t>
  </si>
  <si>
    <t>TILSECO BORDADOS</t>
  </si>
  <si>
    <t>STAND BARBARA</t>
  </si>
  <si>
    <t>PENDIENTE PARA J2</t>
  </si>
  <si>
    <t>PATAGONIA</t>
  </si>
  <si>
    <t>VALE 49 (TRAMICOP)</t>
  </si>
  <si>
    <t>VALE 68</t>
  </si>
  <si>
    <t>CUOTA 6 DE 12</t>
  </si>
  <si>
    <t>CUOTA 6 DE 18 CELULAR IPHONE</t>
  </si>
  <si>
    <t>VALE 69 (TRAMICOP)</t>
  </si>
  <si>
    <t>VALE (PAGO A DON PEDRO CHORIZO)</t>
  </si>
  <si>
    <t>JUNIO</t>
  </si>
  <si>
    <t>PAGO VULCA</t>
  </si>
  <si>
    <t>VULCAMOVIL</t>
  </si>
  <si>
    <t>EFECTIVO ENTREGADO A YULI</t>
  </si>
  <si>
    <t>YULI GARCIA</t>
  </si>
  <si>
    <t>02062026EE</t>
  </si>
  <si>
    <t>BALIZAS AMBAR</t>
  </si>
  <si>
    <t>2239</t>
  </si>
  <si>
    <t>32030</t>
  </si>
  <si>
    <t>PARA PAGO DE MOVIMIENTO CARRERA PINTO</t>
  </si>
  <si>
    <t>777701094061</t>
  </si>
  <si>
    <t>PRESTAMO JHON VILLALBA</t>
  </si>
  <si>
    <t>JHON VILLALBA</t>
  </si>
  <si>
    <t>PAGOS A NAVEAS</t>
  </si>
  <si>
    <t>55538</t>
  </si>
  <si>
    <t>MDF</t>
  </si>
  <si>
    <t>22787365</t>
  </si>
  <si>
    <t>PAGO ANTOCARS BISEL Y ARNES</t>
  </si>
  <si>
    <t>ABONO DESCONOCIDO</t>
  </si>
  <si>
    <t>PAGO IVA J2 PUBLICIDAD</t>
  </si>
  <si>
    <t>ABONO FISCALIA FACT 2034</t>
  </si>
  <si>
    <t>COMPRA PANTALLAS A EDWIN ARRRIAGADA</t>
  </si>
  <si>
    <t>PAGO FLETE PROCAR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</si>
</sst>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XDR&quot;\ * #,##0_-;\-&quot;XDR&quot;\ * #,##0_-;_-&quot;XDR&quot;\ * &quot;-&quot;??_-;_-@_-"/>
    <numFmt numFmtId="165" formatCode="_ [$$-340A]* #,##0_ ;_ [$$-340A]* \-#,##0_ ;_ [$$-340A]* &quot;-&quot;_ ;_ @_ "/>
    <numFmt numFmtId="166" formatCode="_ [$$-340A]* #,##0_ ;_ [$$-340A]* \-#,##0_ ;_ [$$-340A]* &quot;-&quot;??_ ;_ @_ "/>
    <numFmt numFmtId="167" formatCode="d/m/yyyy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i/>
      <sz val="11"/>
      <color theme="0" tint="-0.49998474074526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EC75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703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9B7F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8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93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 wrapText="1"/>
    </xf>
    <xf numFmtId="44" fontId="6" fillId="0" borderId="0" xfId="2" applyFont="1" applyAlignment="1">
      <alignment horizontal="center" vertical="center" wrapText="1"/>
    </xf>
    <xf numFmtId="0" fontId="6" fillId="0" borderId="0" xfId="0" applyFont="1"/>
    <xf numFmtId="49" fontId="6" fillId="0" borderId="0" xfId="0" applyNumberFormat="1" applyFont="1" applyAlignment="1">
      <alignment horizontal="center" vertical="center" wrapText="1"/>
    </xf>
    <xf numFmtId="44" fontId="6" fillId="0" borderId="0" xfId="2" applyFont="1"/>
    <xf numFmtId="0" fontId="7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0" xfId="0" applyFont="1"/>
    <xf numFmtId="0" fontId="8" fillId="0" borderId="4" xfId="0" applyFont="1" applyBorder="1" applyAlignment="1">
      <alignment horizontal="right"/>
    </xf>
    <xf numFmtId="14" fontId="9" fillId="3" borderId="0" xfId="0" applyNumberFormat="1" applyFont="1" applyFill="1" applyAlignment="1">
      <alignment horizontal="center"/>
    </xf>
    <xf numFmtId="0" fontId="8" fillId="0" borderId="0" xfId="0" applyFont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49" fontId="9" fillId="3" borderId="5" xfId="0" applyNumberFormat="1" applyFont="1" applyFill="1" applyBorder="1" applyAlignment="1">
      <alignment horizontal="center"/>
    </xf>
    <xf numFmtId="0" fontId="8" fillId="0" borderId="4" xfId="0" applyFont="1" applyBorder="1"/>
    <xf numFmtId="0" fontId="8" fillId="0" borderId="5" xfId="0" applyFont="1" applyBorder="1"/>
    <xf numFmtId="42" fontId="9" fillId="3" borderId="0" xfId="1" applyNumberFormat="1" applyFont="1" applyFill="1" applyBorder="1" applyAlignment="1">
      <alignment horizontal="center"/>
    </xf>
    <xf numFmtId="44" fontId="9" fillId="3" borderId="5" xfId="2" applyFont="1" applyFill="1" applyBorder="1" applyAlignment="1">
      <alignment horizontal="center"/>
    </xf>
    <xf numFmtId="42" fontId="9" fillId="2" borderId="5" xfId="0" applyNumberFormat="1" applyFont="1" applyFill="1" applyBorder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14" fontId="0" fillId="0" borderId="0" xfId="0" applyNumberFormat="1"/>
    <xf numFmtId="0" fontId="13" fillId="5" borderId="13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65" fontId="2" fillId="6" borderId="13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 vertical="center"/>
    </xf>
    <xf numFmtId="165" fontId="14" fillId="0" borderId="13" xfId="0" applyNumberFormat="1" applyFont="1" applyBorder="1" applyAlignment="1">
      <alignment horizontal="center"/>
    </xf>
    <xf numFmtId="165" fontId="3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8" fillId="0" borderId="13" xfId="0" applyFont="1" applyBorder="1"/>
    <xf numFmtId="0" fontId="0" fillId="0" borderId="13" xfId="0" applyBorder="1"/>
    <xf numFmtId="165" fontId="18" fillId="0" borderId="13" xfId="0" applyNumberFormat="1" applyFont="1" applyBorder="1"/>
    <xf numFmtId="42" fontId="0" fillId="0" borderId="13" xfId="3" applyFont="1" applyBorder="1" applyAlignment="1">
      <alignment horizontal="center" vertical="center"/>
    </xf>
    <xf numFmtId="0" fontId="0" fillId="0" borderId="15" xfId="0" applyBorder="1"/>
    <xf numFmtId="0" fontId="20" fillId="0" borderId="0" xfId="0" applyFont="1"/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2" borderId="16" xfId="0" applyFill="1" applyBorder="1"/>
    <xf numFmtId="14" fontId="0" fillId="0" borderId="16" xfId="0" applyNumberFormat="1" applyBorder="1" applyAlignment="1">
      <alignment horizontal="center" vertical="center"/>
    </xf>
    <xf numFmtId="0" fontId="0" fillId="0" borderId="16" xfId="0" applyBorder="1"/>
    <xf numFmtId="164" fontId="0" fillId="0" borderId="17" xfId="2" applyNumberFormat="1" applyFont="1" applyBorder="1"/>
    <xf numFmtId="0" fontId="0" fillId="0" borderId="19" xfId="0" applyBorder="1"/>
    <xf numFmtId="164" fontId="0" fillId="0" borderId="20" xfId="2" applyNumberFormat="1" applyFont="1" applyBorder="1"/>
    <xf numFmtId="164" fontId="0" fillId="0" borderId="21" xfId="2" applyNumberFormat="1" applyFont="1" applyBorder="1"/>
    <xf numFmtId="0" fontId="2" fillId="7" borderId="13" xfId="0" applyFont="1" applyFill="1" applyBorder="1" applyAlignment="1">
      <alignment horizontal="center"/>
    </xf>
    <xf numFmtId="166" fontId="0" fillId="0" borderId="13" xfId="0" applyNumberFormat="1" applyBorder="1"/>
    <xf numFmtId="0" fontId="2" fillId="4" borderId="13" xfId="0" applyFont="1" applyFill="1" applyBorder="1" applyAlignment="1">
      <alignment horizontal="center" vertical="center"/>
    </xf>
    <xf numFmtId="166" fontId="14" fillId="0" borderId="10" xfId="0" applyNumberFormat="1" applyFont="1" applyBorder="1"/>
    <xf numFmtId="166" fontId="0" fillId="0" borderId="10" xfId="0" applyNumberFormat="1" applyBorder="1"/>
    <xf numFmtId="0" fontId="21" fillId="0" borderId="13" xfId="0" applyFont="1" applyBorder="1"/>
    <xf numFmtId="166" fontId="22" fillId="4" borderId="10" xfId="0" applyNumberFormat="1" applyFont="1" applyFill="1" applyBorder="1"/>
    <xf numFmtId="0" fontId="0" fillId="5" borderId="16" xfId="0" applyFill="1" applyBorder="1"/>
    <xf numFmtId="164" fontId="0" fillId="0" borderId="16" xfId="2" applyNumberFormat="1" applyFont="1" applyFill="1" applyBorder="1"/>
    <xf numFmtId="167" fontId="0" fillId="0" borderId="16" xfId="0" applyNumberFormat="1" applyBorder="1"/>
    <xf numFmtId="42" fontId="0" fillId="0" borderId="16" xfId="3" applyFont="1" applyBorder="1"/>
    <xf numFmtId="42" fontId="0" fillId="2" borderId="18" xfId="3" applyFont="1" applyFill="1" applyBorder="1"/>
    <xf numFmtId="42" fontId="0" fillId="2" borderId="16" xfId="3" applyFont="1" applyFill="1" applyBorder="1"/>
    <xf numFmtId="42" fontId="0" fillId="0" borderId="17" xfId="3" applyFont="1" applyBorder="1"/>
    <xf numFmtId="42" fontId="0" fillId="0" borderId="19" xfId="3" applyFont="1" applyBorder="1"/>
    <xf numFmtId="42" fontId="0" fillId="0" borderId="20" xfId="3" applyFont="1" applyBorder="1"/>
    <xf numFmtId="42" fontId="0" fillId="0" borderId="21" xfId="3" applyFont="1" applyBorder="1"/>
    <xf numFmtId="42" fontId="0" fillId="2" borderId="22" xfId="3" applyFont="1" applyFill="1" applyBorder="1"/>
    <xf numFmtId="42" fontId="0" fillId="0" borderId="0" xfId="3" applyFont="1"/>
    <xf numFmtId="42" fontId="0" fillId="0" borderId="16" xfId="3" applyFont="1" applyFill="1" applyBorder="1"/>
    <xf numFmtId="42" fontId="0" fillId="5" borderId="16" xfId="3" applyFont="1" applyFill="1" applyBorder="1"/>
    <xf numFmtId="0" fontId="26" fillId="4" borderId="0" xfId="0" applyFont="1" applyFill="1" applyAlignment="1">
      <alignment horizontal="center"/>
    </xf>
    <xf numFmtId="1" fontId="0" fillId="0" borderId="13" xfId="0" applyNumberFormat="1" applyBorder="1" applyAlignment="1">
      <alignment horizontal="center"/>
    </xf>
    <xf numFmtId="165" fontId="0" fillId="0" borderId="13" xfId="0" applyNumberFormat="1" applyBorder="1"/>
    <xf numFmtId="165" fontId="0" fillId="9" borderId="13" xfId="0" applyNumberFormat="1" applyFill="1" applyBorder="1"/>
    <xf numFmtId="0" fontId="0" fillId="9" borderId="13" xfId="0" applyFill="1" applyBorder="1"/>
    <xf numFmtId="1" fontId="0" fillId="9" borderId="13" xfId="0" applyNumberFormat="1" applyFill="1" applyBorder="1" applyAlignment="1">
      <alignment horizontal="center"/>
    </xf>
    <xf numFmtId="17" fontId="0" fillId="0" borderId="13" xfId="0" applyNumberFormat="1" applyBorder="1"/>
    <xf numFmtId="14" fontId="9" fillId="10" borderId="0" xfId="0" applyNumberFormat="1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0" borderId="5" xfId="2" applyNumberFormat="1" applyFont="1" applyFill="1" applyBorder="1" applyAlignment="1">
      <alignment horizontal="center"/>
    </xf>
    <xf numFmtId="42" fontId="9" fillId="10" borderId="0" xfId="3" applyFont="1" applyFill="1" applyBorder="1" applyAlignment="1">
      <alignment horizontal="center"/>
    </xf>
    <xf numFmtId="165" fontId="0" fillId="0" borderId="14" xfId="0" applyNumberFormat="1" applyFill="1" applyBorder="1" applyAlignment="1">
      <alignment horizontal="center"/>
    </xf>
    <xf numFmtId="0" fontId="0" fillId="2" borderId="19" xfId="0" applyFill="1" applyBorder="1"/>
    <xf numFmtId="42" fontId="0" fillId="2" borderId="19" xfId="3" applyFont="1" applyFill="1" applyBorder="1"/>
    <xf numFmtId="167" fontId="0" fillId="0" borderId="19" xfId="0" applyNumberFormat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2" fontId="0" fillId="0" borderId="13" xfId="3" applyFont="1" applyBorder="1"/>
    <xf numFmtId="14" fontId="0" fillId="0" borderId="13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42" fontId="14" fillId="0" borderId="13" xfId="3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0" fontId="0" fillId="0" borderId="0" xfId="0" applyBorder="1"/>
    <xf numFmtId="0" fontId="2" fillId="4" borderId="13" xfId="0" applyFont="1" applyFill="1" applyBorder="1" applyAlignment="1">
      <alignment horizontal="center" vertical="center"/>
    </xf>
    <xf numFmtId="0" fontId="0" fillId="0" borderId="24" xfId="0" applyBorder="1"/>
    <xf numFmtId="42" fontId="0" fillId="0" borderId="24" xfId="3" applyFont="1" applyBorder="1"/>
    <xf numFmtId="14" fontId="0" fillId="0" borderId="24" xfId="0" applyNumberFormat="1" applyBorder="1" applyAlignment="1">
      <alignment horizontal="center" vertical="center"/>
    </xf>
    <xf numFmtId="0" fontId="8" fillId="0" borderId="0" xfId="0" quotePrefix="1" applyFont="1"/>
    <xf numFmtId="0" fontId="0" fillId="0" borderId="23" xfId="0" applyBorder="1"/>
    <xf numFmtId="165" fontId="16" fillId="5" borderId="10" xfId="0" applyNumberFormat="1" applyFont="1" applyFill="1" applyBorder="1" applyAlignment="1">
      <alignment horizontal="center" vertical="center"/>
    </xf>
    <xf numFmtId="165" fontId="16" fillId="5" borderId="11" xfId="0" applyNumberFormat="1" applyFon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49" fontId="9" fillId="10" borderId="5" xfId="2" applyNumberFormat="1" applyFont="1" applyFill="1" applyBorder="1" applyAlignment="1">
      <alignment horizontal="center" wrapText="1"/>
    </xf>
    <xf numFmtId="42" fontId="14" fillId="0" borderId="19" xfId="3" applyFont="1" applyBorder="1"/>
    <xf numFmtId="0" fontId="0" fillId="0" borderId="13" xfId="0" applyFill="1" applyBorder="1" applyAlignment="1">
      <alignment horizontal="center"/>
    </xf>
    <xf numFmtId="0" fontId="22" fillId="4" borderId="0" xfId="0" applyFont="1" applyFill="1"/>
    <xf numFmtId="165" fontId="30" fillId="5" borderId="0" xfId="0" applyNumberFormat="1" applyFont="1" applyFill="1"/>
    <xf numFmtId="6" fontId="0" fillId="0" borderId="16" xfId="3" applyNumberFormat="1" applyFont="1" applyBorder="1"/>
    <xf numFmtId="0" fontId="0" fillId="0" borderId="13" xfId="0" applyFill="1" applyBorder="1"/>
    <xf numFmtId="1" fontId="0" fillId="0" borderId="13" xfId="0" applyNumberFormat="1" applyFill="1" applyBorder="1" applyAlignment="1">
      <alignment horizontal="center"/>
    </xf>
    <xf numFmtId="165" fontId="0" fillId="0" borderId="13" xfId="0" applyNumberFormat="1" applyFill="1" applyBorder="1"/>
    <xf numFmtId="0" fontId="0" fillId="0" borderId="23" xfId="0" applyFill="1" applyBorder="1"/>
    <xf numFmtId="17" fontId="0" fillId="0" borderId="13" xfId="0" applyNumberFormat="1" applyFill="1" applyBorder="1"/>
    <xf numFmtId="0" fontId="0" fillId="14" borderId="13" xfId="0" applyFill="1" applyBorder="1" applyAlignment="1">
      <alignment horizontal="center"/>
    </xf>
    <xf numFmtId="42" fontId="0" fillId="0" borderId="13" xfId="0" applyNumberFormat="1" applyBorder="1"/>
    <xf numFmtId="42" fontId="0" fillId="14" borderId="13" xfId="0" applyNumberFormat="1" applyFill="1" applyBorder="1"/>
    <xf numFmtId="165" fontId="17" fillId="0" borderId="13" xfId="0" applyNumberFormat="1" applyFont="1" applyBorder="1" applyAlignment="1"/>
    <xf numFmtId="165" fontId="31" fillId="0" borderId="13" xfId="0" applyNumberFormat="1" applyFont="1" applyBorder="1" applyAlignment="1"/>
    <xf numFmtId="42" fontId="0" fillId="0" borderId="19" xfId="3" applyFont="1" applyBorder="1" applyAlignment="1">
      <alignment wrapText="1"/>
    </xf>
    <xf numFmtId="42" fontId="0" fillId="0" borderId="16" xfId="3" applyFont="1" applyBorder="1" applyAlignment="1">
      <alignment wrapText="1"/>
    </xf>
    <xf numFmtId="6" fontId="0" fillId="0" borderId="19" xfId="3" applyNumberFormat="1" applyFont="1" applyBorder="1"/>
    <xf numFmtId="42" fontId="32" fillId="0" borderId="19" xfId="3" applyFont="1" applyBorder="1"/>
    <xf numFmtId="165" fontId="32" fillId="0" borderId="14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2" fillId="4" borderId="13" xfId="0" applyFont="1" applyFill="1" applyBorder="1" applyAlignment="1">
      <alignment horizontal="center" vertical="center"/>
    </xf>
    <xf numFmtId="14" fontId="0" fillId="0" borderId="13" xfId="0" applyNumberFormat="1" applyBorder="1"/>
    <xf numFmtId="42" fontId="32" fillId="0" borderId="16" xfId="3" applyFont="1" applyBorder="1"/>
    <xf numFmtId="17" fontId="0" fillId="9" borderId="13" xfId="0" applyNumberFormat="1" applyFill="1" applyBorder="1"/>
    <xf numFmtId="0" fontId="0" fillId="15" borderId="13" xfId="0" applyFill="1" applyBorder="1"/>
    <xf numFmtId="1" fontId="0" fillId="15" borderId="13" xfId="0" applyNumberFormat="1" applyFill="1" applyBorder="1" applyAlignment="1">
      <alignment horizontal="center"/>
    </xf>
    <xf numFmtId="165" fontId="0" fillId="15" borderId="13" xfId="0" applyNumberFormat="1" applyFill="1" applyBorder="1"/>
    <xf numFmtId="0" fontId="0" fillId="15" borderId="23" xfId="0" applyFill="1" applyBorder="1"/>
    <xf numFmtId="42" fontId="0" fillId="0" borderId="0" xfId="0" applyNumberFormat="1"/>
    <xf numFmtId="0" fontId="8" fillId="0" borderId="9" xfId="0" applyFont="1" applyBorder="1" applyAlignment="1">
      <alignment horizontal="center"/>
    </xf>
    <xf numFmtId="14" fontId="0" fillId="0" borderId="13" xfId="0" applyNumberFormat="1" applyFill="1" applyBorder="1"/>
    <xf numFmtId="0" fontId="7" fillId="16" borderId="14" xfId="0" applyFont="1" applyFill="1" applyBorder="1" applyAlignment="1">
      <alignment horizontal="center"/>
    </xf>
    <xf numFmtId="165" fontId="7" fillId="16" borderId="14" xfId="0" applyNumberFormat="1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8" fillId="13" borderId="14" xfId="0" applyFont="1" applyFill="1" applyBorder="1" applyAlignment="1">
      <alignment horizontal="center"/>
    </xf>
    <xf numFmtId="165" fontId="8" fillId="13" borderId="14" xfId="0" applyNumberFormat="1" applyFont="1" applyFill="1" applyBorder="1" applyAlignment="1">
      <alignment horizontal="center"/>
    </xf>
    <xf numFmtId="0" fontId="2" fillId="16" borderId="13" xfId="0" applyFont="1" applyFill="1" applyBorder="1" applyAlignment="1">
      <alignment horizontal="center"/>
    </xf>
    <xf numFmtId="0" fontId="13" fillId="17" borderId="13" xfId="0" applyFont="1" applyFill="1" applyBorder="1" applyAlignment="1">
      <alignment horizontal="center"/>
    </xf>
    <xf numFmtId="0" fontId="33" fillId="17" borderId="14" xfId="0" applyFont="1" applyFill="1" applyBorder="1" applyAlignment="1">
      <alignment horizontal="center"/>
    </xf>
    <xf numFmtId="165" fontId="33" fillId="17" borderId="14" xfId="0" applyNumberFormat="1" applyFont="1" applyFill="1" applyBorder="1" applyAlignment="1">
      <alignment horizontal="center"/>
    </xf>
    <xf numFmtId="42" fontId="14" fillId="0" borderId="13" xfId="3" applyFont="1" applyBorder="1"/>
    <xf numFmtId="0" fontId="0" fillId="9" borderId="23" xfId="0" applyFill="1" applyBorder="1"/>
    <xf numFmtId="14" fontId="0" fillId="9" borderId="19" xfId="0" applyNumberFormat="1" applyFill="1" applyBorder="1" applyAlignment="1">
      <alignment horizontal="center" vertical="center"/>
    </xf>
    <xf numFmtId="0" fontId="0" fillId="9" borderId="19" xfId="0" applyFill="1" applyBorder="1"/>
    <xf numFmtId="0" fontId="0" fillId="9" borderId="16" xfId="0" applyFill="1" applyBorder="1"/>
    <xf numFmtId="42" fontId="32" fillId="9" borderId="16" xfId="3" applyFont="1" applyFill="1" applyBorder="1"/>
    <xf numFmtId="14" fontId="0" fillId="0" borderId="19" xfId="0" applyNumberFormat="1" applyFill="1" applyBorder="1" applyAlignment="1">
      <alignment horizontal="center" vertical="center"/>
    </xf>
    <xf numFmtId="0" fontId="0" fillId="0" borderId="19" xfId="0" applyFill="1" applyBorder="1"/>
    <xf numFmtId="42" fontId="0" fillId="0" borderId="19" xfId="3" applyFont="1" applyFill="1" applyBorder="1" applyAlignment="1">
      <alignment wrapText="1"/>
    </xf>
    <xf numFmtId="0" fontId="0" fillId="0" borderId="16" xfId="0" applyFill="1" applyBorder="1"/>
    <xf numFmtId="0" fontId="10" fillId="0" borderId="0" xfId="0" applyFont="1" applyAlignment="1">
      <alignment horizontal="center" vertical="center"/>
    </xf>
    <xf numFmtId="165" fontId="18" fillId="0" borderId="10" xfId="0" applyNumberFormat="1" applyFont="1" applyBorder="1" applyAlignment="1">
      <alignment horizontal="center" vertical="center"/>
    </xf>
    <xf numFmtId="165" fontId="18" fillId="0" borderId="12" xfId="0" applyNumberFormat="1" applyFont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13" fillId="13" borderId="0" xfId="0" applyFont="1" applyFill="1" applyAlignment="1">
      <alignment horizontal="center"/>
    </xf>
    <xf numFmtId="0" fontId="11" fillId="0" borderId="9" xfId="0" applyFont="1" applyBorder="1" applyAlignment="1">
      <alignment horizontal="center"/>
    </xf>
    <xf numFmtId="14" fontId="17" fillId="0" borderId="9" xfId="0" applyNumberFormat="1" applyFont="1" applyBorder="1" applyAlignment="1">
      <alignment horizontal="center"/>
    </xf>
    <xf numFmtId="0" fontId="28" fillId="16" borderId="0" xfId="0" applyFont="1" applyFill="1" applyAlignment="1">
      <alignment horizontal="center"/>
    </xf>
    <xf numFmtId="0" fontId="13" fillId="17" borderId="0" xfId="0" applyFont="1" applyFill="1" applyAlignment="1">
      <alignment horizontal="center"/>
    </xf>
    <xf numFmtId="0" fontId="5" fillId="11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center" wrapText="1"/>
    </xf>
    <xf numFmtId="49" fontId="23" fillId="5" borderId="0" xfId="0" applyNumberFormat="1" applyFont="1" applyFill="1" applyAlignment="1">
      <alignment horizontal="center"/>
    </xf>
    <xf numFmtId="0" fontId="19" fillId="4" borderId="0" xfId="0" applyFont="1" applyFill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/>
    </xf>
    <xf numFmtId="166" fontId="3" fillId="5" borderId="11" xfId="0" applyNumberFormat="1" applyFont="1" applyFill="1" applyBorder="1" applyAlignment="1">
      <alignment horizontal="center"/>
    </xf>
    <xf numFmtId="166" fontId="3" fillId="5" borderId="12" xfId="0" applyNumberFormat="1" applyFont="1" applyFill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166" fontId="14" fillId="0" borderId="1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49" fontId="23" fillId="0" borderId="0" xfId="0" applyNumberFormat="1" applyFont="1" applyAlignment="1">
      <alignment horizontal="center"/>
    </xf>
    <xf numFmtId="0" fontId="2" fillId="4" borderId="13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/>
    </xf>
    <xf numFmtId="0" fontId="14" fillId="4" borderId="0" xfId="0" applyFont="1" applyFill="1" applyAlignment="1">
      <alignment horizontal="center" vertical="center"/>
    </xf>
  </cellXfs>
  <cellStyles count="4">
    <cellStyle name="Millares [0]" xfId="1" builtinId="6"/>
    <cellStyle name="Moneda" xfId="2" builtinId="4"/>
    <cellStyle name="Moneda [0]" xfId="3" builtinId="7"/>
    <cellStyle name="Normal" xfId="0" builtinId="0"/>
  </cellStyles>
  <dxfs count="204"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164" formatCode="_-&quot;XDR&quot;\ * #,##0_-;\-&quot;XDR&quot;\ * #,##0_-;_-&quot;XDR&quot;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_-&quot;XDR&quot;\ * #,##0_-;\-&quot;XDR&quot;\ * #,##0_-;_-&quot;XDR&quot;\ * &quot;-&quot;??_-;_-@_-"/>
      <border diagonalUp="0" diagonalDown="0" outline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4" formatCode="_-&quot;XDR&quot;\ * #,##0_-;\-&quot;XDR&quot;\ * #,##0_-;_-&quot;XDR&quot;\ * &quot;-&quot;??_-;_-@_-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 style="thin">
          <color theme="0" tint="-0.24994659260841701"/>
        </left>
        <right style="thin">
          <color theme="0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7" formatCode="d/m/yyyy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164" formatCode="_-&quot;XDR&quot;\ * #,##0_-;\-&quot;XDR&quot;\ * #,##0_-;_-&quot;XDR&quot;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ill>
        <patternFill patternType="solid">
          <fgColor rgb="FF000000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_-&quot;XDR&quot;\ * #,##0.00_-;\-&quot;XDR&quot;\ * #,##0.0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4" formatCode="_-&quot;XDR&quot;\ * #,##0_-;\-&quot;XDR&quot;\ * #,##0_-;_-&quot;XDR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8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Nuevo Formato" pivot="0" table="0" count="10" xr9:uid="{FE8DA8DA-569D-4A24-BFE9-23D45F235098}">
      <tableStyleElement type="wholeTable" dxfId="203"/>
      <tableStyleElement type="headerRow" dxfId="202"/>
    </tableStyle>
    <tableStyle name="Nuevo Formato 2" pivot="0" table="0" count="10" xr9:uid="{5DAFA264-5DC0-408C-B8F0-3ABED173D854}">
      <tableStyleElement type="wholeTable" dxfId="201"/>
      <tableStyleElement type="headerRow" dxfId="200"/>
    </tableStyle>
    <tableStyle name="Nuevo Formato 3" pivot="0" table="0" count="10" xr9:uid="{7E142495-A3DB-469F-BE21-A94D29BFA874}">
      <tableStyleElement type="wholeTable" dxfId="199"/>
      <tableStyleElement type="headerRow" dxfId="198"/>
    </tableStyle>
    <tableStyle name="Nuevo Formato 4" pivot="0" table="0" count="10" xr9:uid="{EF8B56BB-2BD0-47CA-9A79-4A76475FC796}">
      <tableStyleElement type="wholeTable" dxfId="197"/>
      <tableStyleElement type="headerRow" dxfId="196"/>
    </tableStyle>
  </tableStyles>
  <colors>
    <mruColors>
      <color rgb="FF09B7F5"/>
      <color rgb="FF2CBC2C"/>
      <color rgb="FF4A9E4C"/>
      <color rgb="FF347035"/>
      <color rgb="FF155D7D"/>
      <color rgb="FF186B90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8" tint="0.79998168889431442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8" tint="-0.499984740745262"/>
          </font>
          <fill>
            <patternFill patternType="solid">
              <fgColor rgb="FFFFFFFF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Nuevo Formato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Nuevo Formato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Nuevo Formato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Nuevo Formato 4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296104241457253E-2"/>
          <c:y val="7.9483358171882762E-2"/>
          <c:w val="0.94149714133758811"/>
          <c:h val="0.83011292738929243"/>
        </c:manualLayout>
      </c:layout>
      <c:barChart>
        <c:barDir val="col"/>
        <c:grouping val="stacked"/>
        <c:varyColors val="0"/>
        <c:ser>
          <c:idx val="0"/>
          <c:order val="0"/>
          <c:tx>
            <c:v>SALDO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17-4C08-97D4-82EF801F5EA4}"/>
              </c:ext>
            </c:extLst>
          </c:dPt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Cesar</c:v>
              </c:pt>
              <c:pt idx="1">
                <c:v>Alejandro</c:v>
              </c:pt>
              <c:pt idx="2">
                <c:v>Daniel</c:v>
              </c:pt>
              <c:pt idx="3">
                <c:v>Junior</c:v>
              </c:pt>
              <c:pt idx="4">
                <c:v>Angel</c:v>
              </c:pt>
              <c:pt idx="5">
                <c:v>Carlos</c:v>
              </c:pt>
              <c:pt idx="6">
                <c:v>Luis</c:v>
              </c:pt>
            </c:strLit>
          </c:cat>
          <c:val>
            <c:numLit>
              <c:formatCode>General</c:formatCode>
              <c:ptCount val="7"/>
              <c:pt idx="0">
                <c:v>360665</c:v>
              </c:pt>
              <c:pt idx="1">
                <c:v>510000</c:v>
              </c:pt>
              <c:pt idx="2">
                <c:v>241000</c:v>
              </c:pt>
              <c:pt idx="3">
                <c:v>794990</c:v>
              </c:pt>
              <c:pt idx="4">
                <c:v>717000</c:v>
              </c:pt>
              <c:pt idx="5">
                <c:v>35000</c:v>
              </c:pt>
              <c:pt idx="6">
                <c:v>400000</c:v>
              </c:pt>
            </c:numLit>
          </c:val>
          <c:extLst>
            <c:ext xmlns:c16="http://schemas.microsoft.com/office/drawing/2014/chart" uri="{C3380CC4-5D6E-409C-BE32-E72D297353CC}">
              <c16:uniqueId val="{00000002-9117-4C08-97D4-82EF801F5EA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24031952"/>
        <c:axId val="424569320"/>
      </c:barChart>
      <c:catAx>
        <c:axId val="42403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24569320"/>
        <c:crosses val="autoZero"/>
        <c:auto val="1"/>
        <c:lblAlgn val="ctr"/>
        <c:lblOffset val="100"/>
        <c:noMultiLvlLbl val="0"/>
      </c:catAx>
      <c:valAx>
        <c:axId val="42456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403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7620</xdr:rowOff>
    </xdr:from>
    <xdr:to>
      <xdr:col>6</xdr:col>
      <xdr:colOff>7620</xdr:colOff>
      <xdr:row>2</xdr:row>
      <xdr:rowOff>259080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01BD333-40FB-4AD0-A7E3-766DB5D70D42}"/>
            </a:ext>
          </a:extLst>
        </xdr:cNvPr>
        <xdr:cNvSpPr/>
      </xdr:nvSpPr>
      <xdr:spPr>
        <a:xfrm>
          <a:off x="160020" y="274320"/>
          <a:ext cx="6477000" cy="518160"/>
        </a:xfrm>
        <a:prstGeom prst="roundRect">
          <a:avLst/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600" b="1"/>
            <a:t>INGRESOS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12</xdr:col>
      <xdr:colOff>3810</xdr:colOff>
      <xdr:row>2</xdr:row>
      <xdr:rowOff>251460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747CEFF-C8F7-4861-A0B9-2DE398CC1A87}"/>
            </a:ext>
          </a:extLst>
        </xdr:cNvPr>
        <xdr:cNvSpPr/>
      </xdr:nvSpPr>
      <xdr:spPr>
        <a:xfrm>
          <a:off x="6781800" y="266700"/>
          <a:ext cx="6890385" cy="518160"/>
        </a:xfrm>
        <a:prstGeom prst="roundRect">
          <a:avLst/>
        </a:prstGeom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3600" b="1"/>
            <a:t>GASTOS</a:t>
          </a:r>
        </a:p>
      </xdr:txBody>
    </xdr:sp>
    <xdr:clientData/>
  </xdr:twoCellAnchor>
  <xdr:twoCellAnchor>
    <xdr:from>
      <xdr:col>5</xdr:col>
      <xdr:colOff>3810</xdr:colOff>
      <xdr:row>15</xdr:row>
      <xdr:rowOff>1905</xdr:rowOff>
    </xdr:from>
    <xdr:to>
      <xdr:col>6</xdr:col>
      <xdr:colOff>3810</xdr:colOff>
      <xdr:row>17</xdr:row>
      <xdr:rowOff>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7DD5C48-97D0-4853-803E-39B520BC999C}"/>
            </a:ext>
          </a:extLst>
        </xdr:cNvPr>
        <xdr:cNvGrpSpPr/>
      </xdr:nvGrpSpPr>
      <xdr:grpSpPr>
        <a:xfrm>
          <a:off x="5052060" y="4021455"/>
          <a:ext cx="1581150" cy="531495"/>
          <a:chOff x="4937760" y="3749040"/>
          <a:chExt cx="1897380" cy="548640"/>
        </a:xfrm>
      </xdr:grpSpPr>
      <xdr:sp macro="[0]!Guardar_Ingresos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7BA50D32-2CB2-6BAA-8EBD-D65ABE170B23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adFill>
            <a:gsLst>
              <a:gs pos="0">
                <a:schemeClr val="accent6">
                  <a:lumMod val="60000"/>
                  <a:lumOff val="40000"/>
                </a:schemeClr>
              </a:gs>
              <a:gs pos="100000">
                <a:schemeClr val="accent6"/>
              </a:gs>
            </a:gsLst>
            <a:lin ang="5400000" scaled="1"/>
          </a:gradFill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GUARDAR</a:t>
            </a:r>
          </a:p>
        </xdr:txBody>
      </xdr:sp>
      <xdr:pic macro="[0]!Guardar_Ingresos">
        <xdr:nvPicPr>
          <xdr:cNvPr id="6" name="Gráfico 5" descr="Descargar con relleno sólido">
            <a:extLst>
              <a:ext uri="{FF2B5EF4-FFF2-40B4-BE49-F238E27FC236}">
                <a16:creationId xmlns:a16="http://schemas.microsoft.com/office/drawing/2014/main" id="{53BF93E5-28B2-9E56-7710-D6B9AFC721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1411605</xdr:colOff>
      <xdr:row>15</xdr:row>
      <xdr:rowOff>1905</xdr:rowOff>
    </xdr:from>
    <xdr:to>
      <xdr:col>4</xdr:col>
      <xdr:colOff>1413510</xdr:colOff>
      <xdr:row>17</xdr:row>
      <xdr:rowOff>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DAF9730D-006C-400C-8A4C-7F14C11DF6F6}"/>
            </a:ext>
          </a:extLst>
        </xdr:cNvPr>
        <xdr:cNvGrpSpPr/>
      </xdr:nvGrpSpPr>
      <xdr:grpSpPr>
        <a:xfrm>
          <a:off x="3145155" y="4021455"/>
          <a:ext cx="1735455" cy="531495"/>
          <a:chOff x="4937760" y="3749040"/>
          <a:chExt cx="1897380" cy="548640"/>
        </a:xfrm>
      </xdr:grpSpPr>
      <xdr:sp macro="[0]!Borrar_Ingreso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7956D507-7C65-AEBE-238D-F82BEACAC3B3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adFill>
            <a:gsLst>
              <a:gs pos="0">
                <a:schemeClr val="accent6">
                  <a:lumMod val="60000"/>
                  <a:lumOff val="40000"/>
                </a:schemeClr>
              </a:gs>
              <a:gs pos="100000">
                <a:schemeClr val="accent6"/>
              </a:gs>
            </a:gsLst>
            <a:lin ang="5400000" scaled="1"/>
          </a:gradFill>
          <a:ln w="254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BORRAR</a:t>
            </a:r>
          </a:p>
        </xdr:txBody>
      </xdr:sp>
      <xdr:pic>
        <xdr:nvPicPr>
          <xdr:cNvPr id="9" name="Gráfico 8" descr="Basura con relleno sólido">
            <a:extLst>
              <a:ext uri="{FF2B5EF4-FFF2-40B4-BE49-F238E27FC236}">
                <a16:creationId xmlns:a16="http://schemas.microsoft.com/office/drawing/2014/main" id="{4CC235BB-7FE1-CB85-16E8-17E4E2F684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3810</xdr:colOff>
      <xdr:row>15</xdr:row>
      <xdr:rowOff>1905</xdr:rowOff>
    </xdr:from>
    <xdr:to>
      <xdr:col>12</xdr:col>
      <xdr:colOff>3810</xdr:colOff>
      <xdr:row>17</xdr:row>
      <xdr:rowOff>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DE32BC85-010F-4050-99E5-393E4722FE4A}"/>
            </a:ext>
          </a:extLst>
        </xdr:cNvPr>
        <xdr:cNvGrpSpPr/>
      </xdr:nvGrpSpPr>
      <xdr:grpSpPr>
        <a:xfrm>
          <a:off x="12091035" y="4021455"/>
          <a:ext cx="1581150" cy="531495"/>
          <a:chOff x="4937760" y="3749040"/>
          <a:chExt cx="1897380" cy="548640"/>
        </a:xfrm>
        <a:solidFill>
          <a:schemeClr val="tx1">
            <a:lumMod val="95000"/>
            <a:lumOff val="5000"/>
          </a:schemeClr>
        </a:solidFill>
      </xdr:grpSpPr>
      <xdr:sp macro="[0]!Guardar_Gastos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3E329760-7F80-9E3F-62A6-D995146F9D61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pFill/>
          <a:ln w="254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GUARDAR</a:t>
            </a:r>
          </a:p>
        </xdr:txBody>
      </xdr:sp>
      <xdr:pic macro="[0]!Guardar_Gastos">
        <xdr:nvPicPr>
          <xdr:cNvPr id="12" name="Gráfico 11" descr="Descargar con relleno sólido">
            <a:extLst>
              <a:ext uri="{FF2B5EF4-FFF2-40B4-BE49-F238E27FC236}">
                <a16:creationId xmlns:a16="http://schemas.microsoft.com/office/drawing/2014/main" id="{09636F84-4604-CF37-E3AA-298FB0C9D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1830705</xdr:colOff>
      <xdr:row>15</xdr:row>
      <xdr:rowOff>1905</xdr:rowOff>
    </xdr:from>
    <xdr:to>
      <xdr:col>10</xdr:col>
      <xdr:colOff>1423035</xdr:colOff>
      <xdr:row>17</xdr:row>
      <xdr:rowOff>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102378A-53C3-40B3-A91F-0B14CBF665A6}"/>
            </a:ext>
          </a:extLst>
        </xdr:cNvPr>
        <xdr:cNvGrpSpPr/>
      </xdr:nvGrpSpPr>
      <xdr:grpSpPr>
        <a:xfrm>
          <a:off x="10193655" y="4021455"/>
          <a:ext cx="1735455" cy="531495"/>
          <a:chOff x="4937760" y="3749040"/>
          <a:chExt cx="1897380" cy="548640"/>
        </a:xfrm>
        <a:solidFill>
          <a:schemeClr val="tx1">
            <a:lumMod val="95000"/>
            <a:lumOff val="5000"/>
          </a:schemeClr>
        </a:solidFill>
      </xdr:grpSpPr>
      <xdr:sp macro="[0]!Borrar_Gastos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EE7A58C3-0635-C913-EEDB-74DBFEE5B6DE}"/>
              </a:ext>
            </a:extLst>
          </xdr:cNvPr>
          <xdr:cNvSpPr/>
        </xdr:nvSpPr>
        <xdr:spPr>
          <a:xfrm>
            <a:off x="4937760" y="3756660"/>
            <a:ext cx="1897380" cy="533400"/>
          </a:xfrm>
          <a:prstGeom prst="roundRect">
            <a:avLst/>
          </a:prstGeom>
          <a:grpFill/>
          <a:ln w="254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AR" sz="1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BORRAR</a:t>
            </a:r>
          </a:p>
        </xdr:txBody>
      </xdr:sp>
      <xdr:pic macro="[0]!Borrar_Gastos">
        <xdr:nvPicPr>
          <xdr:cNvPr id="15" name="Gráfico 14" descr="Basura con relleno sólido">
            <a:extLst>
              <a:ext uri="{FF2B5EF4-FFF2-40B4-BE49-F238E27FC236}">
                <a16:creationId xmlns:a16="http://schemas.microsoft.com/office/drawing/2014/main" id="{10C12E4D-B90E-8E82-8986-E6AD4DA90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090160" y="3749040"/>
            <a:ext cx="548640" cy="54864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3</xdr:row>
      <xdr:rowOff>161924</xdr:rowOff>
    </xdr:from>
    <xdr:to>
      <xdr:col>17</xdr:col>
      <xdr:colOff>657225</xdr:colOff>
      <xdr:row>15</xdr:row>
      <xdr:rowOff>163829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A3BF30-3EFF-481A-A2D0-A45BFBE86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990600" y="571500"/>
    <xdr:ext cx="6743700" cy="695325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DE CAJA 2">
              <a:extLst>
                <a:ext uri="{FF2B5EF4-FFF2-40B4-BE49-F238E27FC236}">
                  <a16:creationId xmlns:a16="http://schemas.microsoft.com/office/drawing/2014/main" id="{4ADB8163-1646-4B6B-AA40-F44917FE0D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AJ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" y="571500"/>
              <a:ext cx="674370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absoluteAnchor>
    <xdr:pos x="180975" y="10229851"/>
    <xdr:ext cx="7867650" cy="714374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IPO DE CAJA 3">
              <a:extLst>
                <a:ext uri="{FF2B5EF4-FFF2-40B4-BE49-F238E27FC236}">
                  <a16:creationId xmlns:a16="http://schemas.microsoft.com/office/drawing/2014/main" id="{95040D67-2398-490D-943B-438D41A545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AJ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10229851"/>
              <a:ext cx="7867650" cy="71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CAJA2" xr10:uid="{207631B0-B2A6-43C8-85C1-5C9320EBE1CE}" sourceName="COLABORADOR">
  <extLst>
    <x:ext xmlns:x15="http://schemas.microsoft.com/office/spreadsheetml/2010/11/main" uri="{2F2917AC-EB37-4324-AD4E-5DD8C200BD13}">
      <x15:tableSlicerCache tableId="1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CAJA21" xr10:uid="{098A9024-A816-46B0-9823-B0E82217D008}" sourceName="COLABORADOR">
  <extLst>
    <x:ext xmlns:x15="http://schemas.microsoft.com/office/spreadsheetml/2010/11/main" uri="{2F2917AC-EB37-4324-AD4E-5DD8C200BD13}">
      <x15:tableSlicerCache tableId="13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CAJA 2" xr10:uid="{3BD64BFE-C1CE-43C6-ACB3-5893B968D79E}" cache="SegmentaciónDeDatos_TIPO_DE_CAJA2" caption="COLABORADOR" columnCount="5" showCaption="0" style="Nuevo Formato" rowHeight="234950"/>
  <slicer name="TIPO DE CAJA 3" xr10:uid="{C2D8D967-1129-4E69-BC88-D96C8D562001}" cache="SegmentaciónDeDatos_TIPO_DE_CAJA21" caption="COLABORADOR" columnCount="5" showCaption="0" style="Nuevo Formato 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38DA1B-CF24-47B5-BBAA-77995E4EBA85}" name="gastos" displayName="gastos" ref="C5:C23" totalsRowShown="0">
  <autoFilter ref="C5:C23" xr:uid="{FD38DA1B-CF24-47B5-BBAA-77995E4EBA85}"/>
  <sortState xmlns:xlrd2="http://schemas.microsoft.com/office/spreadsheetml/2017/richdata2" ref="C6:C20">
    <sortCondition ref="C5:C20"/>
  </sortState>
  <tableColumns count="1">
    <tableColumn id="1" xr3:uid="{D9C98F22-FE91-4CFC-9FB6-5A343BD5259E}" name="CATEG GASTOS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2CF2FE-FB29-4C59-B04F-B461FB180671}" name="gastos4" displayName="gastos4" ref="E5:E6" totalsRowShown="0">
  <autoFilter ref="E5:E6" xr:uid="{482CF2FE-FB29-4C59-B04F-B461FB180671}"/>
  <tableColumns count="1">
    <tableColumn id="1" xr3:uid="{3F014D72-46AD-4386-A61D-9DEC00D84C85}" name="FECHA">
      <calculatedColumnFormula>TODAY()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51C66F-BEEE-4FCC-8749-61B9ABA78444}" name="Tabla8" displayName="Tabla8" ref="K6:S510" totalsRowShown="0" headerRowDxfId="195" dataDxfId="194">
  <autoFilter ref="K6:S510" xr:uid="{4B51C66F-BEEE-4FCC-8749-61B9ABA78444}"/>
  <sortState xmlns:xlrd2="http://schemas.microsoft.com/office/spreadsheetml/2017/richdata2" ref="K7:S510">
    <sortCondition descending="1" ref="L6:L510"/>
  </sortState>
  <tableColumns count="9">
    <tableColumn id="1" xr3:uid="{EB316209-0619-486A-8B55-56DF2645E0E2}" name="MES" dataDxfId="193">
      <calculatedColumnFormula>PROPER(TEXT(Tabla8[[#This Row],[FECHA]],"mmm"))</calculatedColumnFormula>
    </tableColumn>
    <tableColumn id="2" xr3:uid="{C745E674-BE9E-4B10-957A-2EFCE9697409}" name="FECHA" dataDxfId="192"/>
    <tableColumn id="3" xr3:uid="{6A12C4DD-24AA-47B1-B3F7-ADBE499D8518}" name="CATEGORÍA" dataDxfId="191"/>
    <tableColumn id="4" xr3:uid="{B6BA679F-A21E-4D4C-AEF6-64006919E64E}" name="DETALLE" dataDxfId="190"/>
    <tableColumn id="6" xr3:uid="{2ABA6FA8-E0FD-458B-9A32-B26A32B81E5E}" name="# DOC" dataDxfId="189"/>
    <tableColumn id="7" xr3:uid="{29E9C5D2-219D-4A0D-975F-95F8E34BAD4E}" name="TIPO DOC" dataDxfId="188"/>
    <tableColumn id="9" xr3:uid="{F7CDB2DD-B5B2-45D3-872C-4E5F452585C5}" name="BENEFICIARIO" dataDxfId="187"/>
    <tableColumn id="5" xr3:uid="{F54FC8A6-D7BC-4053-AADD-AEFAA861DBE8}" name="IMPORTE" dataDxfId="186" dataCellStyle="Moneda"/>
    <tableColumn id="10" xr3:uid="{7F2AA7CF-FF1F-45FF-AFEA-BE0F729D160F}" name="FORMA DE PAGO " dataDxfId="185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1A3B7C-F1D8-4321-86B1-8FD888673968}" name="Tabla9" displayName="Tabla9" ref="U6:Y18" totalsRowShown="0" headerRowDxfId="184" dataDxfId="183">
  <autoFilter ref="U6:Y18" xr:uid="{D91A3B7C-F1D8-4321-86B1-8FD888673968}"/>
  <tableColumns count="5">
    <tableColumn id="1" xr3:uid="{C94A712C-1FCC-4A9D-BC53-C0C9495A03BC}" name="MES" dataDxfId="182"/>
    <tableColumn id="2" xr3:uid="{45037071-E370-421A-938E-D4DCC8F2680F}" name="INGRESOS" dataDxfId="181" dataCellStyle="Moneda">
      <calculatedColumnFormula>SUMIF(#REF!,Tabla9[[#This Row],[MES]],#REF!)</calculatedColumnFormula>
    </tableColumn>
    <tableColumn id="3" xr3:uid="{5CEAF23C-0B38-4E5F-AD42-5324127FE5CD}" name="EGRESOS" dataDxfId="180" dataCellStyle="Moneda">
      <calculatedColumnFormula>SUMIF(Tabla8[MES],Tabla9[[#This Row],[MES]],Tabla8[IMPORTE])</calculatedColumnFormula>
    </tableColumn>
    <tableColumn id="4" xr3:uid="{BA40E38C-B51F-45F0-8E99-9284D48ACD86}" name="SALDO MENSUAL" dataDxfId="179" dataCellStyle="Moneda">
      <calculatedColumnFormula>Tabla9[[#This Row],[INGRESOS]]-Tabla9[[#This Row],[EGRESOS]]</calculatedColumnFormula>
    </tableColumn>
    <tableColumn id="5" xr3:uid="{5F6C3A80-34AF-4808-9F78-EFA32E8A2628}" name="SALDO ACUMULADO" dataDxfId="178" dataCellStyle="Moneda">
      <calculatedColumnFormula>Tabla9[[#This Row],[SALDO MENSUAL]]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CBBBE8-795D-416D-B334-A3819E6B3981}" name="Tabla7" displayName="Tabla7" ref="B6:I225" totalsRowShown="0" headerRowDxfId="177" dataDxfId="176">
  <autoFilter ref="B6:I225" xr:uid="{5ACBBBE8-795D-416D-B334-A3819E6B3981}"/>
  <sortState xmlns:xlrd2="http://schemas.microsoft.com/office/spreadsheetml/2017/richdata2" ref="B7:I225">
    <sortCondition descending="1" ref="C6:C225"/>
  </sortState>
  <tableColumns count="8">
    <tableColumn id="1" xr3:uid="{69D8692D-76EF-4132-B60A-9A8BF09A418A}" name="MES" dataDxfId="175">
      <calculatedColumnFormula>PROPER(TEXT(Tabla7[[#This Row],[FECHA]],"mmm"))</calculatedColumnFormula>
    </tableColumn>
    <tableColumn id="2" xr3:uid="{B99F51F2-08B8-47F3-9F52-E8C98891F65E}" name="FECHA" dataDxfId="174"/>
    <tableColumn id="3" xr3:uid="{F520B446-EF16-4508-9559-FC20730A6FD7}" name="FORMA DE PAGO " dataDxfId="173"/>
    <tableColumn id="4" xr3:uid="{633FC9A3-2037-49AE-8FFE-245883CFE10F}" name="DETALLE" dataDxfId="172"/>
    <tableColumn id="5" xr3:uid="{6A48937B-83B2-45B7-BFD5-915F24FA8040}" name="# DOCUMENTO" dataDxfId="171"/>
    <tableColumn id="6" xr3:uid="{F4B2C8F8-301E-4FBE-A144-0413F6063F95}" name="MONTO" dataDxfId="170" dataCellStyle="Moneda"/>
    <tableColumn id="7" xr3:uid="{A2ECAA18-34C0-4C2D-B2B1-EF73CF09C950}" name="TIPO DOC" dataDxfId="169" dataCellStyle="Moneda"/>
    <tableColumn id="8" xr3:uid="{38BFA8CA-CF4A-41C5-B135-B1A1B5AFDB8E}" name="IMPORTE" dataDxfId="168" dataCellStyle="Moneda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1C0D2C-D6C2-4CA3-8F43-C9A970BFD39B}" name="resumen_caja55" displayName="resumen_caja55" ref="J7:K14" totalsRowShown="0" headerRowDxfId="155" dataDxfId="154" tableBorderDxfId="153" totalsRowBorderDxfId="152">
  <autoFilter ref="J7:K14" xr:uid="{DA1C0D2C-D6C2-4CA3-8F43-C9A970BFD39B}"/>
  <tableColumns count="2">
    <tableColumn id="1" xr3:uid="{DFAB1F6F-625A-46E3-9105-96826E94274F}" name="COLABORADOR" dataDxfId="151"/>
    <tableColumn id="2" xr3:uid="{7D6B4216-F9EE-469C-99CC-DB95CAC04158}" name="SALDO" dataDxfId="150" dataCellStyle="Moneda">
      <calculatedColumnFormula>SUMIF(movimientos54[COLABORADOR],resumen_caja55[[#This Row],[COLABORADOR]],movimientos54[MONTO])-SUMIF(movimientos54[COLABORADOR],resumen_caja55[[#This Row],[COLABORADOR]],movimientos54[SALIDAS])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4E93CD-396F-42EB-BDA6-C06693885683}" name="resumen_caja5589" displayName="resumen_caja5589" ref="J58:K67" totalsRowShown="0" headerRowDxfId="149" dataDxfId="148" tableBorderDxfId="147" totalsRowBorderDxfId="146">
  <autoFilter ref="J58:K67" xr:uid="{8F4E93CD-396F-42EB-BDA6-C06693885683}"/>
  <sortState xmlns:xlrd2="http://schemas.microsoft.com/office/spreadsheetml/2017/richdata2" ref="J59:K67">
    <sortCondition ref="J58:J67"/>
  </sortState>
  <tableColumns count="2">
    <tableColumn id="1" xr3:uid="{9C0B6FEC-FAF9-47E5-8429-E166CB3A12FD}" name="COLABORADOR" dataDxfId="145"/>
    <tableColumn id="2" xr3:uid="{0BE72CBA-3615-415A-AE68-C3A580BF5B98}" name="SALDO" dataDxfId="144" dataCellStyle="Moneda [0]">
      <calculatedColumnFormula>SUMIF(movimientos5488[COLABORADOR],resumen_caja5589[[#This Row],[COLABORADOR]],movimientos5488[MONTO])-SUMIF(movimientos5488[COLABORADOR],resumen_caja5589[[#This Row],[COLABORADOR]],movimientos5488[SALIDAS])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4588-81A9-4D75-A1BB-D09FDEB51FB0}" name="resumen_caja558912" displayName="resumen_caja558912" ref="J124:K132" totalsRowShown="0" headerRowDxfId="143" dataDxfId="142" tableBorderDxfId="141" totalsRowBorderDxfId="140">
  <autoFilter ref="J124:K132" xr:uid="{EA294588-81A9-4D75-A1BB-D09FDEB51FB0}"/>
  <sortState xmlns:xlrd2="http://schemas.microsoft.com/office/spreadsheetml/2017/richdata2" ref="J125:K133">
    <sortCondition ref="J58:J67"/>
  </sortState>
  <tableColumns count="2">
    <tableColumn id="1" xr3:uid="{7FC97D19-D894-4D61-BECA-4D35DD6AEC78}" name="COLABORADOR" dataDxfId="139"/>
    <tableColumn id="2" xr3:uid="{BEAC167D-7B8C-48E1-817B-975288B06AE2}" name="SALDO" dataDxfId="138" dataCellStyle="Moneda [0]">
      <calculatedColumnFormula>SUMIF(movimientos548811[COLABORADOR],resumen_caja558912[[#This Row],[COLABORADOR]],movimientos548811[MONTO])-SUMIF(movimientos548811[COLABORADOR],resumen_caja558912[[#This Row],[COLABORADOR]],movimientos548811[SALIDAS])</calculatedColumnFormula>
    </tableColumn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D2DBB02-B886-4FE6-ACC2-236463FFC8F0}" name="movimientos548811" displayName="movimientos548811" ref="B125:G168" totalsRowShown="0" headerRowDxfId="137">
  <autoFilter ref="B125:G168" xr:uid="{1D2DBB02-B886-4FE6-ACC2-236463FFC8F0}"/>
  <sortState xmlns:xlrd2="http://schemas.microsoft.com/office/spreadsheetml/2017/richdata2" ref="B126:G168">
    <sortCondition ref="B126:B168"/>
  </sortState>
  <tableColumns count="6">
    <tableColumn id="1" xr3:uid="{3464D547-F6EA-4F5D-8CAB-685ABD372E3F}" name="FECHA" dataDxfId="136"/>
    <tableColumn id="2" xr3:uid="{F0F523AC-A3D1-4A15-9A6D-E8A6740B3DC1}" name="CONCEPTO" dataDxfId="135"/>
    <tableColumn id="3" xr3:uid="{382D30EF-148C-4E97-8378-83F4C2BE536C}" name="COLABORADOR" dataDxfId="134"/>
    <tableColumn id="4" xr3:uid="{6F629876-7A7A-45A5-BB93-5512BAA81090}" name="MONTO" dataDxfId="133" dataCellStyle="Moneda [0]"/>
    <tableColumn id="5" xr3:uid="{575CEBE5-3A8D-4994-930C-6F8F3AEC24B5}" name="SALIDAS" dataDxfId="132" dataCellStyle="Moneda [0]"/>
    <tableColumn id="6" xr3:uid="{F9CE43EE-B97A-4102-909D-298767FC0469}" name="SALDO" dataDxfId="131" dataCellStyle="Moneda [0]">
      <calculatedColumnFormula>movimientos548811[[#This Row],[MONTO]]-movimientos548811[[#This Row],[SALIDAS]]</calculatedColumnFormula>
    </tableColumn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CF2BF2E-BDB9-42BE-8EC9-566A438BC953}" name="movimientos5488" displayName="movimientos5488" ref="B59:G117" totalsRowShown="0" headerRowDxfId="130">
  <autoFilter ref="B59:G117" xr:uid="{4CF2BF2E-BDB9-42BE-8EC9-566A438BC953}"/>
  <tableColumns count="6">
    <tableColumn id="1" xr3:uid="{EE369A65-1769-4677-A80F-23904ED2A0F2}" name="FECHA" dataDxfId="129"/>
    <tableColumn id="2" xr3:uid="{FE7F94C3-F17A-4429-A88B-B1B01057A8FC}" name="CONCEPTO" dataDxfId="128"/>
    <tableColumn id="3" xr3:uid="{B2780C0C-2CD8-4ECD-B9E0-612230490529}" name="COLABORADOR" dataDxfId="127"/>
    <tableColumn id="4" xr3:uid="{BF64223F-97FB-4CAC-BB2F-D6C88B559FB3}" name="MONTO" dataDxfId="126" dataCellStyle="Moneda [0]"/>
    <tableColumn id="5" xr3:uid="{ECBEA45D-6896-4AEB-8D63-4F52E78DC7BA}" name="SALIDAS" dataDxfId="125" dataCellStyle="Moneda [0]"/>
    <tableColumn id="6" xr3:uid="{A95B04E2-76E3-47EF-9E70-39BBCFE02668}" name="SALDO" dataDxfId="124" dataCellStyle="Moneda [0]">
      <calculatedColumnFormula>movimientos5488[[#This Row],[MONTO]]-movimientos5488[[#This Row],[SALIDAS]]</calculatedColumnFormula>
    </tableColumn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2D9B13-A71C-4762-BFFC-C45D1F17D134}" name="movimientos54" displayName="movimientos54" ref="B8:G51" totalsRowShown="0" headerRowDxfId="123">
  <autoFilter ref="B8:G51" xr:uid="{542D9B13-A71C-4762-BFFC-C45D1F17D134}"/>
  <tableColumns count="6">
    <tableColumn id="1" xr3:uid="{91B9FDA4-4B02-4470-A942-F5805E94265A}" name="FECHA" dataDxfId="122"/>
    <tableColumn id="2" xr3:uid="{4BB8DF0D-C3AF-48EA-8829-95BAFBE3F006}" name="CONCEPTO" dataDxfId="121"/>
    <tableColumn id="3" xr3:uid="{183F375E-02DB-440A-9E63-86275CF07D22}" name="COLABORADOR" dataDxfId="120"/>
    <tableColumn id="4" xr3:uid="{01149DA3-7261-482C-9B80-24239231BDC0}" name="MONTO" dataDxfId="119" dataCellStyle="Moneda"/>
    <tableColumn id="5" xr3:uid="{B20C02D9-F30A-4875-898C-8520E6040E93}" name="SALIDAS" dataDxfId="118" dataCellStyle="Moneda"/>
    <tableColumn id="6" xr3:uid="{8D2178C5-96DD-4892-AC9A-A0ECE0BDC376}" name="SALDO" dataDxfId="117" dataCellStyle="Moneda">
      <calculatedColumnFormula>movimientos54[[#This Row],[MONTO]]-movimientos54[[#This Row],[SALIDAS]]</calculatedColumnFormula>
    </tableColumn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604C39A-93AF-4681-8CDF-1BF1FB0F5548}" name="resumen_caja55891213" displayName="resumen_caja55891213" ref="J177:K186" totalsRowShown="0" headerRowDxfId="116" dataDxfId="115" tableBorderDxfId="114" totalsRowBorderDxfId="113">
  <autoFilter ref="J177:K186" xr:uid="{4604C39A-93AF-4681-8CDF-1BF1FB0F5548}"/>
  <sortState xmlns:xlrd2="http://schemas.microsoft.com/office/spreadsheetml/2017/richdata2" ref="J160:K168">
    <sortCondition ref="J58:J67"/>
  </sortState>
  <tableColumns count="2">
    <tableColumn id="1" xr3:uid="{E4EF7BAF-6D49-44F5-9C88-4E9C670B4A7C}" name="COLABORADOR" dataDxfId="112"/>
    <tableColumn id="2" xr3:uid="{5595B2E1-7F9B-4A6E-8432-9E098DDA5D12}" name="SALDO" dataDxfId="111" dataCellStyle="Moneda [0]">
      <calculatedColumnFormula>SUMIF(movimientos54881114[COLABORADOR],resumen_caja55891213[[#This Row],[COLABORADOR]],movimientos54881114[MONTO])-SUMIF(movimientos54881114[COLABORADOR],resumen_caja55891213[[#This Row],[COLABORADOR]],movimientos54881114[SALIDAS])</calculatedColumnFormula>
    </tableColumn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EEE4A6-66F3-4F4C-9E64-B0D409364404}" name="movimientos54881114" displayName="movimientos54881114" ref="B178:G224" totalsRowShown="0" headerRowDxfId="110">
  <autoFilter ref="B178:G224" xr:uid="{ABEEE4A6-66F3-4F4C-9E64-B0D409364404}"/>
  <sortState xmlns:xlrd2="http://schemas.microsoft.com/office/spreadsheetml/2017/richdata2" ref="B179:G196">
    <sortCondition ref="B126:B168"/>
  </sortState>
  <tableColumns count="6">
    <tableColumn id="1" xr3:uid="{F1FDA6C5-2D08-48A4-ADC5-B44336F2A964}" name="FECHA" dataDxfId="109"/>
    <tableColumn id="2" xr3:uid="{7471BC80-462F-4701-BAAF-322B879C7A5C}" name="CONCEPTO" dataDxfId="108"/>
    <tableColumn id="3" xr3:uid="{1835CC6C-6C53-4489-A9DC-AA39CAC7E788}" name="COLABORADOR" dataDxfId="107"/>
    <tableColumn id="4" xr3:uid="{6920A9F9-1BA4-420D-915E-557B818230C3}" name="MONTO" dataDxfId="106" dataCellStyle="Moneda [0]"/>
    <tableColumn id="5" xr3:uid="{31836410-CA2A-49E7-8E13-08EEBA7EF8B5}" name="SALIDAS" dataDxfId="105" dataCellStyle="Moneda [0]"/>
    <tableColumn id="6" xr3:uid="{97D940D6-A89B-45E6-BCD6-09177567CE36}" name="SALDO" dataDxfId="104" dataCellStyle="Moneda [0]">
      <calculatedColumnFormula>movimientos54881114[[#This Row],[MONTO]]-movimientos54881114[[#This Row],[SALIDAS]]</calculatedColumnFormula>
    </tableColumn>
  </tableColumns>
  <tableStyleInfo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F00133-C49D-4F7D-9AC9-7F16448E9C3C}" name="resumen_caja558912132" displayName="resumen_caja558912132" ref="J232:K242" totalsRowShown="0" headerRowDxfId="103" dataDxfId="102" tableBorderDxfId="101" totalsRowBorderDxfId="100">
  <autoFilter ref="J232:K242" xr:uid="{2DF00133-C49D-4F7D-9AC9-7F16448E9C3C}"/>
  <sortState xmlns:xlrd2="http://schemas.microsoft.com/office/spreadsheetml/2017/richdata2" ref="J233:K241">
    <sortCondition ref="J58:J67"/>
  </sortState>
  <tableColumns count="2">
    <tableColumn id="1" xr3:uid="{1383C6E2-E075-47FF-AFB5-48D392666B20}" name="COLABORADOR" dataDxfId="99"/>
    <tableColumn id="2" xr3:uid="{1D035819-F50E-4117-B1C1-79996FFA52FA}" name="SALDO" dataDxfId="98" dataCellStyle="Moneda [0]">
      <calculatedColumnFormula>SUMIF(movimientos548811143[COLABORADOR],resumen_caja558912132[[#This Row],[COLABORADOR]],movimientos548811143[MONTO])-SUMIF(movimientos548811143[COLABORADOR],resumen_caja558912132[[#This Row],[COLABORADOR]],movimientos548811143[SALIDAS])</calculatedColumnFormula>
    </tableColumn>
  </tableColumns>
  <tableStyleInfo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15157-E6FE-461B-8D2D-2FB53AD1896B}" name="movimientos548811143" displayName="movimientos548811143" ref="B233:G288" totalsRowShown="0" headerRowDxfId="97">
  <autoFilter ref="B233:G288" xr:uid="{B3915157-E6FE-461B-8D2D-2FB53AD1896B}"/>
  <sortState xmlns:xlrd2="http://schemas.microsoft.com/office/spreadsheetml/2017/richdata2" ref="B234:G283">
    <sortCondition ref="D233:D283"/>
  </sortState>
  <tableColumns count="6">
    <tableColumn id="1" xr3:uid="{B1EFEF12-385A-4177-B2A1-4C7FD76D07FB}" name="FECHA" dataDxfId="96"/>
    <tableColumn id="2" xr3:uid="{60996880-33B3-479D-B4FE-E18DD829EAFF}" name="CONCEPTO" dataDxfId="95"/>
    <tableColumn id="3" xr3:uid="{EAC7D965-A58E-4F9A-B44B-149E6B105CA9}" name="COLABORADOR" dataDxfId="94"/>
    <tableColumn id="4" xr3:uid="{36575E07-508D-426B-A4F4-70678FD66918}" name="MONTO" dataDxfId="93" dataCellStyle="Moneda [0]"/>
    <tableColumn id="5" xr3:uid="{A0B4443A-313A-43D6-A65D-5ABB6849A74D}" name="SALIDAS" dataDxfId="92" dataCellStyle="Moneda [0]"/>
    <tableColumn id="6" xr3:uid="{C7AD2C22-5A88-4D31-ABD2-0C790C60F31B}" name="SALDO" dataDxfId="91" dataCellStyle="Moneda [0]">
      <calculatedColumnFormula>movimientos548811143[[#This Row],[MONTO]]-movimientos548811143[[#This Row],[SALIDAS]]</calculatedColumnFormula>
    </tableColumn>
  </tableColumns>
  <tableStyleInfo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6885AE-B7E1-4051-97FC-E4260B1C93E9}" name="resumen_caja5589121324" displayName="resumen_caja5589121324" ref="J296:K306" totalsRowShown="0" headerRowDxfId="90" dataDxfId="89" tableBorderDxfId="88" totalsRowBorderDxfId="87">
  <autoFilter ref="J296:K306" xr:uid="{536885AE-B7E1-4051-97FC-E4260B1C93E9}"/>
  <sortState xmlns:xlrd2="http://schemas.microsoft.com/office/spreadsheetml/2017/richdata2" ref="J297:K305">
    <sortCondition ref="J58:J67"/>
  </sortState>
  <tableColumns count="2">
    <tableColumn id="1" xr3:uid="{6C77305D-C021-4E28-8CE8-FE07C3C022DD}" name="COLABORADOR" dataDxfId="86"/>
    <tableColumn id="2" xr3:uid="{F58E1CFD-6AE5-472E-8894-053EB8F0E19A}" name="SALDO" dataDxfId="85" dataCellStyle="Moneda [0]">
      <calculatedColumnFormula>SUMIF(movimientos54881114318[COLABORADOR],resumen_caja5589121324[[#This Row],[COLABORADOR]],movimientos54881114318[MONTO])-SUMIF(movimientos54881114318[COLABORADOR],resumen_caja5589121324[[#This Row],[COLABORADOR]],movimientos54881114318[SALIDAS])</calculatedColumnFormula>
    </tableColumn>
  </tableColumns>
  <tableStyleInfo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4764E1-3444-4352-9026-2956DC582A87}" name="movimientos54881114318" displayName="movimientos54881114318" ref="B297:G328" totalsRowShown="0" headerRowDxfId="84">
  <autoFilter ref="B297:G328" xr:uid="{3C4764E1-3444-4352-9026-2956DC582A87}"/>
  <sortState xmlns:xlrd2="http://schemas.microsoft.com/office/spreadsheetml/2017/richdata2" ref="B298:G328">
    <sortCondition ref="D233:D283"/>
  </sortState>
  <tableColumns count="6">
    <tableColumn id="1" xr3:uid="{1E7189CF-2E13-468A-B788-F31A57B47831}" name="FECHA" dataDxfId="83"/>
    <tableColumn id="2" xr3:uid="{1CE10EF8-A1E6-47EC-A300-CC71FFE288B0}" name="CONCEPTO" dataDxfId="82"/>
    <tableColumn id="3" xr3:uid="{3AC842BF-70D1-4411-89EB-1490E5C42169}" name="COLABORADOR" dataDxfId="81"/>
    <tableColumn id="4" xr3:uid="{B3CDBF76-6362-4FFC-9C0A-ADD412AEDD93}" name="MONTO" dataDxfId="80" dataCellStyle="Moneda [0]"/>
    <tableColumn id="5" xr3:uid="{7BBB6B07-BE51-4C23-8037-DC7FB9DD0BFE}" name="SALIDAS" dataDxfId="79" dataCellStyle="Moneda [0]"/>
    <tableColumn id="6" xr3:uid="{8513DEDD-07D1-476F-9E39-64E45DFB0010}" name="SALDO" dataDxfId="78" dataCellStyle="Moneda [0]">
      <calculatedColumnFormula>movimientos54881114318[[#This Row],[MONTO]]-movimientos54881114318[[#This Row],[SALIDAS]]</calculatedColumnFormula>
    </tableColumn>
  </tableColumns>
  <tableStyleInfo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B1BF0A-3EAD-479F-A4C6-94783AF14E7D}" name="resumen_caja558912132420" displayName="resumen_caja558912132420" ref="J338:K348" totalsRowShown="0" headerRowDxfId="77" dataDxfId="76" tableBorderDxfId="75" totalsRowBorderDxfId="74">
  <autoFilter ref="J338:K348" xr:uid="{A0B1BF0A-3EAD-479F-A4C6-94783AF14E7D}"/>
  <sortState xmlns:xlrd2="http://schemas.microsoft.com/office/spreadsheetml/2017/richdata2" ref="J339:K347">
    <sortCondition ref="J58:J67"/>
  </sortState>
  <tableColumns count="2">
    <tableColumn id="1" xr3:uid="{D3FBB755-1F00-4D94-A490-1B2A88026880}" name="COLABORADOR" dataDxfId="73"/>
    <tableColumn id="2" xr3:uid="{90B84DEB-56F4-45B8-9B0B-5DB39ED0DD95}" name="SALDO" dataDxfId="72" dataCellStyle="Moneda [0]">
      <calculatedColumnFormula>SUMIF(movimientos5488111431821[COLABORADOR],resumen_caja558912132420[[#This Row],[COLABORADOR]],movimientos5488111431821[MONTO])-SUMIF(movimientos5488111431821[COLABORADOR],resumen_caja558912132420[[#This Row],[COLABORADOR]],movimientos5488111431821[SALIDAS])</calculatedColumnFormula>
    </tableColumn>
  </tableColumns>
  <tableStyleInfo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6C387AF-5020-442A-86DC-F891ED7BF424}" name="movimientos5488111431821" displayName="movimientos5488111431821" ref="B339:G400" totalsRowShown="0" headerRowDxfId="71">
  <autoFilter ref="B339:G400" xr:uid="{96C387AF-5020-442A-86DC-F891ED7BF424}"/>
  <sortState xmlns:xlrd2="http://schemas.microsoft.com/office/spreadsheetml/2017/richdata2" ref="B340:G400">
    <sortCondition ref="D339:D400"/>
  </sortState>
  <tableColumns count="6">
    <tableColumn id="1" xr3:uid="{5EA62738-123F-4439-9991-810BFB7F370E}" name="FECHA" dataDxfId="70"/>
    <tableColumn id="2" xr3:uid="{87475CFC-D57E-4DAE-9DD7-86752D362E96}" name="CONCEPTO" dataDxfId="69"/>
    <tableColumn id="3" xr3:uid="{C6EE613E-E552-4003-8492-0F6E13531016}" name="COLABORADOR" dataDxfId="68"/>
    <tableColumn id="4" xr3:uid="{62BD6B21-7065-427A-83A6-1DBB815D3D6D}" name="MONTO" dataDxfId="67" dataCellStyle="Moneda [0]"/>
    <tableColumn id="5" xr3:uid="{6F733739-0E13-433A-8B12-BE4AA9E69FC8}" name="SALIDAS" dataDxfId="66" dataCellStyle="Moneda [0]"/>
    <tableColumn id="6" xr3:uid="{06FFE689-825C-4BAC-93F7-B6781013E88D}" name="SALDO" dataDxfId="65" dataCellStyle="Moneda [0]">
      <calculatedColumnFormula>movimientos5488111431821[[#This Row],[MONTO]]-movimientos5488111431821[[#This Row],[SALIDAS]]</calculatedColumnFormula>
    </tableColumn>
  </tableColumns>
  <tableStyleInfo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85B1B8-F2E5-4508-8946-E6F83A181848}" name="resumen_caja55891213242019" displayName="resumen_caja55891213242019" ref="J408:K420" totalsRowShown="0" headerRowDxfId="64" dataDxfId="63" tableBorderDxfId="62" totalsRowBorderDxfId="61">
  <autoFilter ref="J408:K420" xr:uid="{B985B1B8-F2E5-4508-8946-E6F83A181848}"/>
  <sortState xmlns:xlrd2="http://schemas.microsoft.com/office/spreadsheetml/2017/richdata2" ref="J409:K417">
    <sortCondition ref="J58:J67"/>
  </sortState>
  <tableColumns count="2">
    <tableColumn id="1" xr3:uid="{38675EEF-A540-472B-94AE-B6AD4803B297}" name="COLABORADOR" dataDxfId="60"/>
    <tableColumn id="2" xr3:uid="{FCB895F4-6BE2-450E-A2C3-A669CBC6E270}" name="SALDO" dataDxfId="59" dataCellStyle="Moneda [0]">
      <calculatedColumnFormula>SUMIF(movimientos548811143182122[COLABORADOR],resumen_caja55891213242019[[#This Row],[COLABORADOR]],movimientos548811143182122[MONTO])-SUMIF(movimientos548811143182122[COLABORADOR],resumen_caja55891213242019[[#This Row],[COLABORADOR]],movimientos548811143182122[SALIDAS])</calculatedColumnFormula>
    </tableColumn>
  </tableColumns>
  <tableStyleInfo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E2C77F-8595-4F4D-80C8-EE6996F6A34B}" name="movimientos548811143182122" displayName="movimientos548811143182122" ref="B409:G476" totalsRowShown="0" headerRowDxfId="58">
  <autoFilter ref="B409:G476" xr:uid="{4DE2C77F-8595-4F4D-80C8-EE6996F6A34B}"/>
  <sortState xmlns:xlrd2="http://schemas.microsoft.com/office/spreadsheetml/2017/richdata2" ref="B410:G476">
    <sortCondition ref="D409:D476"/>
  </sortState>
  <tableColumns count="6">
    <tableColumn id="1" xr3:uid="{86038C6D-B118-4176-8E08-3D89F6B03311}" name="FECHA" dataDxfId="57"/>
    <tableColumn id="2" xr3:uid="{E00EF5D4-1C7B-439B-9E9F-C5B8C6BD60CF}" name="CONCEPTO" dataDxfId="56"/>
    <tableColumn id="3" xr3:uid="{04B6AEAC-7498-4528-8624-B93905F39ACA}" name="COLABORADOR" dataDxfId="55"/>
    <tableColumn id="4" xr3:uid="{3A981B71-1C8C-4DB7-AB01-90959547F927}" name="MONTO" dataDxfId="54" dataCellStyle="Moneda [0]"/>
    <tableColumn id="5" xr3:uid="{FAE8F3F4-8FB4-42F6-937B-D1B503D5A3F6}" name="SALIDAS" dataDxfId="53" dataCellStyle="Moneda [0]"/>
    <tableColumn id="6" xr3:uid="{DD56CD72-4C07-4992-9C5A-3EBBB05C8136}" name="SALDO" dataDxfId="52" dataCellStyle="Moneda [0]">
      <calculatedColumnFormula>movimientos548811143182122[[#This Row],[MONTO]]-movimientos548811143182122[[#This Row],[SALIDAS]]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03C5D29-DE0C-4458-9A8F-072675343009}" name="resumen_caja5589121324201923" displayName="resumen_caja5589121324201923" ref="J486:K498" totalsRowShown="0" headerRowDxfId="51" dataDxfId="50" tableBorderDxfId="49" totalsRowBorderDxfId="48">
  <autoFilter ref="J486:K498" xr:uid="{803C5D29-DE0C-4458-9A8F-072675343009}"/>
  <sortState xmlns:xlrd2="http://schemas.microsoft.com/office/spreadsheetml/2017/richdata2" ref="J487:K495">
    <sortCondition ref="J59:J68"/>
  </sortState>
  <tableColumns count="2">
    <tableColumn id="1" xr3:uid="{6A8FA169-A09F-4481-8FE1-740F54D7B4CD}" name="COLABORADOR" dataDxfId="47"/>
    <tableColumn id="2" xr3:uid="{4A169C56-212D-452B-8DFC-B2C8D407A6BC}" name="SALDO" dataDxfId="46" dataCellStyle="Moneda [0]">
      <calculatedColumnFormula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calculatedColumnFormula>
    </tableColumn>
  </tableColumns>
  <tableStyleInfo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C2F831-2046-4A7F-A9AA-E156292B2956}" name="movimientos54881114318212224" displayName="movimientos54881114318212224" ref="B486:G551" totalsRowShown="0" headerRowDxfId="45">
  <autoFilter ref="B486:G551" xr:uid="{F1C2F831-2046-4A7F-A9AA-E156292B2956}"/>
  <sortState xmlns:xlrd2="http://schemas.microsoft.com/office/spreadsheetml/2017/richdata2" ref="B487:G551">
    <sortCondition ref="D486:D551"/>
  </sortState>
  <tableColumns count="6">
    <tableColumn id="1" xr3:uid="{A6EF6B72-8378-49D0-A3C6-6942DDD31FCB}" name="FECHA" dataDxfId="44"/>
    <tableColumn id="2" xr3:uid="{6F2DAA6A-613A-4383-9593-45A695C7158C}" name="CONCEPTO" dataDxfId="43"/>
    <tableColumn id="3" xr3:uid="{6CA85CD3-6356-4A32-8000-4BFE8406CF1C}" name="COLABORADOR" dataDxfId="42"/>
    <tableColumn id="4" xr3:uid="{84FB34C7-5493-4BF8-9B27-4534E2338357}" name="MONTO" dataDxfId="41" dataCellStyle="Moneda [0]"/>
    <tableColumn id="5" xr3:uid="{DD55387B-24DE-4BF5-B5AA-4010A6C8FBF3}" name="SALIDAS" dataDxfId="40" dataCellStyle="Moneda [0]"/>
    <tableColumn id="6" xr3:uid="{574B75F4-16DA-4F0D-9975-EF9CFCEBEFE9}" name="SALDO" dataDxfId="39" dataCellStyle="Moneda [0]">
      <calculatedColumnFormula>movimientos54881114318212224[[#This Row],[MONTO]]-movimientos54881114318212224[[#This Row],[SALIDAS]]</calculatedColumnFormula>
    </tableColumn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9E78EC-26D2-4C22-8A23-124B2590B573}" name="resumen_caja558912132420192326" displayName="resumen_caja558912132420192326" ref="J561:K573" totalsRowShown="0" headerRowDxfId="38" dataDxfId="37" tableBorderDxfId="36" totalsRowBorderDxfId="35">
  <autoFilter ref="J561:K573" xr:uid="{AC9E78EC-26D2-4C22-8A23-124B2590B573}"/>
  <sortState xmlns:xlrd2="http://schemas.microsoft.com/office/spreadsheetml/2017/richdata2" ref="J562:K570">
    <sortCondition ref="J59:J68"/>
  </sortState>
  <tableColumns count="2">
    <tableColumn id="1" xr3:uid="{54F45ADC-6CF8-4A0F-BCAB-AADE8850A98A}" name="COLABORADOR" dataDxfId="34"/>
    <tableColumn id="2" xr3:uid="{338AEFB5-148F-4DEB-BBB3-93B4A97475F7}" name="SALDO" dataDxfId="33" dataCellStyle="Moneda [0]">
      <calculatedColumnFormula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calculatedColumnFormula>
    </tableColumn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BB9D805-3B21-47C0-A196-F47614C537B0}" name="movimientos5488111431821222427" displayName="movimientos5488111431821222427" ref="B561:G615" totalsRowShown="0" headerRowDxfId="32">
  <autoFilter ref="B561:G615" xr:uid="{BBB9D805-3B21-47C0-A196-F47614C537B0}"/>
  <sortState xmlns:xlrd2="http://schemas.microsoft.com/office/spreadsheetml/2017/richdata2" ref="B562:G614">
    <sortCondition ref="D561:D614"/>
  </sortState>
  <tableColumns count="6">
    <tableColumn id="1" xr3:uid="{301E9AE1-0F27-46A5-8B0E-7DE9C906DAE8}" name="FECHA" dataDxfId="31"/>
    <tableColumn id="2" xr3:uid="{40D1D841-D9BB-44C6-A803-46EC6DF4FD94}" name="CONCEPTO" dataDxfId="30"/>
    <tableColumn id="3" xr3:uid="{E5165185-AC73-4CED-BB5E-D3CF752AA77C}" name="COLABORADOR" dataDxfId="29"/>
    <tableColumn id="4" xr3:uid="{DB2987FB-277C-4C47-B0CA-75A30A94F80E}" name="MONTO" dataDxfId="28" dataCellStyle="Moneda [0]"/>
    <tableColumn id="5" xr3:uid="{86DF1775-1E7E-4B68-83FB-132C01A63B08}" name="SALIDAS" dataDxfId="27" dataCellStyle="Moneda [0]"/>
    <tableColumn id="6" xr3:uid="{754B3FB3-460D-4705-A561-AD94E30A2D44}" name="SALDO" dataDxfId="26" dataCellStyle="Moneda [0]">
      <calculatedColumnFormula>movimientos5488111431821222427[[#This Row],[MONTO]]-movimientos5488111431821222427[[#This Row],[SALIDAS]]</calculatedColumnFormula>
    </tableColumn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A7B8474-CD24-4F74-BFA5-D25D616A725F}" name="resumen_caja55891213242019232625" displayName="resumen_caja55891213242019232625" ref="J625:K636" totalsRowShown="0" headerRowDxfId="25" dataDxfId="24" tableBorderDxfId="23" totalsRowBorderDxfId="22">
  <autoFilter ref="J625:K636" xr:uid="{5A7B8474-CD24-4F74-BFA5-D25D616A725F}"/>
  <sortState xmlns:xlrd2="http://schemas.microsoft.com/office/spreadsheetml/2017/richdata2" ref="J626:K634">
    <sortCondition ref="J59:J68"/>
  </sortState>
  <tableColumns count="2">
    <tableColumn id="1" xr3:uid="{FC7CC138-19F9-4091-AA14-39A3B412FBBD}" name="COLABORADOR" dataDxfId="21"/>
    <tableColumn id="2" xr3:uid="{DE381F08-9B2A-48B0-907A-AD1C146D1D7F}" name="SALDO" dataDxfId="20" dataCellStyle="Moneda [0]">
      <calculatedColumnFormula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calculatedColumnFormula>
    </tableColumn>
  </tableColumns>
  <tableStyleInfo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D3C7BD6-3FBB-462C-84F1-DE6446EB397C}" name="movimientos548811143182122242728" displayName="movimientos548811143182122242728" ref="B625:G680" totalsRowShown="0" headerRowDxfId="19">
  <autoFilter ref="B625:G680" xr:uid="{BD3C7BD6-3FBB-462C-84F1-DE6446EB397C}"/>
  <sortState xmlns:xlrd2="http://schemas.microsoft.com/office/spreadsheetml/2017/richdata2" ref="B626:G680">
    <sortCondition ref="D625:D680"/>
  </sortState>
  <tableColumns count="6">
    <tableColumn id="1" xr3:uid="{9A400EE9-C36E-4FD2-95D7-5AC45F68E893}" name="FECHA" dataDxfId="18"/>
    <tableColumn id="2" xr3:uid="{E748B7BE-3A2B-4968-B391-F0A59E369DEF}" name="CONCEPTO" dataDxfId="17"/>
    <tableColumn id="3" xr3:uid="{0E892960-A63B-48DA-B4F0-F2AB73EE1F10}" name="COLABORADOR" dataDxfId="16"/>
    <tableColumn id="4" xr3:uid="{77A2FCF2-813F-4DFC-A630-CB0EC3778E9E}" name="MONTO" dataDxfId="15" dataCellStyle="Moneda [0]"/>
    <tableColumn id="5" xr3:uid="{4A41FE95-C838-49E8-A3D2-F0512CECA93B}" name="SALIDAS" dataDxfId="14" dataCellStyle="Moneda [0]"/>
    <tableColumn id="6" xr3:uid="{68AEFD1D-3A71-4B05-9629-07BA5A0A3BB8}" name="SALDO" dataDxfId="13" dataCellStyle="Moneda [0]">
      <calculatedColumnFormula>movimientos548811143182122242728[[#This Row],[MONTO]]-movimientos548811143182122242728[[#This Row],[SALIDAS]]</calculatedColumnFormula>
    </tableColumn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F95EA60-FD98-415A-813A-4C1E89A64E23}" name="resumen_caja5589121324201923262529" displayName="resumen_caja5589121324201923262529" ref="J692:K703" totalsRowShown="0" headerRowDxfId="12" dataDxfId="11" tableBorderDxfId="10" totalsRowBorderDxfId="9">
  <autoFilter ref="J692:K703" xr:uid="{7F95EA60-FD98-415A-813A-4C1E89A64E23}"/>
  <sortState xmlns:xlrd2="http://schemas.microsoft.com/office/spreadsheetml/2017/richdata2" ref="J693:K701">
    <sortCondition ref="J59:J68"/>
  </sortState>
  <tableColumns count="2">
    <tableColumn id="1" xr3:uid="{B59BAE0D-5AD0-49CC-BA1E-79BA86203AAF}" name="COLABORADOR" dataDxfId="8"/>
    <tableColumn id="2" xr3:uid="{CD6E79CF-85F8-4BF0-8ECE-EDFA2442F85D}" name="SALDO" dataDxfId="7" dataCellStyle="Moneda [0]">
      <calculatedColumnFormula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calculatedColumnFormula>
    </tableColumn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D634171-F368-4D0D-9DC5-883C66D232FD}" name="movimientos54881114318212224272830" displayName="movimientos54881114318212224272830" ref="B692:G747" totalsRowShown="0" headerRowDxfId="6">
  <autoFilter ref="B692:G747" xr:uid="{1D634171-F368-4D0D-9DC5-883C66D232FD}">
    <filterColumn colId="2">
      <filters>
        <filter val="Cesar"/>
      </filters>
    </filterColumn>
  </autoFilter>
  <sortState xmlns:xlrd2="http://schemas.microsoft.com/office/spreadsheetml/2017/richdata2" ref="B693:G747">
    <sortCondition ref="D692:D747"/>
  </sortState>
  <tableColumns count="6">
    <tableColumn id="1" xr3:uid="{9268013E-8EC7-4703-AA69-0B0B72F4CFB8}" name="FECHA" dataDxfId="5"/>
    <tableColumn id="2" xr3:uid="{34484E76-F206-4C38-BB78-0CD706C785D2}" name="CONCEPTO" dataDxfId="4"/>
    <tableColumn id="3" xr3:uid="{23021900-0925-43D7-A0DF-BE9C67A6FFFE}" name="COLABORADOR" dataDxfId="3"/>
    <tableColumn id="4" xr3:uid="{11FD285E-4F67-45AD-8CC3-A8121A70BD02}" name="MONTO" dataDxfId="2" dataCellStyle="Moneda [0]"/>
    <tableColumn id="5" xr3:uid="{A1E4DC90-779B-49D1-A47C-65F4D646B031}" name="SALIDAS" dataDxfId="1" dataCellStyle="Moneda [0]"/>
    <tableColumn id="6" xr3:uid="{F4BB26FA-B548-4174-A299-BF5E8741A568}" name="SALDO" dataDxfId="0" dataCellStyle="Moneda [0]">
      <calculatedColumnFormula>movimientos54881114318212224272830[[#This Row],[MONTO]]-movimientos54881114318212224272830[[#This Row],[SALIDAS]]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comments" Target="../comments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4B830-A9E6-4734-B43E-F3A9D2DDDDCB}">
  <sheetPr codeName="Hoja3"/>
  <dimension ref="B2:E23"/>
  <sheetViews>
    <sheetView workbookViewId="0">
      <selection activeCell="C38" sqref="C38"/>
    </sheetView>
  </sheetViews>
  <sheetFormatPr baseColWidth="10" defaultRowHeight="15" x14ac:dyDescent="0.25"/>
  <cols>
    <col min="2" max="2" width="16.42578125" bestFit="1" customWidth="1"/>
    <col min="3" max="3" width="19.5703125" customWidth="1"/>
    <col min="4" max="4" width="2.28515625" customWidth="1"/>
    <col min="6" max="6" width="22.42578125" customWidth="1"/>
    <col min="9" max="9" width="21.5703125" customWidth="1"/>
  </cols>
  <sheetData>
    <row r="2" spans="2:5" x14ac:dyDescent="0.25">
      <c r="B2" s="164" t="s">
        <v>85</v>
      </c>
      <c r="C2" s="164"/>
      <c r="D2" s="164"/>
    </row>
    <row r="3" spans="2:5" x14ac:dyDescent="0.25">
      <c r="B3" s="164"/>
      <c r="C3" s="164"/>
      <c r="D3" s="164"/>
    </row>
    <row r="5" spans="2:5" x14ac:dyDescent="0.25">
      <c r="C5" t="s">
        <v>86</v>
      </c>
      <c r="E5" t="s">
        <v>4</v>
      </c>
    </row>
    <row r="6" spans="2:5" x14ac:dyDescent="0.25">
      <c r="C6" t="s">
        <v>49</v>
      </c>
      <c r="E6" s="30">
        <f ca="1">TODAY()</f>
        <v>46178</v>
      </c>
    </row>
    <row r="7" spans="2:5" x14ac:dyDescent="0.25">
      <c r="C7" t="s">
        <v>28</v>
      </c>
    </row>
    <row r="8" spans="2:5" x14ac:dyDescent="0.25">
      <c r="C8" t="s">
        <v>31</v>
      </c>
    </row>
    <row r="9" spans="2:5" x14ac:dyDescent="0.25">
      <c r="C9" t="s">
        <v>37</v>
      </c>
    </row>
    <row r="10" spans="2:5" x14ac:dyDescent="0.25">
      <c r="C10" t="s">
        <v>35</v>
      </c>
    </row>
    <row r="11" spans="2:5" x14ac:dyDescent="0.25">
      <c r="C11" t="s">
        <v>46</v>
      </c>
    </row>
    <row r="12" spans="2:5" x14ac:dyDescent="0.25">
      <c r="C12" t="s">
        <v>45</v>
      </c>
    </row>
    <row r="13" spans="2:5" x14ac:dyDescent="0.25">
      <c r="C13" t="s">
        <v>57</v>
      </c>
    </row>
    <row r="14" spans="2:5" x14ac:dyDescent="0.25">
      <c r="C14" t="s">
        <v>23</v>
      </c>
    </row>
    <row r="15" spans="2:5" x14ac:dyDescent="0.25">
      <c r="C15" t="s">
        <v>55</v>
      </c>
    </row>
    <row r="16" spans="2:5" x14ac:dyDescent="0.25">
      <c r="C16" t="s">
        <v>64</v>
      </c>
    </row>
    <row r="17" spans="3:3" x14ac:dyDescent="0.25">
      <c r="C17" t="s">
        <v>74</v>
      </c>
    </row>
    <row r="18" spans="3:3" x14ac:dyDescent="0.25">
      <c r="C18" t="s">
        <v>47</v>
      </c>
    </row>
    <row r="19" spans="3:3" x14ac:dyDescent="0.25">
      <c r="C19" t="s">
        <v>51</v>
      </c>
    </row>
    <row r="20" spans="3:3" x14ac:dyDescent="0.25">
      <c r="C20" t="s">
        <v>39</v>
      </c>
    </row>
    <row r="21" spans="3:3" x14ac:dyDescent="0.25">
      <c r="C21" t="s">
        <v>282</v>
      </c>
    </row>
    <row r="22" spans="3:3" x14ac:dyDescent="0.25">
      <c r="C22" t="s">
        <v>512</v>
      </c>
    </row>
    <row r="23" spans="3:3" x14ac:dyDescent="0.25">
      <c r="C23" t="s">
        <v>539</v>
      </c>
    </row>
  </sheetData>
  <mergeCells count="1">
    <mergeCell ref="B2:D3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8991B-352A-4EAE-B53E-BA7FDD80CC75}">
  <sheetPr codeName="Hoja4"/>
  <dimension ref="B3:M80"/>
  <sheetViews>
    <sheetView tabSelected="1" topLeftCell="A36" zoomScaleNormal="100" workbookViewId="0">
      <selection activeCell="C70" sqref="C70:D70"/>
    </sheetView>
  </sheetViews>
  <sheetFormatPr baseColWidth="10" defaultRowHeight="15" x14ac:dyDescent="0.25"/>
  <cols>
    <col min="1" max="1" width="3.42578125" customWidth="1"/>
    <col min="2" max="2" width="65.5703125" customWidth="1"/>
    <col min="3" max="3" width="30.42578125" bestFit="1" customWidth="1"/>
    <col min="4" max="4" width="28.42578125" customWidth="1"/>
    <col min="5" max="5" width="18.140625" customWidth="1"/>
    <col min="6" max="6" width="5.140625" customWidth="1"/>
    <col min="7" max="7" width="3.7109375" customWidth="1"/>
    <col min="8" max="8" width="3.28515625" customWidth="1"/>
    <col min="9" max="10" width="3.42578125" customWidth="1"/>
    <col min="11" max="11" width="13" bestFit="1" customWidth="1"/>
  </cols>
  <sheetData>
    <row r="3" spans="2:13" x14ac:dyDescent="0.25">
      <c r="K3" s="167" t="s">
        <v>88</v>
      </c>
      <c r="L3" s="168"/>
      <c r="M3" s="169"/>
    </row>
    <row r="4" spans="2:13" x14ac:dyDescent="0.25">
      <c r="K4" s="32" t="s">
        <v>92</v>
      </c>
      <c r="L4" s="32" t="s">
        <v>93</v>
      </c>
      <c r="M4" s="32" t="s">
        <v>94</v>
      </c>
    </row>
    <row r="5" spans="2:13" ht="18.75" x14ac:dyDescent="0.3">
      <c r="B5" s="172" t="s">
        <v>87</v>
      </c>
      <c r="C5" s="172"/>
      <c r="D5" s="172"/>
      <c r="E5" s="172"/>
      <c r="K5" s="44">
        <v>20000</v>
      </c>
      <c r="L5" s="36">
        <v>15</v>
      </c>
      <c r="M5" s="44">
        <f t="shared" ref="M5:M13" si="0">K5*L5</f>
        <v>300000</v>
      </c>
    </row>
    <row r="6" spans="2:13" x14ac:dyDescent="0.25">
      <c r="B6" s="31" t="s">
        <v>89</v>
      </c>
      <c r="C6" s="31" t="s">
        <v>90</v>
      </c>
      <c r="D6" s="31" t="s">
        <v>89</v>
      </c>
      <c r="E6" s="31" t="s">
        <v>91</v>
      </c>
      <c r="K6" s="44">
        <v>10000</v>
      </c>
      <c r="L6" s="36">
        <v>4</v>
      </c>
      <c r="M6" s="44">
        <f t="shared" si="0"/>
        <v>40000</v>
      </c>
    </row>
    <row r="7" spans="2:13" x14ac:dyDescent="0.25">
      <c r="B7" s="33" t="s">
        <v>1145</v>
      </c>
      <c r="C7" s="34">
        <v>0</v>
      </c>
      <c r="D7" s="35" t="s">
        <v>95</v>
      </c>
      <c r="E7" s="35">
        <f>320100+100200+100000</f>
        <v>520300</v>
      </c>
      <c r="K7" s="44">
        <v>5000</v>
      </c>
      <c r="L7" s="36">
        <v>2</v>
      </c>
      <c r="M7" s="44">
        <f t="shared" si="0"/>
        <v>10000</v>
      </c>
    </row>
    <row r="8" spans="2:13" x14ac:dyDescent="0.25">
      <c r="B8" s="33" t="s">
        <v>96</v>
      </c>
      <c r="C8" s="35">
        <v>87000</v>
      </c>
      <c r="D8" s="35" t="s">
        <v>97</v>
      </c>
      <c r="E8" s="35">
        <f>520300-E7/1.01</f>
        <v>5151.4851485148538</v>
      </c>
      <c r="K8" s="44">
        <v>2000</v>
      </c>
      <c r="L8" s="36">
        <v>10</v>
      </c>
      <c r="M8" s="44">
        <f t="shared" si="0"/>
        <v>20000</v>
      </c>
    </row>
    <row r="9" spans="2:13" x14ac:dyDescent="0.25">
      <c r="B9" s="33" t="s">
        <v>158</v>
      </c>
      <c r="C9" s="35">
        <v>0</v>
      </c>
      <c r="D9" s="35"/>
      <c r="E9" s="35"/>
      <c r="K9" s="44">
        <v>1000</v>
      </c>
      <c r="L9" s="36">
        <v>12</v>
      </c>
      <c r="M9" s="44">
        <f t="shared" si="0"/>
        <v>12000</v>
      </c>
    </row>
    <row r="10" spans="2:13" x14ac:dyDescent="0.25">
      <c r="B10" s="33" t="s">
        <v>1345</v>
      </c>
      <c r="C10" s="35">
        <v>0</v>
      </c>
      <c r="D10" s="35"/>
      <c r="E10" s="35"/>
      <c r="K10" s="44">
        <v>500</v>
      </c>
      <c r="L10" s="36">
        <v>0</v>
      </c>
      <c r="M10" s="44">
        <f>K10*L10</f>
        <v>0</v>
      </c>
    </row>
    <row r="11" spans="2:13" x14ac:dyDescent="0.25">
      <c r="B11" s="33" t="s">
        <v>98</v>
      </c>
      <c r="C11" s="35">
        <v>295680</v>
      </c>
      <c r="D11" s="35"/>
      <c r="E11" s="35"/>
      <c r="K11" s="44">
        <v>100</v>
      </c>
      <c r="L11" s="36">
        <v>6</v>
      </c>
      <c r="M11" s="44">
        <f t="shared" si="0"/>
        <v>600</v>
      </c>
    </row>
    <row r="12" spans="2:13" x14ac:dyDescent="0.25">
      <c r="B12" s="33" t="s">
        <v>99</v>
      </c>
      <c r="C12" s="37">
        <v>0</v>
      </c>
      <c r="D12" s="35">
        <v>0</v>
      </c>
      <c r="E12" s="35"/>
      <c r="K12" s="44">
        <v>50</v>
      </c>
      <c r="L12" s="36"/>
      <c r="M12" s="44">
        <f t="shared" si="0"/>
        <v>0</v>
      </c>
    </row>
    <row r="13" spans="2:13" x14ac:dyDescent="0.25">
      <c r="B13" s="33" t="s">
        <v>100</v>
      </c>
      <c r="C13" s="38">
        <f>C8+C11+C9-C10-C12</f>
        <v>382680</v>
      </c>
      <c r="D13" s="38" t="s">
        <v>101</v>
      </c>
      <c r="E13" s="38">
        <f>E7-E8</f>
        <v>515148.51485148515</v>
      </c>
      <c r="K13" s="44">
        <v>10</v>
      </c>
      <c r="L13" s="36">
        <v>8</v>
      </c>
      <c r="M13" s="44">
        <f t="shared" si="0"/>
        <v>80</v>
      </c>
    </row>
    <row r="14" spans="2:13" ht="24" x14ac:dyDescent="0.25">
      <c r="B14" s="39" t="s">
        <v>102</v>
      </c>
      <c r="C14" s="109">
        <f>+C8+E13</f>
        <v>602148.51485148515</v>
      </c>
      <c r="D14" s="110"/>
      <c r="E14" s="111"/>
      <c r="F14" t="s">
        <v>80</v>
      </c>
      <c r="K14" s="170" t="s">
        <v>94</v>
      </c>
      <c r="L14" s="170"/>
      <c r="M14" s="44">
        <f>SUM(M5:M13)</f>
        <v>382680</v>
      </c>
    </row>
    <row r="16" spans="2:13" x14ac:dyDescent="0.25">
      <c r="B16" s="171" t="s">
        <v>1642</v>
      </c>
      <c r="C16" s="171"/>
      <c r="D16" s="171"/>
    </row>
    <row r="17" spans="2:13" ht="21" x14ac:dyDescent="0.35">
      <c r="B17" s="173">
        <f ca="1">TODAY()</f>
        <v>46178</v>
      </c>
      <c r="C17" s="173"/>
      <c r="D17" s="173"/>
      <c r="M17" s="74"/>
    </row>
    <row r="18" spans="2:13" x14ac:dyDescent="0.25">
      <c r="B18" s="147" t="s">
        <v>89</v>
      </c>
      <c r="C18" s="147" t="s">
        <v>15</v>
      </c>
      <c r="D18" s="147" t="s">
        <v>16</v>
      </c>
    </row>
    <row r="19" spans="2:13" x14ac:dyDescent="0.25">
      <c r="B19" s="40" t="s">
        <v>625</v>
      </c>
      <c r="C19" s="89">
        <v>1222549</v>
      </c>
      <c r="D19" s="89"/>
    </row>
    <row r="20" spans="2:13" x14ac:dyDescent="0.25">
      <c r="B20" s="40" t="s">
        <v>1683</v>
      </c>
      <c r="C20" s="89"/>
      <c r="D20" s="89">
        <v>45000</v>
      </c>
    </row>
    <row r="21" spans="2:13" x14ac:dyDescent="0.25">
      <c r="B21" s="40" t="s">
        <v>1684</v>
      </c>
      <c r="C21" s="132">
        <v>41650</v>
      </c>
      <c r="D21" s="89"/>
    </row>
    <row r="22" spans="2:13" x14ac:dyDescent="0.25">
      <c r="B22" s="40" t="s">
        <v>1685</v>
      </c>
      <c r="C22" s="132"/>
      <c r="D22" s="89">
        <v>941274</v>
      </c>
    </row>
    <row r="23" spans="2:13" ht="15" hidden="1" customHeight="1" x14ac:dyDescent="0.25">
      <c r="B23" s="40"/>
      <c r="C23" s="132"/>
      <c r="D23" s="89"/>
    </row>
    <row r="24" spans="2:13" ht="15" hidden="1" customHeight="1" x14ac:dyDescent="0.25">
      <c r="B24" s="40"/>
      <c r="C24" s="89"/>
      <c r="D24" s="89"/>
    </row>
    <row r="25" spans="2:13" ht="15" hidden="1" customHeight="1" x14ac:dyDescent="0.25">
      <c r="B25" s="40"/>
      <c r="C25" s="89"/>
      <c r="D25" s="89"/>
    </row>
    <row r="26" spans="2:13" ht="15" hidden="1" customHeight="1" x14ac:dyDescent="0.25">
      <c r="B26" s="40"/>
      <c r="C26" s="89"/>
      <c r="D26" s="89"/>
    </row>
    <row r="27" spans="2:13" ht="15" hidden="1" customHeight="1" x14ac:dyDescent="0.25">
      <c r="B27" s="40"/>
      <c r="C27" s="89"/>
      <c r="D27" s="89"/>
    </row>
    <row r="28" spans="2:13" ht="15" hidden="1" customHeight="1" x14ac:dyDescent="0.25">
      <c r="B28" s="40"/>
      <c r="C28" s="89"/>
      <c r="D28" s="89"/>
      <c r="E28" t="s">
        <v>80</v>
      </c>
    </row>
    <row r="29" spans="2:13" ht="15" hidden="1" customHeight="1" x14ac:dyDescent="0.25">
      <c r="B29" s="40"/>
      <c r="C29" s="89"/>
      <c r="D29" s="89"/>
    </row>
    <row r="30" spans="2:13" ht="15" hidden="1" customHeight="1" x14ac:dyDescent="0.25">
      <c r="B30" s="40"/>
      <c r="C30" s="89"/>
      <c r="D30" s="89"/>
    </row>
    <row r="31" spans="2:13" ht="15" hidden="1" customHeight="1" x14ac:dyDescent="0.25">
      <c r="B31" s="40"/>
      <c r="C31" s="89"/>
      <c r="D31" s="89"/>
    </row>
    <row r="32" spans="2:13" ht="21" x14ac:dyDescent="0.35">
      <c r="B32" s="148" t="s">
        <v>103</v>
      </c>
      <c r="C32" s="149">
        <f>SUM(C19:C30)</f>
        <v>1264199</v>
      </c>
      <c r="D32" s="149">
        <f>SUM(D19:D31)</f>
        <v>986274</v>
      </c>
    </row>
    <row r="33" spans="2:5" ht="18.75" x14ac:dyDescent="0.3">
      <c r="B33" s="41" t="s">
        <v>104</v>
      </c>
      <c r="C33" s="165">
        <f>C32-D32+D36</f>
        <v>29646399</v>
      </c>
      <c r="D33" s="166"/>
    </row>
    <row r="34" spans="2:5" ht="18.75" x14ac:dyDescent="0.3">
      <c r="C34" s="42" t="s">
        <v>105</v>
      </c>
      <c r="D34" s="43">
        <v>0</v>
      </c>
      <c r="E34" t="s">
        <v>83</v>
      </c>
    </row>
    <row r="35" spans="2:5" ht="18.75" x14ac:dyDescent="0.3">
      <c r="C35" s="42" t="s">
        <v>106</v>
      </c>
      <c r="D35" s="43">
        <f>C33-D34</f>
        <v>29646399</v>
      </c>
    </row>
    <row r="36" spans="2:5" x14ac:dyDescent="0.25">
      <c r="C36" s="42" t="s">
        <v>107</v>
      </c>
      <c r="D36" s="35">
        <v>29368474</v>
      </c>
    </row>
    <row r="39" spans="2:5" x14ac:dyDescent="0.25">
      <c r="B39" s="174" t="s">
        <v>1643</v>
      </c>
      <c r="C39" s="174"/>
      <c r="D39" s="174"/>
    </row>
    <row r="40" spans="2:5" ht="21" x14ac:dyDescent="0.35">
      <c r="B40" s="173">
        <f ca="1">TODAY()</f>
        <v>46178</v>
      </c>
      <c r="C40" s="173"/>
      <c r="D40" s="173"/>
    </row>
    <row r="41" spans="2:5" x14ac:dyDescent="0.25">
      <c r="B41" s="150" t="s">
        <v>89</v>
      </c>
      <c r="C41" s="150" t="s">
        <v>15</v>
      </c>
      <c r="D41" s="150" t="s">
        <v>16</v>
      </c>
    </row>
    <row r="42" spans="2:5" x14ac:dyDescent="0.25">
      <c r="B42" s="133" t="s">
        <v>1686</v>
      </c>
      <c r="C42" s="89">
        <v>1237600</v>
      </c>
      <c r="D42" s="89"/>
    </row>
    <row r="43" spans="2:5" ht="14.25" customHeight="1" x14ac:dyDescent="0.25">
      <c r="B43" s="40" t="s">
        <v>1687</v>
      </c>
      <c r="C43" s="89"/>
      <c r="D43" s="89">
        <v>800000</v>
      </c>
    </row>
    <row r="44" spans="2:5" ht="15" customHeight="1" x14ac:dyDescent="0.25">
      <c r="B44" s="40" t="s">
        <v>1688</v>
      </c>
      <c r="C44" s="89"/>
      <c r="D44" s="89">
        <v>28580</v>
      </c>
    </row>
    <row r="45" spans="2:5" ht="15" hidden="1" customHeight="1" x14ac:dyDescent="0.25">
      <c r="B45" s="40"/>
      <c r="C45" s="89"/>
      <c r="D45" s="89"/>
    </row>
    <row r="46" spans="2:5" ht="15" hidden="1" customHeight="1" x14ac:dyDescent="0.25">
      <c r="B46" s="40"/>
      <c r="C46" s="89"/>
      <c r="D46" s="89"/>
    </row>
    <row r="47" spans="2:5" ht="15" hidden="1" customHeight="1" x14ac:dyDescent="0.25">
      <c r="B47" s="40"/>
      <c r="C47" s="89"/>
      <c r="D47" s="89"/>
    </row>
    <row r="48" spans="2:5" ht="15" hidden="1" customHeight="1" x14ac:dyDescent="0.25">
      <c r="B48" s="40"/>
      <c r="C48" s="89"/>
      <c r="D48" s="89"/>
    </row>
    <row r="49" spans="2:4" ht="15" hidden="1" customHeight="1" x14ac:dyDescent="0.25">
      <c r="B49" s="40"/>
      <c r="C49" s="89"/>
      <c r="D49" s="89"/>
    </row>
    <row r="50" spans="2:4" ht="15" hidden="1" customHeight="1" x14ac:dyDescent="0.25">
      <c r="B50" s="40"/>
      <c r="C50" s="89"/>
      <c r="D50" s="89"/>
    </row>
    <row r="51" spans="2:4" ht="15" hidden="1" customHeight="1" x14ac:dyDescent="0.25">
      <c r="B51" s="40"/>
      <c r="C51" s="89"/>
      <c r="D51" s="89"/>
    </row>
    <row r="52" spans="2:4" ht="15" hidden="1" customHeight="1" x14ac:dyDescent="0.25">
      <c r="B52" s="40"/>
      <c r="C52" s="89"/>
      <c r="D52" s="89"/>
    </row>
    <row r="53" spans="2:4" ht="15" hidden="1" customHeight="1" x14ac:dyDescent="0.25">
      <c r="B53" s="40"/>
      <c r="C53" s="89"/>
      <c r="D53" s="89"/>
    </row>
    <row r="54" spans="2:4" ht="15" hidden="1" customHeight="1" x14ac:dyDescent="0.25">
      <c r="B54" s="40"/>
      <c r="C54" s="89"/>
      <c r="D54" s="89"/>
    </row>
    <row r="55" spans="2:4" ht="15" hidden="1" customHeight="1" x14ac:dyDescent="0.25">
      <c r="B55" s="40"/>
      <c r="C55" s="89"/>
      <c r="D55" s="89"/>
    </row>
    <row r="56" spans="2:4" ht="21" x14ac:dyDescent="0.35">
      <c r="B56" s="145" t="s">
        <v>103</v>
      </c>
      <c r="C56" s="146">
        <f>SUM(C42:C54)</f>
        <v>1237600</v>
      </c>
      <c r="D56" s="146">
        <f>SUM(D42:D55)</f>
        <v>828580</v>
      </c>
    </row>
    <row r="57" spans="2:4" ht="18.75" x14ac:dyDescent="0.3">
      <c r="B57" s="41" t="s">
        <v>104</v>
      </c>
      <c r="C57" s="165">
        <f>C56-D56+D60</f>
        <v>19351204</v>
      </c>
      <c r="D57" s="166"/>
    </row>
    <row r="58" spans="2:4" ht="18.75" x14ac:dyDescent="0.3">
      <c r="C58" s="42" t="s">
        <v>105</v>
      </c>
      <c r="D58" s="43">
        <v>0</v>
      </c>
    </row>
    <row r="59" spans="2:4" ht="18.75" x14ac:dyDescent="0.3">
      <c r="C59" s="42" t="s">
        <v>106</v>
      </c>
      <c r="D59" s="43">
        <f>C57-D58</f>
        <v>19351204</v>
      </c>
    </row>
    <row r="60" spans="2:4" x14ac:dyDescent="0.25">
      <c r="C60" s="42" t="s">
        <v>107</v>
      </c>
      <c r="D60" s="35">
        <v>18942184</v>
      </c>
    </row>
    <row r="63" spans="2:4" x14ac:dyDescent="0.25">
      <c r="B63" s="175" t="s">
        <v>1644</v>
      </c>
      <c r="C63" s="175"/>
      <c r="D63" s="175"/>
    </row>
    <row r="64" spans="2:4" ht="21" x14ac:dyDescent="0.35">
      <c r="B64" s="173">
        <f ca="1">TODAY()</f>
        <v>46178</v>
      </c>
      <c r="C64" s="173"/>
      <c r="D64" s="173"/>
    </row>
    <row r="65" spans="2:4" x14ac:dyDescent="0.25">
      <c r="B65" s="151" t="s">
        <v>89</v>
      </c>
      <c r="C65" s="151" t="s">
        <v>15</v>
      </c>
      <c r="D65" s="151" t="s">
        <v>16</v>
      </c>
    </row>
    <row r="66" spans="2:4" x14ac:dyDescent="0.25">
      <c r="B66" s="133" t="s">
        <v>1651</v>
      </c>
      <c r="C66" s="89"/>
      <c r="D66" s="89"/>
    </row>
    <row r="67" spans="2:4" hidden="1" x14ac:dyDescent="0.25">
      <c r="B67" s="133"/>
      <c r="C67" s="89"/>
      <c r="D67" s="89"/>
    </row>
    <row r="68" spans="2:4" hidden="1" x14ac:dyDescent="0.25">
      <c r="B68" s="40"/>
      <c r="C68" s="89"/>
      <c r="D68" s="89"/>
    </row>
    <row r="69" spans="2:4" ht="21" x14ac:dyDescent="0.35">
      <c r="B69" s="152" t="s">
        <v>103</v>
      </c>
      <c r="C69" s="153">
        <f>SUM(C66:C67)</f>
        <v>0</v>
      </c>
      <c r="D69" s="153">
        <f>SUM(D66:D68)</f>
        <v>0</v>
      </c>
    </row>
    <row r="70" spans="2:4" ht="18.75" x14ac:dyDescent="0.3">
      <c r="B70" s="41" t="s">
        <v>104</v>
      </c>
      <c r="C70" s="165">
        <f>C69-D69+D73</f>
        <v>226100</v>
      </c>
      <c r="D70" s="166"/>
    </row>
    <row r="71" spans="2:4" ht="18.75" x14ac:dyDescent="0.3">
      <c r="C71" s="42" t="s">
        <v>105</v>
      </c>
      <c r="D71" s="43">
        <v>0</v>
      </c>
    </row>
    <row r="72" spans="2:4" ht="18.75" x14ac:dyDescent="0.3">
      <c r="C72" s="42" t="s">
        <v>106</v>
      </c>
      <c r="D72" s="43">
        <f>C70-D71</f>
        <v>226100</v>
      </c>
    </row>
    <row r="73" spans="2:4" x14ac:dyDescent="0.25">
      <c r="C73" s="42" t="s">
        <v>107</v>
      </c>
      <c r="D73" s="35">
        <v>226100</v>
      </c>
    </row>
    <row r="76" spans="2:4" ht="18.75" x14ac:dyDescent="0.3">
      <c r="C76" s="115" t="s">
        <v>106</v>
      </c>
      <c r="D76" s="116">
        <f>+D59+D35+D72</f>
        <v>49223703</v>
      </c>
    </row>
    <row r="78" spans="2:4" ht="21" x14ac:dyDescent="0.35">
      <c r="C78" s="143" t="s">
        <v>1020</v>
      </c>
      <c r="D78" s="143"/>
    </row>
    <row r="79" spans="2:4" x14ac:dyDescent="0.25">
      <c r="C79" s="31" t="s">
        <v>1002</v>
      </c>
      <c r="D79" s="31" t="s">
        <v>1003</v>
      </c>
    </row>
    <row r="80" spans="2:4" ht="21" x14ac:dyDescent="0.35">
      <c r="C80" s="127">
        <f>SUM(C8+E13+C32+C56+C69)</f>
        <v>3103947.5148514854</v>
      </c>
      <c r="D80" s="126">
        <f>SUM(C10+D32+D56)</f>
        <v>1814854</v>
      </c>
    </row>
  </sheetData>
  <mergeCells count="12">
    <mergeCell ref="C70:D70"/>
    <mergeCell ref="B39:D39"/>
    <mergeCell ref="B40:D40"/>
    <mergeCell ref="B63:D63"/>
    <mergeCell ref="B64:D64"/>
    <mergeCell ref="C33:D33"/>
    <mergeCell ref="C57:D57"/>
    <mergeCell ref="K3:M3"/>
    <mergeCell ref="K14:L14"/>
    <mergeCell ref="B16:D16"/>
    <mergeCell ref="B5:E5"/>
    <mergeCell ref="B17:D17"/>
  </mergeCells>
  <phoneticPr fontId="27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4119-FB21-49A8-9CA9-9E73CA62A2D4}">
  <sheetPr codeName="Hoja2"/>
  <dimension ref="B2:O71"/>
  <sheetViews>
    <sheetView showGridLines="0" workbookViewId="0">
      <selection activeCell="I6" sqref="I6"/>
    </sheetView>
  </sheetViews>
  <sheetFormatPr baseColWidth="10" defaultColWidth="11.5703125" defaultRowHeight="21" x14ac:dyDescent="0.35"/>
  <cols>
    <col min="1" max="1" width="2.28515625" style="14" customWidth="1"/>
    <col min="2" max="3" width="23.7109375" style="14" customWidth="1"/>
    <col min="4" max="4" width="2.28515625" style="14" customWidth="1"/>
    <col min="5" max="6" width="23.7109375" style="14" customWidth="1"/>
    <col min="7" max="7" width="2.28515625" style="14" customWidth="1"/>
    <col min="8" max="8" width="23.7109375" style="14" customWidth="1"/>
    <col min="9" max="9" width="29.85546875" style="14" bestFit="1" customWidth="1"/>
    <col min="10" max="10" width="2.28515625" style="14" customWidth="1"/>
    <col min="11" max="12" width="23.7109375" style="14" customWidth="1"/>
    <col min="13" max="13" width="2.28515625" style="14" customWidth="1"/>
    <col min="14" max="16384" width="11.5703125" style="14"/>
  </cols>
  <sheetData>
    <row r="2" spans="2:15" s="10" customFormat="1" x14ac:dyDescent="0.35"/>
    <row r="3" spans="2:15" s="10" customFormat="1" x14ac:dyDescent="0.35"/>
    <row r="4" spans="2:15" s="10" customFormat="1" ht="21.75" thickBot="1" x14ac:dyDescent="0.4"/>
    <row r="5" spans="2:15" x14ac:dyDescent="0.35">
      <c r="B5" s="11"/>
      <c r="C5" s="12"/>
      <c r="D5" s="12"/>
      <c r="E5" s="12"/>
      <c r="F5" s="13"/>
      <c r="H5" s="11"/>
      <c r="I5" s="12"/>
      <c r="J5" s="12"/>
      <c r="K5" s="12"/>
      <c r="L5" s="13"/>
    </row>
    <row r="6" spans="2:15" x14ac:dyDescent="0.35">
      <c r="B6" s="15" t="s">
        <v>4</v>
      </c>
      <c r="C6" s="16"/>
      <c r="D6" s="14" t="s">
        <v>80</v>
      </c>
      <c r="E6" s="17" t="s">
        <v>14</v>
      </c>
      <c r="F6" s="18"/>
      <c r="H6" s="15" t="s">
        <v>4</v>
      </c>
      <c r="I6" s="84"/>
      <c r="K6" s="17" t="s">
        <v>11</v>
      </c>
      <c r="L6" s="86"/>
    </row>
    <row r="7" spans="2:15" x14ac:dyDescent="0.35">
      <c r="B7" s="15"/>
      <c r="C7" s="19"/>
      <c r="E7" s="17"/>
      <c r="F7" s="20"/>
      <c r="H7" s="15"/>
      <c r="I7" s="19"/>
      <c r="K7" s="17"/>
      <c r="L7" s="20"/>
    </row>
    <row r="8" spans="2:15" x14ac:dyDescent="0.35">
      <c r="B8" s="15" t="s">
        <v>6</v>
      </c>
      <c r="C8" s="16"/>
      <c r="E8" s="17" t="s">
        <v>12</v>
      </c>
      <c r="F8" s="21"/>
      <c r="H8" s="15" t="s">
        <v>6</v>
      </c>
      <c r="I8" s="85"/>
      <c r="K8" s="17" t="s">
        <v>12</v>
      </c>
      <c r="L8" s="112"/>
    </row>
    <row r="9" spans="2:15" x14ac:dyDescent="0.35">
      <c r="B9" s="15"/>
      <c r="C9" s="19"/>
      <c r="E9" s="17"/>
      <c r="F9" s="20"/>
      <c r="H9" s="22"/>
      <c r="I9" s="107"/>
      <c r="L9" s="23"/>
    </row>
    <row r="10" spans="2:15" x14ac:dyDescent="0.35">
      <c r="B10" s="15" t="s">
        <v>8</v>
      </c>
      <c r="C10" s="24"/>
      <c r="E10" s="17" t="s">
        <v>9</v>
      </c>
      <c r="F10" s="25"/>
      <c r="G10" s="14" t="s">
        <v>80</v>
      </c>
      <c r="H10" s="15" t="s">
        <v>10</v>
      </c>
      <c r="I10" s="88"/>
      <c r="K10" s="17" t="s">
        <v>9</v>
      </c>
      <c r="L10" s="87"/>
      <c r="M10" s="14" t="s">
        <v>80</v>
      </c>
    </row>
    <row r="11" spans="2:15" x14ac:dyDescent="0.35">
      <c r="B11" s="22"/>
      <c r="E11" s="17"/>
      <c r="F11" s="20"/>
      <c r="H11" s="22"/>
      <c r="K11" s="17"/>
      <c r="L11" s="23"/>
    </row>
    <row r="12" spans="2:15" x14ac:dyDescent="0.35">
      <c r="B12" s="22"/>
      <c r="E12" s="17" t="s">
        <v>10</v>
      </c>
      <c r="F12" s="26">
        <f>C10</f>
        <v>0</v>
      </c>
      <c r="H12" s="15" t="s">
        <v>13</v>
      </c>
      <c r="I12" s="85"/>
      <c r="K12" s="17" t="s">
        <v>14</v>
      </c>
      <c r="L12" s="87"/>
    </row>
    <row r="13" spans="2:15" x14ac:dyDescent="0.35">
      <c r="B13" s="22"/>
      <c r="E13" s="17"/>
      <c r="F13" s="23"/>
      <c r="H13" s="22"/>
      <c r="K13" s="17"/>
      <c r="L13" s="23"/>
      <c r="O13" s="14" t="s">
        <v>80</v>
      </c>
    </row>
    <row r="14" spans="2:15" ht="21.75" thickBot="1" x14ac:dyDescent="0.4">
      <c r="B14" s="27"/>
      <c r="C14" s="28"/>
      <c r="D14" s="28"/>
      <c r="E14" s="28"/>
      <c r="F14" s="29"/>
      <c r="H14" s="27"/>
      <c r="I14" s="28" t="s">
        <v>80</v>
      </c>
      <c r="J14" s="28"/>
      <c r="K14" s="28"/>
      <c r="L14" s="29"/>
    </row>
    <row r="17" spans="6:12" x14ac:dyDescent="0.35">
      <c r="F17" s="14" t="s">
        <v>83</v>
      </c>
    </row>
    <row r="21" spans="6:12" x14ac:dyDescent="0.35">
      <c r="L21" s="14" t="s">
        <v>80</v>
      </c>
    </row>
    <row r="26" spans="6:12" x14ac:dyDescent="0.35">
      <c r="I26" s="14" t="s">
        <v>84</v>
      </c>
    </row>
    <row r="71" spans="8:8" x14ac:dyDescent="0.35">
      <c r="H71" s="14" t="s">
        <v>80</v>
      </c>
    </row>
  </sheetData>
  <dataValidations count="3">
    <dataValidation type="list" allowBlank="1" showInputMessage="1" showErrorMessage="1" sqref="L10" xr:uid="{2D1DFBDB-BF87-4558-9E06-153444090E44}">
      <formula1>"Factura,Boleta,Cotización,Comprobante,SD"</formula1>
    </dataValidation>
    <dataValidation type="list" allowBlank="1" showInputMessage="1" showErrorMessage="1" sqref="F10" xr:uid="{48518C4E-461E-47D7-ACC6-5B481415E775}">
      <formula1>"Factura,Boleta,SD"</formula1>
    </dataValidation>
    <dataValidation type="list" allowBlank="1" showInputMessage="1" showErrorMessage="1" sqref="F6 L12" xr:uid="{A044A481-A90B-4C37-B690-7E8EFBC03B26}">
      <formula1>"Efectivo,Tarjeta,Transferencia"</formula1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120595-EA29-4224-9BCA-14172DEB40AF}">
          <x14:formula1>
            <xm:f>Parámetros!$C$6:$C$23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62D2F-5022-44BA-B5CB-362EC39BD443}">
  <sheetPr codeName="Hoja1"/>
  <dimension ref="B1:Y511"/>
  <sheetViews>
    <sheetView showGridLines="0" topLeftCell="A68" zoomScale="85" zoomScaleNormal="85" zoomScaleSheetLayoutView="100" workbookViewId="0">
      <selection activeCell="U9" sqref="U9:W9"/>
    </sheetView>
  </sheetViews>
  <sheetFormatPr baseColWidth="10" defaultColWidth="11.5703125" defaultRowHeight="12" x14ac:dyDescent="0.2"/>
  <cols>
    <col min="1" max="1" width="2.28515625" style="7" customWidth="1"/>
    <col min="2" max="2" width="7" style="7" customWidth="1"/>
    <col min="3" max="3" width="11.5703125" style="7"/>
    <col min="4" max="4" width="14.42578125" style="7" customWidth="1"/>
    <col min="5" max="5" width="57.5703125" style="7" customWidth="1"/>
    <col min="6" max="6" width="19.7109375" style="7" customWidth="1"/>
    <col min="7" max="7" width="16.85546875" style="7" customWidth="1"/>
    <col min="8" max="8" width="14.28515625" style="7" customWidth="1"/>
    <col min="9" max="9" width="15.140625" style="7" bestFit="1" customWidth="1"/>
    <col min="10" max="10" width="2.28515625" style="7" customWidth="1"/>
    <col min="11" max="11" width="11" style="7" customWidth="1"/>
    <col min="12" max="12" width="11.5703125" style="7"/>
    <col min="13" max="13" width="21" style="7" customWidth="1"/>
    <col min="14" max="14" width="47.140625" style="7" customWidth="1"/>
    <col min="15" max="15" width="20.85546875" style="7" customWidth="1"/>
    <col min="16" max="16" width="17.140625" style="7" customWidth="1"/>
    <col min="17" max="17" width="35.140625" style="7" customWidth="1"/>
    <col min="18" max="19" width="16" style="7" customWidth="1"/>
    <col min="20" max="20" width="2.7109375" style="7" customWidth="1"/>
    <col min="21" max="21" width="5.7109375" style="7" customWidth="1"/>
    <col min="22" max="22" width="21.85546875" style="7" customWidth="1"/>
    <col min="23" max="23" width="17" style="7" customWidth="1"/>
    <col min="24" max="24" width="20.140625" style="7" customWidth="1"/>
    <col min="25" max="25" width="18.140625" style="7" customWidth="1"/>
    <col min="26" max="16384" width="11.5703125" style="7"/>
  </cols>
  <sheetData>
    <row r="1" spans="2:25" customFormat="1" ht="15" x14ac:dyDescent="0.25"/>
    <row r="2" spans="2:25" s="1" customFormat="1" ht="16.5" customHeight="1" x14ac:dyDescent="0.25">
      <c r="B2" s="176" t="s">
        <v>0</v>
      </c>
      <c r="C2" s="176"/>
      <c r="D2" s="176"/>
      <c r="E2" s="176"/>
      <c r="F2" s="176"/>
      <c r="G2" s="176"/>
      <c r="H2" s="176"/>
      <c r="I2" s="176"/>
      <c r="K2" s="178" t="s">
        <v>1</v>
      </c>
      <c r="L2" s="178"/>
      <c r="M2" s="178"/>
      <c r="N2" s="178"/>
      <c r="O2" s="178"/>
      <c r="P2" s="178"/>
      <c r="Q2" s="178"/>
      <c r="R2" s="178"/>
      <c r="S2" s="178"/>
      <c r="T2" s="2"/>
      <c r="U2" s="177" t="s">
        <v>2</v>
      </c>
      <c r="V2" s="177"/>
      <c r="W2" s="177"/>
      <c r="X2" s="177"/>
      <c r="Y2" s="177"/>
    </row>
    <row r="3" spans="2:25" s="1" customFormat="1" ht="11.25" customHeight="1" x14ac:dyDescent="0.25">
      <c r="B3" s="176"/>
      <c r="C3" s="176"/>
      <c r="D3" s="176"/>
      <c r="E3" s="176"/>
      <c r="F3" s="176"/>
      <c r="G3" s="176"/>
      <c r="H3" s="176"/>
      <c r="I3" s="176"/>
      <c r="K3" s="178"/>
      <c r="L3" s="178"/>
      <c r="M3" s="178"/>
      <c r="N3" s="178"/>
      <c r="O3" s="178"/>
      <c r="P3" s="178"/>
      <c r="Q3" s="178"/>
      <c r="R3" s="178"/>
      <c r="S3" s="178"/>
      <c r="T3" s="2"/>
      <c r="U3" s="177"/>
      <c r="V3" s="177"/>
      <c r="W3" s="177"/>
      <c r="X3" s="177"/>
      <c r="Y3" s="177"/>
    </row>
    <row r="4" spans="2:25" s="1" customFormat="1" ht="15" customHeight="1" x14ac:dyDescent="0.25">
      <c r="B4" s="176"/>
      <c r="C4" s="176"/>
      <c r="D4" s="176"/>
      <c r="E4" s="176"/>
      <c r="F4" s="176"/>
      <c r="G4" s="176"/>
      <c r="H4" s="176"/>
      <c r="I4" s="176"/>
      <c r="K4" s="178"/>
      <c r="L4" s="178"/>
      <c r="M4" s="178"/>
      <c r="N4" s="178"/>
      <c r="O4" s="178"/>
      <c r="P4" s="178"/>
      <c r="Q4" s="178"/>
      <c r="R4" s="178"/>
      <c r="S4" s="178"/>
      <c r="T4" s="2"/>
      <c r="U4" s="177"/>
      <c r="V4" s="177"/>
      <c r="W4" s="177"/>
      <c r="X4" s="177"/>
      <c r="Y4" s="177"/>
    </row>
    <row r="5" spans="2:25" customFormat="1" ht="15" x14ac:dyDescent="0.25"/>
    <row r="6" spans="2:25" s="3" customFormat="1" ht="24" customHeight="1" x14ac:dyDescent="0.25">
      <c r="B6" s="3" t="s">
        <v>3</v>
      </c>
      <c r="C6" s="3" t="s">
        <v>4</v>
      </c>
      <c r="D6" s="3" t="s">
        <v>5</v>
      </c>
      <c r="E6" s="3" t="s">
        <v>6</v>
      </c>
      <c r="F6" s="3" t="s">
        <v>7</v>
      </c>
      <c r="G6" s="3" t="s">
        <v>8</v>
      </c>
      <c r="H6" s="3" t="s">
        <v>9</v>
      </c>
      <c r="I6" s="3" t="s">
        <v>10</v>
      </c>
      <c r="K6" s="3" t="s">
        <v>3</v>
      </c>
      <c r="L6" s="3" t="s">
        <v>4</v>
      </c>
      <c r="M6" s="3" t="s">
        <v>11</v>
      </c>
      <c r="N6" s="3" t="s">
        <v>6</v>
      </c>
      <c r="O6" s="3" t="s">
        <v>12</v>
      </c>
      <c r="P6" s="3" t="s">
        <v>9</v>
      </c>
      <c r="Q6" s="3" t="s">
        <v>13</v>
      </c>
      <c r="R6" s="3" t="s">
        <v>10</v>
      </c>
      <c r="S6" s="3" t="s">
        <v>5</v>
      </c>
      <c r="U6" s="3" t="s">
        <v>3</v>
      </c>
      <c r="V6" s="3" t="s">
        <v>0</v>
      </c>
      <c r="W6" s="3" t="s">
        <v>1375</v>
      </c>
      <c r="X6" s="3" t="s">
        <v>17</v>
      </c>
      <c r="Y6" s="3" t="s">
        <v>18</v>
      </c>
    </row>
    <row r="7" spans="2:25" x14ac:dyDescent="0.2">
      <c r="B7" s="4" t="str">
        <f>PROPER(TEXT(Tabla7[[#This Row],[FECHA]],"mmm"))</f>
        <v>Jun</v>
      </c>
      <c r="C7" s="5">
        <v>46175</v>
      </c>
      <c r="D7" s="3" t="s">
        <v>20</v>
      </c>
      <c r="E7" s="3" t="s">
        <v>424</v>
      </c>
      <c r="F7" s="3" t="s">
        <v>1671</v>
      </c>
      <c r="G7" s="6">
        <v>280000</v>
      </c>
      <c r="H7" s="6" t="s">
        <v>22</v>
      </c>
      <c r="I7" s="6">
        <v>280000</v>
      </c>
      <c r="K7" s="4" t="str">
        <f>PROPER(TEXT(Tabla8[[#This Row],[FECHA]],"mmm"))</f>
        <v>Jun</v>
      </c>
      <c r="L7" s="5">
        <v>46176</v>
      </c>
      <c r="M7" s="3" t="s">
        <v>23</v>
      </c>
      <c r="N7" s="3" t="s">
        <v>1681</v>
      </c>
      <c r="O7" s="8" t="s">
        <v>1682</v>
      </c>
      <c r="P7" s="3" t="s">
        <v>24</v>
      </c>
      <c r="Q7" s="3" t="s">
        <v>632</v>
      </c>
      <c r="R7" s="6">
        <v>108960</v>
      </c>
      <c r="S7" s="3" t="s">
        <v>25</v>
      </c>
      <c r="T7" s="3"/>
      <c r="U7" s="7" t="s">
        <v>404</v>
      </c>
      <c r="V7" s="9">
        <f>SUMIF(Tabla7[MES],Tabla9[[#This Row],[MES]],Tabla7[IMPORTE])</f>
        <v>70305541</v>
      </c>
      <c r="W7" s="9">
        <f>SUMIF(Tabla8[MES],Tabla9[[#This Row],[MES]],Tabla8[IMPORTE])</f>
        <v>61883835</v>
      </c>
      <c r="X7" s="9">
        <f>Tabla9[[#This Row],[INGRESOS]]-Tabla9[[#This Row],[EGRESOS]]</f>
        <v>8421706</v>
      </c>
      <c r="Y7" s="9">
        <f>Tabla9[[#This Row],[SALDO MENSUAL]]</f>
        <v>8421706</v>
      </c>
    </row>
    <row r="8" spans="2:25" x14ac:dyDescent="0.2">
      <c r="B8" s="4" t="str">
        <f>PROPER(TEXT(Tabla7[[#This Row],[FECHA]],"mmm"))</f>
        <v>Mar</v>
      </c>
      <c r="C8" s="5">
        <v>46112</v>
      </c>
      <c r="D8" s="3" t="s">
        <v>25</v>
      </c>
      <c r="E8" s="3" t="s">
        <v>1628</v>
      </c>
      <c r="F8" s="3" t="s">
        <v>1629</v>
      </c>
      <c r="G8" s="6">
        <v>40421966</v>
      </c>
      <c r="H8" s="6" t="s">
        <v>22</v>
      </c>
      <c r="I8" s="6">
        <v>40421966</v>
      </c>
      <c r="K8" s="4" t="str">
        <f>PROPER(TEXT(Tabla8[[#This Row],[FECHA]],"mmm"))</f>
        <v>May</v>
      </c>
      <c r="L8" s="5">
        <v>46162</v>
      </c>
      <c r="M8" s="3" t="s">
        <v>55</v>
      </c>
      <c r="N8" s="3" t="s">
        <v>762</v>
      </c>
      <c r="O8" s="8" t="s">
        <v>1680</v>
      </c>
      <c r="P8" s="3" t="s">
        <v>24</v>
      </c>
      <c r="Q8" s="3" t="s">
        <v>483</v>
      </c>
      <c r="R8" s="6">
        <v>2843450</v>
      </c>
      <c r="S8" s="3" t="s">
        <v>29</v>
      </c>
      <c r="T8" s="3"/>
      <c r="U8" s="7" t="s">
        <v>26</v>
      </c>
      <c r="V8" s="9">
        <f>SUMIF(Tabla7[MES],Tabla9[[#This Row],[MES]],Tabla7[IMPORTE])</f>
        <v>52664720</v>
      </c>
      <c r="W8" s="9">
        <f>SUMIF(Tabla8[MES],Tabla9[[#This Row],[MES]],Tabla8[IMPORTE])</f>
        <v>38819967</v>
      </c>
      <c r="X8" s="9">
        <f>Tabla9[[#This Row],[INGRESOS]]-Tabla9[[#This Row],[EGRESOS]]</f>
        <v>13844753</v>
      </c>
      <c r="Y8" s="9">
        <f>Tabla9[[#This Row],[SALDO MENSUAL]]+Y7</f>
        <v>22266459</v>
      </c>
    </row>
    <row r="9" spans="2:25" x14ac:dyDescent="0.2">
      <c r="B9" s="4" t="str">
        <f>PROPER(TEXT(Tabla7[[#This Row],[FECHA]],"mmm"))</f>
        <v>Mar</v>
      </c>
      <c r="C9" s="5">
        <v>46083</v>
      </c>
      <c r="D9" s="3" t="s">
        <v>20</v>
      </c>
      <c r="E9" s="3" t="s">
        <v>626</v>
      </c>
      <c r="F9" s="3" t="s">
        <v>21</v>
      </c>
      <c r="G9" s="6">
        <v>280000</v>
      </c>
      <c r="H9" s="6" t="s">
        <v>22</v>
      </c>
      <c r="I9" s="6">
        <v>280000</v>
      </c>
      <c r="K9" s="4" t="str">
        <f>PROPER(TEXT(Tabla8[[#This Row],[FECHA]],"mmm"))</f>
        <v>Jun</v>
      </c>
      <c r="L9" s="5">
        <v>46176</v>
      </c>
      <c r="M9" s="3" t="s">
        <v>23</v>
      </c>
      <c r="N9" s="3" t="s">
        <v>1679</v>
      </c>
      <c r="O9" s="8" t="s">
        <v>21</v>
      </c>
      <c r="P9" s="3" t="s">
        <v>22</v>
      </c>
      <c r="Q9" s="3" t="s">
        <v>1437</v>
      </c>
      <c r="R9" s="6">
        <v>30000</v>
      </c>
      <c r="S9" s="3" t="s">
        <v>20</v>
      </c>
      <c r="T9" s="6"/>
      <c r="U9" s="7" t="s">
        <v>30</v>
      </c>
      <c r="V9" s="9">
        <f>SUMIF(Tabla7[MES],Tabla9[[#This Row],[MES]],Tabla7[IMPORTE])</f>
        <v>40701966</v>
      </c>
      <c r="W9" s="9">
        <f>SUMIF(Tabla8[MES],Tabla9[[#This Row],[MES]],Tabla8[IMPORTE])</f>
        <v>40508177</v>
      </c>
      <c r="X9" s="9">
        <f>Tabla9[[#This Row],[INGRESOS]]-Tabla9[[#This Row],[EGRESOS]]</f>
        <v>193789</v>
      </c>
      <c r="Y9" s="9">
        <f>Tabla9[[#This Row],[SALDO MENSUAL]]+Y8</f>
        <v>22460248</v>
      </c>
    </row>
    <row r="10" spans="2:25" x14ac:dyDescent="0.2">
      <c r="B10" s="4" t="str">
        <f>PROPER(TEXT(Tabla7[[#This Row],[FECHA]],"mmm"))</f>
        <v>Abr</v>
      </c>
      <c r="C10" s="5">
        <v>46137</v>
      </c>
      <c r="D10" s="3" t="s">
        <v>29</v>
      </c>
      <c r="E10" s="3" t="s">
        <v>1456</v>
      </c>
      <c r="F10" s="3" t="s">
        <v>1457</v>
      </c>
      <c r="G10" s="6">
        <v>226100</v>
      </c>
      <c r="H10" s="6" t="s">
        <v>24</v>
      </c>
      <c r="I10" s="6">
        <v>226100</v>
      </c>
      <c r="K10" s="4" t="str">
        <f>PROPER(TEXT(Tabla8[[#This Row],[FECHA]],"mmm"))</f>
        <v>Jun</v>
      </c>
      <c r="L10" s="5">
        <v>46176</v>
      </c>
      <c r="M10" s="3" t="s">
        <v>282</v>
      </c>
      <c r="N10" s="3" t="s">
        <v>1677</v>
      </c>
      <c r="O10" s="8" t="s">
        <v>21</v>
      </c>
      <c r="P10" s="3" t="s">
        <v>22</v>
      </c>
      <c r="Q10" s="3" t="s">
        <v>1678</v>
      </c>
      <c r="R10" s="6">
        <v>10000</v>
      </c>
      <c r="S10" s="3" t="s">
        <v>20</v>
      </c>
      <c r="T10" s="6"/>
      <c r="U10" s="7" t="s">
        <v>32</v>
      </c>
      <c r="V10" s="9">
        <f>SUMIF(Tabla7[MES],Tabla9[[#This Row],[MES]],Tabla7[IMPORTE])</f>
        <v>12569666</v>
      </c>
      <c r="W10" s="9">
        <f>SUMIF(Tabla8[MES],Tabla9[[#This Row],[MES]],Tabla8[IMPORTE])</f>
        <v>17615738</v>
      </c>
      <c r="X10" s="9">
        <f>Tabla9[[#This Row],[INGRESOS]]-Tabla9[[#This Row],[EGRESOS]]</f>
        <v>-5046072</v>
      </c>
      <c r="Y10" s="9">
        <f>Tabla9[[#This Row],[SALDO MENSUAL]]+Y9</f>
        <v>17414176</v>
      </c>
    </row>
    <row r="11" spans="2:25" x14ac:dyDescent="0.2">
      <c r="B11" s="4" t="str">
        <f>PROPER(TEXT(Tabla7[[#This Row],[FECHA]],"mmm"))</f>
        <v>Abr</v>
      </c>
      <c r="C11" s="5">
        <v>46136</v>
      </c>
      <c r="D11" s="3" t="s">
        <v>29</v>
      </c>
      <c r="E11" s="3" t="s">
        <v>1385</v>
      </c>
      <c r="F11" s="3" t="s">
        <v>1452</v>
      </c>
      <c r="G11" s="6">
        <v>22610</v>
      </c>
      <c r="H11" s="6" t="s">
        <v>24</v>
      </c>
      <c r="I11" s="6">
        <v>22610</v>
      </c>
      <c r="K11" s="4" t="str">
        <f>PROPER(TEXT(Tabla8[[#This Row],[FECHA]],"mmm"))</f>
        <v>Jun</v>
      </c>
      <c r="L11" s="5">
        <v>46176</v>
      </c>
      <c r="M11" s="3" t="s">
        <v>37</v>
      </c>
      <c r="N11" s="3" t="s">
        <v>1108</v>
      </c>
      <c r="O11" s="8" t="s">
        <v>1676</v>
      </c>
      <c r="P11" s="3" t="s">
        <v>411</v>
      </c>
      <c r="Q11" s="3" t="s">
        <v>478</v>
      </c>
      <c r="R11" s="6">
        <v>18493</v>
      </c>
      <c r="S11" s="3" t="s">
        <v>29</v>
      </c>
      <c r="T11" s="6"/>
      <c r="U11" s="7" t="s">
        <v>36</v>
      </c>
      <c r="V11" s="9">
        <f>SUMIF(Tabla7[MES],Tabla9[[#This Row],[MES]],Tabla7[IMPORTE])</f>
        <v>0</v>
      </c>
      <c r="W11" s="9">
        <f>SUMIF(Tabla8[MES],Tabla9[[#This Row],[MES]],Tabla8[IMPORTE])</f>
        <v>5070799</v>
      </c>
      <c r="X11" s="9">
        <f>Tabla9[[#This Row],[INGRESOS]]-Tabla9[[#This Row],[EGRESOS]]</f>
        <v>-5070799</v>
      </c>
      <c r="Y11" s="9">
        <f>Tabla9[[#This Row],[SALDO MENSUAL]]+Y10</f>
        <v>12343377</v>
      </c>
    </row>
    <row r="12" spans="2:25" x14ac:dyDescent="0.2">
      <c r="B12" s="4" t="str">
        <f>PROPER(TEXT(Tabla7[[#This Row],[FECHA]],"mmm"))</f>
        <v>Abr</v>
      </c>
      <c r="C12" s="5">
        <v>46136</v>
      </c>
      <c r="D12" s="3" t="s">
        <v>29</v>
      </c>
      <c r="E12" s="3" t="s">
        <v>1385</v>
      </c>
      <c r="F12" s="3" t="s">
        <v>1451</v>
      </c>
      <c r="G12" s="6">
        <v>422831</v>
      </c>
      <c r="H12" s="6" t="s">
        <v>24</v>
      </c>
      <c r="I12" s="6">
        <v>422831</v>
      </c>
      <c r="K12" s="4" t="str">
        <f>PROPER(TEXT(Tabla8[[#This Row],[FECHA]],"mmm"))</f>
        <v>Jun</v>
      </c>
      <c r="L12" s="5">
        <v>46176</v>
      </c>
      <c r="M12" s="3" t="s">
        <v>23</v>
      </c>
      <c r="N12" s="3" t="s">
        <v>1162</v>
      </c>
      <c r="O12" s="8" t="s">
        <v>1674</v>
      </c>
      <c r="P12" s="3" t="s">
        <v>24</v>
      </c>
      <c r="Q12" s="3" t="s">
        <v>617</v>
      </c>
      <c r="R12" s="6">
        <v>21600</v>
      </c>
      <c r="S12" s="3" t="s">
        <v>20</v>
      </c>
      <c r="T12" s="6"/>
      <c r="U12" s="7" t="s">
        <v>38</v>
      </c>
      <c r="V12" s="9">
        <f>SUMIF(Tabla7[MES],Tabla9[[#This Row],[MES]],Tabla7[IMPORTE])</f>
        <v>280000</v>
      </c>
      <c r="W12" s="9">
        <f>SUMIF(Tabla8[MES],Tabla9[[#This Row],[MES]],Tabla8[IMPORTE])</f>
        <v>284149</v>
      </c>
      <c r="X12" s="9">
        <f>Tabla9[[#This Row],[INGRESOS]]-Tabla9[[#This Row],[EGRESOS]]</f>
        <v>-4149</v>
      </c>
      <c r="Y12" s="9">
        <f>Tabla9[[#This Row],[SALDO MENSUAL]]+Y11</f>
        <v>12339228</v>
      </c>
    </row>
    <row r="13" spans="2:25" x14ac:dyDescent="0.2">
      <c r="B13" s="4" t="str">
        <f>PROPER(TEXT(Tabla7[[#This Row],[FECHA]],"mmm"))</f>
        <v>Abr</v>
      </c>
      <c r="C13" s="5">
        <v>46136</v>
      </c>
      <c r="D13" s="3" t="s">
        <v>29</v>
      </c>
      <c r="E13" s="3" t="s">
        <v>1449</v>
      </c>
      <c r="F13" s="3" t="s">
        <v>1450</v>
      </c>
      <c r="G13" s="6">
        <v>940100</v>
      </c>
      <c r="H13" s="6" t="s">
        <v>24</v>
      </c>
      <c r="I13" s="6">
        <v>940100</v>
      </c>
      <c r="K13" s="4" t="str">
        <f>PROPER(TEXT(Tabla8[[#This Row],[FECHA]],"mmm"))</f>
        <v>Jun</v>
      </c>
      <c r="L13" s="5">
        <v>46176</v>
      </c>
      <c r="M13" s="3" t="s">
        <v>23</v>
      </c>
      <c r="N13" s="3" t="s">
        <v>1672</v>
      </c>
      <c r="O13" s="8" t="s">
        <v>1673</v>
      </c>
      <c r="P13" s="3" t="s">
        <v>24</v>
      </c>
      <c r="Q13" s="3" t="s">
        <v>1518</v>
      </c>
      <c r="R13" s="6">
        <v>57096</v>
      </c>
      <c r="S13" s="3" t="s">
        <v>29</v>
      </c>
      <c r="T13" s="6"/>
      <c r="U13" s="7" t="s">
        <v>41</v>
      </c>
      <c r="V13" s="9">
        <f>SUMIF(Tabla7[MES],Tabla9[[#This Row],[MES]],Tabla7[IMPORTE])</f>
        <v>0</v>
      </c>
      <c r="W13" s="9">
        <f>SUMIF(Tabla8[MES],Tabla9[[#This Row],[MES]],Tabla8[IMPORTE])</f>
        <v>0</v>
      </c>
      <c r="X13" s="9">
        <f>Tabla9[[#This Row],[INGRESOS]]-Tabla9[[#This Row],[EGRESOS]]</f>
        <v>0</v>
      </c>
      <c r="Y13" s="9">
        <f>Tabla9[[#This Row],[SALDO MENSUAL]]+Y12</f>
        <v>12339228</v>
      </c>
    </row>
    <row r="14" spans="2:25" x14ac:dyDescent="0.2">
      <c r="B14" s="4" t="str">
        <f>PROPER(TEXT(Tabla7[[#This Row],[FECHA]],"mmm"))</f>
        <v>Abr</v>
      </c>
      <c r="C14" s="5">
        <v>46123</v>
      </c>
      <c r="D14" s="3" t="s">
        <v>25</v>
      </c>
      <c r="E14" s="3" t="s">
        <v>419</v>
      </c>
      <c r="F14" s="3" t="s">
        <v>1351</v>
      </c>
      <c r="G14" s="6">
        <v>501000</v>
      </c>
      <c r="H14" s="6" t="s">
        <v>22</v>
      </c>
      <c r="I14" s="6">
        <v>501000</v>
      </c>
      <c r="K14" s="4" t="str">
        <f>PROPER(TEXT(Tabla8[[#This Row],[FECHA]],"mmm"))</f>
        <v>Jun</v>
      </c>
      <c r="L14" s="5">
        <v>46175</v>
      </c>
      <c r="M14" s="3" t="s">
        <v>282</v>
      </c>
      <c r="N14" s="3" t="s">
        <v>1669</v>
      </c>
      <c r="O14" s="8" t="s">
        <v>21</v>
      </c>
      <c r="P14" s="3" t="s">
        <v>22</v>
      </c>
      <c r="Q14" s="3" t="s">
        <v>1670</v>
      </c>
      <c r="R14" s="6">
        <v>30000</v>
      </c>
      <c r="S14" s="3" t="s">
        <v>20</v>
      </c>
      <c r="T14" s="6"/>
      <c r="U14" s="7" t="s">
        <v>33</v>
      </c>
      <c r="V14" s="9">
        <f>SUMIF(Tabla7[MES],Tabla9[[#This Row],[MES]],Tabla7[IMPORTE])</f>
        <v>0</v>
      </c>
      <c r="W14" s="9">
        <f>SUMIF(Tabla8[MES],Tabla9[[#This Row],[MES]],Tabla8[IMPORTE])</f>
        <v>0</v>
      </c>
      <c r="X14" s="9">
        <f>Tabla9[[#This Row],[INGRESOS]]-Tabla9[[#This Row],[EGRESOS]]</f>
        <v>0</v>
      </c>
      <c r="Y14" s="9">
        <f>Tabla9[[#This Row],[SALDO MENSUAL]]+Y13</f>
        <v>12339228</v>
      </c>
    </row>
    <row r="15" spans="2:25" x14ac:dyDescent="0.2">
      <c r="B15" s="4" t="str">
        <f>PROPER(TEXT(Tabla7[[#This Row],[FECHA]],"mmm"))</f>
        <v>Abr</v>
      </c>
      <c r="C15" s="5">
        <v>46122</v>
      </c>
      <c r="D15" s="3" t="s">
        <v>25</v>
      </c>
      <c r="E15" s="3" t="s">
        <v>419</v>
      </c>
      <c r="F15" s="3" t="s">
        <v>1352</v>
      </c>
      <c r="G15" s="6">
        <v>760000</v>
      </c>
      <c r="H15" s="6" t="s">
        <v>22</v>
      </c>
      <c r="I15" s="6">
        <v>760000</v>
      </c>
      <c r="K15" s="4" t="str">
        <f>PROPER(TEXT(Tabla8[[#This Row],[FECHA]],"mmm"))</f>
        <v>Jun</v>
      </c>
      <c r="L15" s="5">
        <v>46174</v>
      </c>
      <c r="M15" s="3" t="s">
        <v>23</v>
      </c>
      <c r="N15" s="3" t="s">
        <v>1667</v>
      </c>
      <c r="O15" s="8" t="s">
        <v>21</v>
      </c>
      <c r="P15" s="3" t="s">
        <v>22</v>
      </c>
      <c r="Q15" s="3" t="s">
        <v>1668</v>
      </c>
      <c r="R15" s="6">
        <v>8000</v>
      </c>
      <c r="S15" s="3" t="s">
        <v>20</v>
      </c>
      <c r="T15" s="6"/>
      <c r="U15" s="7" t="s">
        <v>19</v>
      </c>
      <c r="V15" s="9">
        <f>SUMIF(Tabla7[MES],Tabla9[[#This Row],[MES]],Tabla7[IMPORTE])</f>
        <v>0</v>
      </c>
      <c r="W15" s="9">
        <f>SUMIF(Tabla8[MES],Tabla9[[#This Row],[MES]],Tabla8[IMPORTE])</f>
        <v>0</v>
      </c>
      <c r="X15" s="9">
        <f>Tabla9[[#This Row],[INGRESOS]]-Tabla9[[#This Row],[EGRESOS]]</f>
        <v>0</v>
      </c>
      <c r="Y15" s="9">
        <f>Tabla9[[#This Row],[SALDO MENSUAL]]+Y14</f>
        <v>12339228</v>
      </c>
    </row>
    <row r="16" spans="2:25" x14ac:dyDescent="0.2">
      <c r="B16" s="4" t="str">
        <f>PROPER(TEXT(Tabla7[[#This Row],[FECHA]],"mmm"))</f>
        <v>Abr</v>
      </c>
      <c r="C16" s="5">
        <v>46121</v>
      </c>
      <c r="D16" s="3" t="s">
        <v>25</v>
      </c>
      <c r="E16" s="3" t="s">
        <v>419</v>
      </c>
      <c r="F16" s="3" t="s">
        <v>1353</v>
      </c>
      <c r="G16" s="6">
        <v>1919500</v>
      </c>
      <c r="H16" s="6" t="s">
        <v>22</v>
      </c>
      <c r="I16" s="6">
        <v>1919500</v>
      </c>
      <c r="K16" s="4" t="str">
        <f>PROPER(TEXT(Tabla8[[#This Row],[FECHA]],"mmm"))</f>
        <v>May</v>
      </c>
      <c r="L16" s="5">
        <v>46167</v>
      </c>
      <c r="M16" s="3" t="s">
        <v>282</v>
      </c>
      <c r="N16" s="3" t="s">
        <v>1650</v>
      </c>
      <c r="O16" s="8" t="s">
        <v>21</v>
      </c>
      <c r="P16" s="3" t="s">
        <v>22</v>
      </c>
      <c r="Q16" s="3" t="s">
        <v>1364</v>
      </c>
      <c r="R16" s="6">
        <v>60000</v>
      </c>
      <c r="S16" s="3" t="s">
        <v>20</v>
      </c>
      <c r="T16" s="6"/>
      <c r="U16" s="7" t="s">
        <v>42</v>
      </c>
      <c r="V16" s="9">
        <f>SUMIF(Tabla7[MES],Tabla9[[#This Row],[MES]],Tabla7[IMPORTE])</f>
        <v>0</v>
      </c>
      <c r="W16" s="9">
        <f>SUMIF(Tabla8[MES],Tabla9[[#This Row],[MES]],Tabla8[IMPORTE])</f>
        <v>0</v>
      </c>
      <c r="X16" s="9">
        <f>Tabla9[[#This Row],[INGRESOS]]-Tabla9[[#This Row],[EGRESOS]]</f>
        <v>0</v>
      </c>
      <c r="Y16" s="9">
        <f>Tabla9[[#This Row],[SALDO MENSUAL]]+Y15</f>
        <v>12339228</v>
      </c>
    </row>
    <row r="17" spans="2:25" x14ac:dyDescent="0.2">
      <c r="B17" s="4" t="str">
        <f>PROPER(TEXT(Tabla7[[#This Row],[FECHA]],"mmm"))</f>
        <v>Abr</v>
      </c>
      <c r="C17" s="5">
        <v>46120</v>
      </c>
      <c r="D17" s="3" t="s">
        <v>25</v>
      </c>
      <c r="E17" s="3" t="s">
        <v>419</v>
      </c>
      <c r="F17" s="3" t="s">
        <v>1354</v>
      </c>
      <c r="G17" s="6">
        <v>1466750</v>
      </c>
      <c r="H17" s="6" t="s">
        <v>22</v>
      </c>
      <c r="I17" s="6">
        <v>1466750</v>
      </c>
      <c r="K17" s="4" t="str">
        <f>PROPER(TEXT(Tabla8[[#This Row],[FECHA]],"mmm"))</f>
        <v>May</v>
      </c>
      <c r="L17" s="5">
        <v>46167</v>
      </c>
      <c r="M17" s="3" t="s">
        <v>37</v>
      </c>
      <c r="N17" s="3" t="s">
        <v>605</v>
      </c>
      <c r="O17" s="8" t="s">
        <v>21</v>
      </c>
      <c r="P17" s="3" t="s">
        <v>22</v>
      </c>
      <c r="Q17" s="3" t="s">
        <v>415</v>
      </c>
      <c r="R17" s="6">
        <v>10010</v>
      </c>
      <c r="S17" s="3" t="s">
        <v>20</v>
      </c>
      <c r="T17" s="6"/>
      <c r="U17" s="7" t="s">
        <v>43</v>
      </c>
      <c r="V17" s="9">
        <f>SUMIF(Tabla7[MES],Tabla9[[#This Row],[MES]],Tabla7[IMPORTE])</f>
        <v>0</v>
      </c>
      <c r="W17" s="9">
        <f>SUMIF(Tabla8[MES],Tabla9[[#This Row],[MES]],Tabla8[IMPORTE])</f>
        <v>0</v>
      </c>
      <c r="X17" s="9">
        <f>Tabla9[[#This Row],[INGRESOS]]-Tabla9[[#This Row],[EGRESOS]]</f>
        <v>0</v>
      </c>
      <c r="Y17" s="9">
        <f>Tabla9[[#This Row],[SALDO MENSUAL]]+Y16</f>
        <v>12339228</v>
      </c>
    </row>
    <row r="18" spans="2:25" x14ac:dyDescent="0.2">
      <c r="B18" s="4" t="str">
        <f>PROPER(TEXT(Tabla7[[#This Row],[FECHA]],"mmm"))</f>
        <v>Abr</v>
      </c>
      <c r="C18" s="5">
        <v>46119</v>
      </c>
      <c r="D18" s="3" t="s">
        <v>25</v>
      </c>
      <c r="E18" s="3" t="s">
        <v>419</v>
      </c>
      <c r="F18" s="3" t="s">
        <v>1355</v>
      </c>
      <c r="G18" s="6">
        <v>976755</v>
      </c>
      <c r="H18" s="6" t="s">
        <v>22</v>
      </c>
      <c r="I18" s="6">
        <v>976755</v>
      </c>
      <c r="K18" s="4" t="str">
        <f>PROPER(TEXT(Tabla8[[#This Row],[FECHA]],"mmm"))</f>
        <v>May</v>
      </c>
      <c r="L18" s="5">
        <v>46167</v>
      </c>
      <c r="M18" s="3" t="s">
        <v>39</v>
      </c>
      <c r="N18" s="3" t="s">
        <v>1072</v>
      </c>
      <c r="O18" s="8" t="s">
        <v>1647</v>
      </c>
      <c r="P18" s="3" t="s">
        <v>411</v>
      </c>
      <c r="Q18" s="3" t="s">
        <v>913</v>
      </c>
      <c r="R18" s="6">
        <v>10000</v>
      </c>
      <c r="S18" s="3" t="s">
        <v>20</v>
      </c>
      <c r="T18" s="6"/>
      <c r="U18" s="7" t="s">
        <v>44</v>
      </c>
      <c r="V18" s="9">
        <f>SUMIF(Tabla7[MES],Tabla9[[#This Row],[MES]],Tabla7[IMPORTE])</f>
        <v>0</v>
      </c>
      <c r="W18" s="9">
        <f>SUMIF(Tabla8[MES],Tabla9[[#This Row],[MES]],Tabla8[IMPORTE])</f>
        <v>0</v>
      </c>
      <c r="X18" s="9">
        <f>Tabla9[[#This Row],[INGRESOS]]-Tabla9[[#This Row],[EGRESOS]]</f>
        <v>0</v>
      </c>
      <c r="Y18" s="9">
        <f>Tabla9[[#This Row],[SALDO MENSUAL]]+Y17</f>
        <v>12339228</v>
      </c>
    </row>
    <row r="19" spans="2:25" x14ac:dyDescent="0.2">
      <c r="B19" s="4" t="str">
        <f>PROPER(TEXT(Tabla7[[#This Row],[FECHA]],"mmm"))</f>
        <v>Abr</v>
      </c>
      <c r="C19" s="5">
        <v>46118</v>
      </c>
      <c r="D19" s="3" t="s">
        <v>25</v>
      </c>
      <c r="E19" s="3" t="s">
        <v>419</v>
      </c>
      <c r="F19" s="3" t="s">
        <v>1356</v>
      </c>
      <c r="G19" s="6">
        <v>1376020</v>
      </c>
      <c r="H19" s="6" t="s">
        <v>22</v>
      </c>
      <c r="I19" s="6">
        <v>1376020</v>
      </c>
      <c r="K19" s="4" t="str">
        <f>PROPER(TEXT(Tabla8[[#This Row],[FECHA]],"mmm"))</f>
        <v>May</v>
      </c>
      <c r="L19" s="5">
        <v>46167</v>
      </c>
      <c r="M19" s="3" t="s">
        <v>37</v>
      </c>
      <c r="N19" s="3" t="s">
        <v>1645</v>
      </c>
      <c r="O19" s="8" t="s">
        <v>1646</v>
      </c>
      <c r="P19" s="3" t="s">
        <v>411</v>
      </c>
      <c r="Q19" s="3" t="s">
        <v>478</v>
      </c>
      <c r="R19" s="6">
        <v>98327</v>
      </c>
      <c r="S19" s="3" t="s">
        <v>29</v>
      </c>
      <c r="T19" s="6"/>
    </row>
    <row r="20" spans="2:25" x14ac:dyDescent="0.2">
      <c r="B20" s="4" t="str">
        <f>PROPER(TEXT(Tabla7[[#This Row],[FECHA]],"mmm"))</f>
        <v>Abr</v>
      </c>
      <c r="C20" s="5">
        <v>46114</v>
      </c>
      <c r="D20" s="3" t="s">
        <v>25</v>
      </c>
      <c r="E20" s="3" t="s">
        <v>419</v>
      </c>
      <c r="F20" s="3" t="s">
        <v>1357</v>
      </c>
      <c r="G20" s="6">
        <v>2092500</v>
      </c>
      <c r="H20" s="6" t="s">
        <v>22</v>
      </c>
      <c r="I20" s="6">
        <v>2092500</v>
      </c>
      <c r="K20" s="4" t="str">
        <f>PROPER(TEXT(Tabla8[[#This Row],[FECHA]],"mmm"))</f>
        <v>May</v>
      </c>
      <c r="L20" s="5">
        <v>46164</v>
      </c>
      <c r="M20" s="3" t="s">
        <v>37</v>
      </c>
      <c r="N20" s="3" t="s">
        <v>524</v>
      </c>
      <c r="O20" s="8" t="s">
        <v>21</v>
      </c>
      <c r="P20" s="3" t="s">
        <v>22</v>
      </c>
      <c r="Q20" s="3" t="s">
        <v>415</v>
      </c>
      <c r="R20" s="6">
        <v>10110</v>
      </c>
      <c r="S20" s="3" t="s">
        <v>20</v>
      </c>
      <c r="T20" s="6"/>
    </row>
    <row r="21" spans="2:25" x14ac:dyDescent="0.2">
      <c r="B21" s="4" t="str">
        <f>PROPER(TEXT(Tabla7[[#This Row],[FECHA]],"mmm"))</f>
        <v>Abr</v>
      </c>
      <c r="C21" s="5">
        <v>46113</v>
      </c>
      <c r="D21" s="3" t="s">
        <v>25</v>
      </c>
      <c r="E21" s="3" t="s">
        <v>419</v>
      </c>
      <c r="F21" s="3" t="s">
        <v>1358</v>
      </c>
      <c r="G21" s="6">
        <v>1865500</v>
      </c>
      <c r="H21" s="6" t="s">
        <v>22</v>
      </c>
      <c r="I21" s="6">
        <v>1865500</v>
      </c>
      <c r="K21" s="4" t="str">
        <f>PROPER(TEXT(Tabla8[[#This Row],[FECHA]],"mmm"))</f>
        <v>May</v>
      </c>
      <c r="L21" s="5">
        <v>46162</v>
      </c>
      <c r="M21" s="3" t="s">
        <v>23</v>
      </c>
      <c r="N21" s="3" t="s">
        <v>1639</v>
      </c>
      <c r="O21" s="8" t="s">
        <v>1640</v>
      </c>
      <c r="P21" s="3" t="s">
        <v>24</v>
      </c>
      <c r="Q21" s="3" t="s">
        <v>1641</v>
      </c>
      <c r="R21" s="6">
        <v>60000</v>
      </c>
      <c r="S21" s="3" t="s">
        <v>25</v>
      </c>
      <c r="T21" s="6"/>
    </row>
    <row r="22" spans="2:25" x14ac:dyDescent="0.2">
      <c r="B22" s="4" t="str">
        <f>PROPER(TEXT(Tabla7[[#This Row],[FECHA]],"mmm"))</f>
        <v>Feb</v>
      </c>
      <c r="C22" s="5">
        <v>46081</v>
      </c>
      <c r="D22" s="3" t="s">
        <v>25</v>
      </c>
      <c r="E22" s="3" t="s">
        <v>419</v>
      </c>
      <c r="F22" s="3" t="s">
        <v>1173</v>
      </c>
      <c r="G22" s="6">
        <v>949750</v>
      </c>
      <c r="H22" s="6" t="s">
        <v>22</v>
      </c>
      <c r="I22" s="6">
        <v>949750</v>
      </c>
      <c r="K22" s="4" t="str">
        <f>PROPER(TEXT(Tabla8[[#This Row],[FECHA]],"mmm"))</f>
        <v>May</v>
      </c>
      <c r="L22" s="5">
        <v>46162</v>
      </c>
      <c r="M22" s="3" t="s">
        <v>23</v>
      </c>
      <c r="N22" s="3" t="s">
        <v>1637</v>
      </c>
      <c r="O22" s="8" t="s">
        <v>1638</v>
      </c>
      <c r="P22" s="3" t="s">
        <v>24</v>
      </c>
      <c r="Q22" s="3" t="s">
        <v>695</v>
      </c>
      <c r="R22" s="6">
        <v>9900</v>
      </c>
      <c r="S22" s="3" t="s">
        <v>25</v>
      </c>
      <c r="T22" s="6"/>
    </row>
    <row r="23" spans="2:25" x14ac:dyDescent="0.2">
      <c r="B23" s="4" t="str">
        <f>PROPER(TEXT(Tabla7[[#This Row],[FECHA]],"mmm"))</f>
        <v>Feb</v>
      </c>
      <c r="C23" s="5">
        <v>46080</v>
      </c>
      <c r="D23" s="3" t="s">
        <v>29</v>
      </c>
      <c r="E23" s="3" t="s">
        <v>1521</v>
      </c>
      <c r="F23" s="3" t="s">
        <v>414</v>
      </c>
      <c r="G23" s="6">
        <v>844900</v>
      </c>
      <c r="H23" s="6" t="s">
        <v>24</v>
      </c>
      <c r="I23" s="6">
        <v>844900</v>
      </c>
      <c r="K23" s="4" t="str">
        <f>PROPER(TEXT(Tabla8[[#This Row],[FECHA]],"mmm"))</f>
        <v>Abr</v>
      </c>
      <c r="L23" s="5">
        <v>46137</v>
      </c>
      <c r="M23" s="3" t="s">
        <v>23</v>
      </c>
      <c r="N23" s="3" t="s">
        <v>1635</v>
      </c>
      <c r="O23" s="8" t="s">
        <v>1636</v>
      </c>
      <c r="P23" s="3" t="s">
        <v>24</v>
      </c>
      <c r="Q23" s="3" t="s">
        <v>695</v>
      </c>
      <c r="R23" s="6">
        <v>10900</v>
      </c>
      <c r="S23" s="3" t="s">
        <v>25</v>
      </c>
      <c r="T23" s="6"/>
    </row>
    <row r="24" spans="2:25" x14ac:dyDescent="0.2">
      <c r="B24" s="4" t="str">
        <f>PROPER(TEXT(Tabla7[[#This Row],[FECHA]],"mmm"))</f>
        <v>Feb</v>
      </c>
      <c r="C24" s="5">
        <v>46080</v>
      </c>
      <c r="D24" s="3" t="s">
        <v>25</v>
      </c>
      <c r="E24" s="3" t="s">
        <v>419</v>
      </c>
      <c r="F24" s="3" t="s">
        <v>1155</v>
      </c>
      <c r="G24" s="6">
        <v>1305592</v>
      </c>
      <c r="H24" s="6" t="s">
        <v>22</v>
      </c>
      <c r="I24" s="6">
        <v>1305592</v>
      </c>
      <c r="K24" s="4" t="str">
        <f>PROPER(TEXT(Tabla8[[#This Row],[FECHA]],"mmm"))</f>
        <v>Abr</v>
      </c>
      <c r="L24" s="5">
        <v>46137</v>
      </c>
      <c r="M24" s="3" t="s">
        <v>23</v>
      </c>
      <c r="N24" s="3" t="s">
        <v>1632</v>
      </c>
      <c r="O24" s="8" t="s">
        <v>1633</v>
      </c>
      <c r="P24" s="3" t="s">
        <v>24</v>
      </c>
      <c r="Q24" s="3" t="s">
        <v>1634</v>
      </c>
      <c r="R24" s="6">
        <v>35599</v>
      </c>
      <c r="S24" s="3" t="s">
        <v>25</v>
      </c>
      <c r="T24" s="6"/>
    </row>
    <row r="25" spans="2:25" x14ac:dyDescent="0.2">
      <c r="B25" s="4" t="str">
        <f>PROPER(TEXT(Tabla7[[#This Row],[FECHA]],"mmm"))</f>
        <v>Feb</v>
      </c>
      <c r="C25" s="5">
        <v>46080</v>
      </c>
      <c r="D25" s="3" t="s">
        <v>20</v>
      </c>
      <c r="E25" s="3" t="s">
        <v>424</v>
      </c>
      <c r="F25" s="3" t="s">
        <v>1155</v>
      </c>
      <c r="G25" s="6">
        <v>93000</v>
      </c>
      <c r="H25" s="6" t="s">
        <v>22</v>
      </c>
      <c r="I25" s="6">
        <v>93000</v>
      </c>
      <c r="K25" s="4" t="str">
        <f>PROPER(TEXT(Tabla8[[#This Row],[FECHA]],"mmm"))</f>
        <v>Abr</v>
      </c>
      <c r="L25" s="5">
        <v>46129</v>
      </c>
      <c r="M25" s="3" t="s">
        <v>539</v>
      </c>
      <c r="N25" s="3" t="s">
        <v>1630</v>
      </c>
      <c r="O25" s="8" t="s">
        <v>1631</v>
      </c>
      <c r="P25" s="3" t="s">
        <v>24</v>
      </c>
      <c r="Q25" s="3" t="s">
        <v>542</v>
      </c>
      <c r="R25" s="6">
        <v>54008</v>
      </c>
      <c r="S25" s="3" t="s">
        <v>25</v>
      </c>
      <c r="T25" s="6"/>
    </row>
    <row r="26" spans="2:25" x14ac:dyDescent="0.2">
      <c r="B26" s="4" t="str">
        <f>PROPER(TEXT(Tabla7[[#This Row],[FECHA]],"mmm"))</f>
        <v>Feb</v>
      </c>
      <c r="C26" s="5">
        <v>46079</v>
      </c>
      <c r="D26" s="3" t="s">
        <v>29</v>
      </c>
      <c r="E26" s="3" t="s">
        <v>1486</v>
      </c>
      <c r="F26" s="3" t="s">
        <v>1487</v>
      </c>
      <c r="G26" s="6">
        <v>416500</v>
      </c>
      <c r="H26" s="6" t="s">
        <v>24</v>
      </c>
      <c r="I26" s="6">
        <v>416500</v>
      </c>
      <c r="K26" s="4" t="str">
        <f>PROPER(TEXT(Tabla8[[#This Row],[FECHA]],"mmm"))</f>
        <v>Abr</v>
      </c>
      <c r="L26" s="5">
        <v>46129</v>
      </c>
      <c r="M26" s="3" t="s">
        <v>23</v>
      </c>
      <c r="N26" s="3" t="s">
        <v>1626</v>
      </c>
      <c r="O26" s="8" t="s">
        <v>1627</v>
      </c>
      <c r="P26" s="3" t="s">
        <v>24</v>
      </c>
      <c r="Q26" s="3" t="s">
        <v>937</v>
      </c>
      <c r="R26" s="6">
        <v>320705</v>
      </c>
      <c r="S26" s="3" t="s">
        <v>25</v>
      </c>
      <c r="T26" s="6"/>
    </row>
    <row r="27" spans="2:25" x14ac:dyDescent="0.2">
      <c r="B27" s="4" t="str">
        <f>PROPER(TEXT(Tabla7[[#This Row],[FECHA]],"mmm"))</f>
        <v>Feb</v>
      </c>
      <c r="C27" s="5">
        <v>46079</v>
      </c>
      <c r="D27" s="3" t="s">
        <v>29</v>
      </c>
      <c r="E27" s="3" t="s">
        <v>1253</v>
      </c>
      <c r="F27" s="3" t="s">
        <v>1224</v>
      </c>
      <c r="G27" s="6">
        <v>77350</v>
      </c>
      <c r="H27" s="6" t="s">
        <v>24</v>
      </c>
      <c r="I27" s="6">
        <v>77350</v>
      </c>
      <c r="K27" s="4" t="str">
        <f>PROPER(TEXT(Tabla8[[#This Row],[FECHA]],"mmm"))</f>
        <v>Abr</v>
      </c>
      <c r="L27" s="5">
        <v>46129</v>
      </c>
      <c r="M27" s="3" t="s">
        <v>23</v>
      </c>
      <c r="N27" s="3" t="s">
        <v>1190</v>
      </c>
      <c r="O27" s="8" t="s">
        <v>1625</v>
      </c>
      <c r="P27" s="3" t="s">
        <v>24</v>
      </c>
      <c r="Q27" s="3" t="s">
        <v>1107</v>
      </c>
      <c r="R27" s="6">
        <v>166552</v>
      </c>
      <c r="S27" s="3" t="s">
        <v>25</v>
      </c>
      <c r="T27" s="6"/>
    </row>
    <row r="28" spans="2:25" x14ac:dyDescent="0.2">
      <c r="B28" s="4" t="str">
        <f>PROPER(TEXT(Tabla7[[#This Row],[FECHA]],"mmm"))</f>
        <v>Feb</v>
      </c>
      <c r="C28" s="5">
        <v>46079</v>
      </c>
      <c r="D28" s="3" t="s">
        <v>25</v>
      </c>
      <c r="E28" s="3" t="s">
        <v>419</v>
      </c>
      <c r="F28" s="3" t="s">
        <v>1154</v>
      </c>
      <c r="G28" s="6">
        <v>1228700</v>
      </c>
      <c r="H28" s="6" t="s">
        <v>22</v>
      </c>
      <c r="I28" s="6">
        <v>1228700</v>
      </c>
      <c r="K28" s="4" t="str">
        <f>PROPER(TEXT(Tabla8[[#This Row],[FECHA]],"mmm"))</f>
        <v>May</v>
      </c>
      <c r="L28" s="5">
        <v>46160</v>
      </c>
      <c r="M28" s="3" t="s">
        <v>23</v>
      </c>
      <c r="N28" s="3" t="s">
        <v>1622</v>
      </c>
      <c r="O28" s="8" t="s">
        <v>1623</v>
      </c>
      <c r="P28" s="3" t="s">
        <v>24</v>
      </c>
      <c r="Q28" s="3" t="s">
        <v>1624</v>
      </c>
      <c r="R28" s="6">
        <v>2200</v>
      </c>
      <c r="S28" s="3" t="s">
        <v>20</v>
      </c>
      <c r="T28" s="6"/>
    </row>
    <row r="29" spans="2:25" x14ac:dyDescent="0.2">
      <c r="B29" s="4" t="str">
        <f>PROPER(TEXT(Tabla7[[#This Row],[FECHA]],"mmm"))</f>
        <v>Feb</v>
      </c>
      <c r="C29" s="5">
        <v>46079</v>
      </c>
      <c r="D29" s="3" t="s">
        <v>20</v>
      </c>
      <c r="E29" s="3" t="s">
        <v>424</v>
      </c>
      <c r="F29" s="3" t="s">
        <v>1154</v>
      </c>
      <c r="G29" s="6">
        <v>118000</v>
      </c>
      <c r="H29" s="6" t="s">
        <v>22</v>
      </c>
      <c r="I29" s="6">
        <v>118000</v>
      </c>
      <c r="K29" s="4" t="str">
        <f>PROPER(TEXT(Tabla8[[#This Row],[FECHA]],"mmm"))</f>
        <v>May</v>
      </c>
      <c r="L29" s="5">
        <v>46146</v>
      </c>
      <c r="M29" s="3" t="s">
        <v>35</v>
      </c>
      <c r="N29" s="3" t="s">
        <v>697</v>
      </c>
      <c r="O29" s="8" t="s">
        <v>1620</v>
      </c>
      <c r="P29" s="3" t="s">
        <v>24</v>
      </c>
      <c r="Q29" s="3" t="s">
        <v>1621</v>
      </c>
      <c r="R29" s="6">
        <v>1294559</v>
      </c>
      <c r="S29" s="3" t="s">
        <v>29</v>
      </c>
      <c r="T29" s="6"/>
    </row>
    <row r="30" spans="2:25" x14ac:dyDescent="0.2">
      <c r="B30" s="4" t="str">
        <f>PROPER(TEXT(Tabla7[[#This Row],[FECHA]],"mmm"))</f>
        <v>Feb</v>
      </c>
      <c r="C30" s="5">
        <v>46078</v>
      </c>
      <c r="D30" s="3" t="s">
        <v>29</v>
      </c>
      <c r="E30" s="3" t="s">
        <v>546</v>
      </c>
      <c r="F30" s="3" t="s">
        <v>21</v>
      </c>
      <c r="G30" s="6">
        <v>4760000</v>
      </c>
      <c r="H30" s="6" t="s">
        <v>22</v>
      </c>
      <c r="I30" s="6">
        <v>4760000</v>
      </c>
      <c r="K30" s="4" t="str">
        <f>PROPER(TEXT(Tabla8[[#This Row],[FECHA]],"mmm"))</f>
        <v>May</v>
      </c>
      <c r="L30" s="5">
        <v>46154</v>
      </c>
      <c r="M30" s="3" t="s">
        <v>23</v>
      </c>
      <c r="N30" s="3" t="s">
        <v>1614</v>
      </c>
      <c r="O30" s="8" t="s">
        <v>1615</v>
      </c>
      <c r="P30" s="3" t="s">
        <v>24</v>
      </c>
      <c r="Q30" s="3" t="s">
        <v>741</v>
      </c>
      <c r="R30" s="6">
        <v>85581</v>
      </c>
      <c r="S30" s="3" t="s">
        <v>25</v>
      </c>
      <c r="T30" s="6"/>
    </row>
    <row r="31" spans="2:25" x14ac:dyDescent="0.2">
      <c r="B31" s="4" t="str">
        <f>PROPER(TEXT(Tabla7[[#This Row],[FECHA]],"mmm"))</f>
        <v>Feb</v>
      </c>
      <c r="C31" s="5">
        <v>46078</v>
      </c>
      <c r="D31" s="3" t="s">
        <v>25</v>
      </c>
      <c r="E31" s="3" t="s">
        <v>419</v>
      </c>
      <c r="F31" s="3" t="s">
        <v>1153</v>
      </c>
      <c r="G31" s="6">
        <v>1192550</v>
      </c>
      <c r="H31" s="6" t="s">
        <v>22</v>
      </c>
      <c r="I31" s="6">
        <v>1192550</v>
      </c>
      <c r="K31" s="4" t="str">
        <f>PROPER(TEXT(Tabla8[[#This Row],[FECHA]],"mmm"))</f>
        <v>May</v>
      </c>
      <c r="L31" s="5">
        <v>46146</v>
      </c>
      <c r="M31" s="3" t="s">
        <v>23</v>
      </c>
      <c r="N31" s="3" t="s">
        <v>691</v>
      </c>
      <c r="O31" s="8" t="s">
        <v>1602</v>
      </c>
      <c r="P31" s="3" t="s">
        <v>592</v>
      </c>
      <c r="Q31" s="3" t="s">
        <v>1603</v>
      </c>
      <c r="R31" s="6">
        <v>19000</v>
      </c>
      <c r="S31" s="3" t="s">
        <v>25</v>
      </c>
      <c r="T31" s="6"/>
    </row>
    <row r="32" spans="2:25" x14ac:dyDescent="0.2">
      <c r="B32" s="4" t="str">
        <f>PROPER(TEXT(Tabla7[[#This Row],[FECHA]],"mmm"))</f>
        <v>Feb</v>
      </c>
      <c r="C32" s="5">
        <v>46078</v>
      </c>
      <c r="D32" s="3" t="s">
        <v>20</v>
      </c>
      <c r="E32" s="3" t="s">
        <v>424</v>
      </c>
      <c r="F32" s="3" t="s">
        <v>1153</v>
      </c>
      <c r="G32" s="6">
        <v>476000</v>
      </c>
      <c r="H32" s="6" t="s">
        <v>22</v>
      </c>
      <c r="I32" s="6">
        <v>476000</v>
      </c>
      <c r="K32" s="4" t="str">
        <f>PROPER(TEXT(Tabla8[[#This Row],[FECHA]],"mmm"))</f>
        <v>May</v>
      </c>
      <c r="L32" s="5">
        <v>46157</v>
      </c>
      <c r="M32" s="3" t="s">
        <v>23</v>
      </c>
      <c r="N32" s="3" t="s">
        <v>1601</v>
      </c>
      <c r="O32" s="8" t="s">
        <v>21</v>
      </c>
      <c r="P32" s="3" t="s">
        <v>22</v>
      </c>
      <c r="Q32" s="3" t="s">
        <v>888</v>
      </c>
      <c r="R32" s="6">
        <v>22000</v>
      </c>
      <c r="S32" s="3" t="s">
        <v>20</v>
      </c>
      <c r="T32" s="6"/>
    </row>
    <row r="33" spans="2:20" x14ac:dyDescent="0.2">
      <c r="B33" s="4" t="str">
        <f>PROPER(TEXT(Tabla7[[#This Row],[FECHA]],"mmm"))</f>
        <v>Feb</v>
      </c>
      <c r="C33" s="5">
        <v>46077</v>
      </c>
      <c r="D33" s="3" t="s">
        <v>29</v>
      </c>
      <c r="E33" s="3" t="s">
        <v>1491</v>
      </c>
      <c r="F33" s="3" t="s">
        <v>21</v>
      </c>
      <c r="G33" s="6">
        <v>100000</v>
      </c>
      <c r="H33" s="6" t="s">
        <v>22</v>
      </c>
      <c r="I33" s="6">
        <v>100000</v>
      </c>
      <c r="K33" s="4" t="str">
        <f>PROPER(TEXT(Tabla8[[#This Row],[FECHA]],"mmm"))</f>
        <v>May</v>
      </c>
      <c r="L33" s="5">
        <v>46156</v>
      </c>
      <c r="M33" s="3" t="s">
        <v>37</v>
      </c>
      <c r="N33" s="3" t="s">
        <v>524</v>
      </c>
      <c r="O33" s="8" t="s">
        <v>21</v>
      </c>
      <c r="P33" s="3" t="s">
        <v>22</v>
      </c>
      <c r="Q33" s="3" t="s">
        <v>415</v>
      </c>
      <c r="R33" s="6">
        <v>8000</v>
      </c>
      <c r="S33" s="3" t="s">
        <v>20</v>
      </c>
      <c r="T33" s="6"/>
    </row>
    <row r="34" spans="2:20" x14ac:dyDescent="0.2">
      <c r="B34" s="4" t="str">
        <f>PROPER(TEXT(Tabla7[[#This Row],[FECHA]],"mmm"))</f>
        <v>Feb</v>
      </c>
      <c r="C34" s="5">
        <v>46077</v>
      </c>
      <c r="D34" s="3" t="s">
        <v>29</v>
      </c>
      <c r="E34" s="3" t="s">
        <v>1490</v>
      </c>
      <c r="F34" s="3" t="s">
        <v>21</v>
      </c>
      <c r="G34" s="6">
        <v>45000</v>
      </c>
      <c r="H34" s="6" t="s">
        <v>22</v>
      </c>
      <c r="I34" s="6">
        <v>45000</v>
      </c>
      <c r="K34" s="4" t="str">
        <f>PROPER(TEXT(Tabla8[[#This Row],[FECHA]],"mmm"))</f>
        <v>May</v>
      </c>
      <c r="L34" s="5">
        <v>46156</v>
      </c>
      <c r="M34" s="3" t="s">
        <v>39</v>
      </c>
      <c r="N34" s="3" t="s">
        <v>129</v>
      </c>
      <c r="O34" s="8" t="s">
        <v>1600</v>
      </c>
      <c r="P34" s="3" t="s">
        <v>411</v>
      </c>
      <c r="Q34" s="3" t="s">
        <v>452</v>
      </c>
      <c r="R34" s="6">
        <v>50000</v>
      </c>
      <c r="S34" s="3" t="s">
        <v>20</v>
      </c>
      <c r="T34" s="6"/>
    </row>
    <row r="35" spans="2:20" x14ac:dyDescent="0.2">
      <c r="B35" s="4" t="str">
        <f>PROPER(TEXT(Tabla7[[#This Row],[FECHA]],"mmm"))</f>
        <v>Feb</v>
      </c>
      <c r="C35" s="5">
        <v>46077</v>
      </c>
      <c r="D35" s="3" t="s">
        <v>29</v>
      </c>
      <c r="E35" s="3" t="s">
        <v>1484</v>
      </c>
      <c r="F35" s="3" t="s">
        <v>1485</v>
      </c>
      <c r="G35" s="6">
        <v>648193</v>
      </c>
      <c r="H35" s="6" t="s">
        <v>24</v>
      </c>
      <c r="I35" s="6">
        <v>648193</v>
      </c>
      <c r="K35" s="4" t="str">
        <f>PROPER(TEXT(Tabla8[[#This Row],[FECHA]],"mmm"))</f>
        <v>May</v>
      </c>
      <c r="L35" s="5">
        <v>46156</v>
      </c>
      <c r="M35" s="3" t="s">
        <v>39</v>
      </c>
      <c r="N35" s="3" t="s">
        <v>912</v>
      </c>
      <c r="O35" s="8" t="s">
        <v>1599</v>
      </c>
      <c r="P35" s="3" t="s">
        <v>411</v>
      </c>
      <c r="Q35" s="3" t="s">
        <v>913</v>
      </c>
      <c r="R35" s="6">
        <v>20000</v>
      </c>
      <c r="S35" s="3" t="s">
        <v>20</v>
      </c>
      <c r="T35" s="6"/>
    </row>
    <row r="36" spans="2:20" x14ac:dyDescent="0.2">
      <c r="B36" s="4" t="str">
        <f>PROPER(TEXT(Tabla7[[#This Row],[FECHA]],"mmm"))</f>
        <v>Feb</v>
      </c>
      <c r="C36" s="5">
        <v>46077</v>
      </c>
      <c r="D36" s="3" t="s">
        <v>25</v>
      </c>
      <c r="E36" s="3" t="s">
        <v>419</v>
      </c>
      <c r="F36" s="3" t="s">
        <v>1152</v>
      </c>
      <c r="G36" s="6">
        <v>814029</v>
      </c>
      <c r="H36" s="6" t="s">
        <v>22</v>
      </c>
      <c r="I36" s="6">
        <v>814029</v>
      </c>
      <c r="K36" s="4" t="str">
        <f>PROPER(TEXT(Tabla8[[#This Row],[FECHA]],"mmm"))</f>
        <v>May</v>
      </c>
      <c r="L36" s="5">
        <v>46156</v>
      </c>
      <c r="M36" s="3" t="s">
        <v>23</v>
      </c>
      <c r="N36" s="3" t="s">
        <v>1597</v>
      </c>
      <c r="O36" s="8" t="s">
        <v>1598</v>
      </c>
      <c r="P36" s="3" t="s">
        <v>592</v>
      </c>
      <c r="Q36" s="3" t="s">
        <v>1597</v>
      </c>
      <c r="R36" s="6">
        <v>5100</v>
      </c>
      <c r="S36" s="3" t="s">
        <v>20</v>
      </c>
      <c r="T36" s="6"/>
    </row>
    <row r="37" spans="2:20" x14ac:dyDescent="0.2">
      <c r="B37" s="4" t="str">
        <f>PROPER(TEXT(Tabla7[[#This Row],[FECHA]],"mmm"))</f>
        <v>Feb</v>
      </c>
      <c r="C37" s="5">
        <v>46077</v>
      </c>
      <c r="D37" s="3" t="s">
        <v>20</v>
      </c>
      <c r="E37" s="3" t="s">
        <v>1151</v>
      </c>
      <c r="F37" s="3" t="s">
        <v>1152</v>
      </c>
      <c r="G37" s="6">
        <v>31000</v>
      </c>
      <c r="H37" s="6" t="s">
        <v>22</v>
      </c>
      <c r="I37" s="6">
        <v>31000</v>
      </c>
      <c r="K37" s="4" t="str">
        <f>PROPER(TEXT(Tabla8[[#This Row],[FECHA]],"mmm"))</f>
        <v>May</v>
      </c>
      <c r="L37" s="5">
        <v>46156</v>
      </c>
      <c r="M37" s="3" t="s">
        <v>23</v>
      </c>
      <c r="N37" s="3" t="s">
        <v>1595</v>
      </c>
      <c r="O37" s="8" t="s">
        <v>1596</v>
      </c>
      <c r="P37" s="3" t="s">
        <v>592</v>
      </c>
      <c r="Q37" s="3" t="s">
        <v>1034</v>
      </c>
      <c r="R37" s="6">
        <v>1650</v>
      </c>
      <c r="S37" s="3" t="s">
        <v>20</v>
      </c>
      <c r="T37" s="6"/>
    </row>
    <row r="38" spans="2:20" x14ac:dyDescent="0.2">
      <c r="B38" s="4" t="str">
        <f>PROPER(TEXT(Tabla7[[#This Row],[FECHA]],"mmm"))</f>
        <v>Feb</v>
      </c>
      <c r="C38" s="5">
        <v>46076</v>
      </c>
      <c r="D38" s="3" t="s">
        <v>29</v>
      </c>
      <c r="E38" s="3" t="s">
        <v>1493</v>
      </c>
      <c r="F38" s="3" t="s">
        <v>1494</v>
      </c>
      <c r="G38" s="6">
        <v>226100</v>
      </c>
      <c r="H38" s="6" t="s">
        <v>24</v>
      </c>
      <c r="I38" s="6">
        <v>226100</v>
      </c>
      <c r="K38" s="4" t="str">
        <f>PROPER(TEXT(Tabla8[[#This Row],[FECHA]],"mmm"))</f>
        <v>May</v>
      </c>
      <c r="L38" s="5">
        <v>46156</v>
      </c>
      <c r="M38" s="3" t="s">
        <v>23</v>
      </c>
      <c r="N38" s="3" t="s">
        <v>1593</v>
      </c>
      <c r="O38" s="8" t="s">
        <v>1594</v>
      </c>
      <c r="P38" s="3" t="s">
        <v>592</v>
      </c>
      <c r="Q38" s="3" t="s">
        <v>1034</v>
      </c>
      <c r="R38" s="6">
        <v>4950</v>
      </c>
      <c r="S38" s="3" t="s">
        <v>20</v>
      </c>
      <c r="T38" s="6"/>
    </row>
    <row r="39" spans="2:20" x14ac:dyDescent="0.2">
      <c r="B39" s="4" t="str">
        <f>PROPER(TEXT(Tabla7[[#This Row],[FECHA]],"mmm"))</f>
        <v>Feb</v>
      </c>
      <c r="C39" s="5">
        <v>46076</v>
      </c>
      <c r="D39" s="3" t="s">
        <v>29</v>
      </c>
      <c r="E39" s="3" t="s">
        <v>1492</v>
      </c>
      <c r="F39" s="3" t="s">
        <v>21</v>
      </c>
      <c r="G39" s="6">
        <v>80000</v>
      </c>
      <c r="H39" s="6" t="s">
        <v>22</v>
      </c>
      <c r="I39" s="6">
        <v>80000</v>
      </c>
      <c r="K39" s="4" t="str">
        <f>PROPER(TEXT(Tabla8[[#This Row],[FECHA]],"mmm"))</f>
        <v>May</v>
      </c>
      <c r="L39" s="5">
        <v>46155</v>
      </c>
      <c r="M39" s="3" t="s">
        <v>37</v>
      </c>
      <c r="N39" s="3" t="s">
        <v>1591</v>
      </c>
      <c r="O39" s="8" t="s">
        <v>21</v>
      </c>
      <c r="P39" s="3" t="s">
        <v>22</v>
      </c>
      <c r="Q39" s="3" t="s">
        <v>415</v>
      </c>
      <c r="R39" s="6">
        <v>8000</v>
      </c>
      <c r="S39" s="3" t="s">
        <v>20</v>
      </c>
      <c r="T39" s="6"/>
    </row>
    <row r="40" spans="2:20" x14ac:dyDescent="0.2">
      <c r="B40" s="4" t="str">
        <f>PROPER(TEXT(Tabla7[[#This Row],[FECHA]],"mmm"))</f>
        <v>Feb</v>
      </c>
      <c r="C40" s="5">
        <v>46076</v>
      </c>
      <c r="D40" s="3" t="s">
        <v>29</v>
      </c>
      <c r="E40" s="3" t="s">
        <v>1479</v>
      </c>
      <c r="F40" s="3" t="s">
        <v>1480</v>
      </c>
      <c r="G40" s="6">
        <v>29631</v>
      </c>
      <c r="H40" s="6" t="s">
        <v>24</v>
      </c>
      <c r="I40" s="6">
        <v>29631</v>
      </c>
      <c r="K40" s="4" t="str">
        <f>PROPER(TEXT(Tabla8[[#This Row],[FECHA]],"mmm"))</f>
        <v>May</v>
      </c>
      <c r="L40" s="5">
        <v>46155</v>
      </c>
      <c r="M40" s="3" t="s">
        <v>39</v>
      </c>
      <c r="N40" s="3" t="s">
        <v>1589</v>
      </c>
      <c r="O40" s="8" t="s">
        <v>1590</v>
      </c>
      <c r="P40" s="3" t="s">
        <v>411</v>
      </c>
      <c r="Q40" s="3" t="s">
        <v>412</v>
      </c>
      <c r="R40" s="6">
        <v>20000</v>
      </c>
      <c r="S40" s="3" t="s">
        <v>20</v>
      </c>
      <c r="T40" s="6"/>
    </row>
    <row r="41" spans="2:20" x14ac:dyDescent="0.2">
      <c r="B41" s="4" t="str">
        <f>PROPER(TEXT(Tabla7[[#This Row],[FECHA]],"mmm"))</f>
        <v>Feb</v>
      </c>
      <c r="C41" s="5">
        <v>46076</v>
      </c>
      <c r="D41" s="3" t="s">
        <v>29</v>
      </c>
      <c r="E41" s="3" t="s">
        <v>1478</v>
      </c>
      <c r="F41" s="3" t="s">
        <v>21</v>
      </c>
      <c r="G41" s="6">
        <v>11000</v>
      </c>
      <c r="H41" s="6" t="s">
        <v>22</v>
      </c>
      <c r="I41" s="6">
        <v>11000</v>
      </c>
      <c r="K41" s="4" t="str">
        <f>PROPER(TEXT(Tabla8[[#This Row],[FECHA]],"mmm"))</f>
        <v>May</v>
      </c>
      <c r="L41" s="5">
        <v>46155</v>
      </c>
      <c r="M41" s="3" t="s">
        <v>39</v>
      </c>
      <c r="N41" s="3" t="s">
        <v>1586</v>
      </c>
      <c r="O41" s="8" t="s">
        <v>1588</v>
      </c>
      <c r="P41" s="3" t="s">
        <v>411</v>
      </c>
      <c r="Q41" s="3" t="s">
        <v>913</v>
      </c>
      <c r="R41" s="6">
        <v>30000</v>
      </c>
      <c r="S41" s="3" t="s">
        <v>20</v>
      </c>
      <c r="T41" s="6"/>
    </row>
    <row r="42" spans="2:20" x14ac:dyDescent="0.2">
      <c r="B42" s="4" t="str">
        <f>PROPER(TEXT(Tabla7[[#This Row],[FECHA]],"mmm"))</f>
        <v>Feb</v>
      </c>
      <c r="C42" s="5">
        <v>46076</v>
      </c>
      <c r="D42" s="3" t="s">
        <v>29</v>
      </c>
      <c r="E42" s="3" t="s">
        <v>732</v>
      </c>
      <c r="F42" s="3" t="s">
        <v>1477</v>
      </c>
      <c r="G42" s="6">
        <v>74375</v>
      </c>
      <c r="H42" s="6" t="s">
        <v>24</v>
      </c>
      <c r="I42" s="6">
        <v>74375</v>
      </c>
      <c r="K42" s="4" t="str">
        <f>PROPER(TEXT(Tabla8[[#This Row],[FECHA]],"mmm"))</f>
        <v>May</v>
      </c>
      <c r="L42" s="5">
        <v>46150</v>
      </c>
      <c r="M42" s="3" t="s">
        <v>39</v>
      </c>
      <c r="N42" s="3" t="s">
        <v>448</v>
      </c>
      <c r="O42" s="8" t="s">
        <v>1583</v>
      </c>
      <c r="P42" s="3" t="s">
        <v>411</v>
      </c>
      <c r="Q42" s="3" t="s">
        <v>412</v>
      </c>
      <c r="R42" s="6">
        <v>20000</v>
      </c>
      <c r="S42" s="3" t="s">
        <v>20</v>
      </c>
      <c r="T42" s="6"/>
    </row>
    <row r="43" spans="2:20" x14ac:dyDescent="0.2">
      <c r="B43" s="4" t="str">
        <f>PROPER(TEXT(Tabla7[[#This Row],[FECHA]],"mmm"))</f>
        <v>Feb</v>
      </c>
      <c r="C43" s="5">
        <v>46076</v>
      </c>
      <c r="D43" s="3" t="s">
        <v>25</v>
      </c>
      <c r="E43" s="3" t="s">
        <v>419</v>
      </c>
      <c r="F43" s="3" t="s">
        <v>979</v>
      </c>
      <c r="G43" s="6">
        <v>592500</v>
      </c>
      <c r="H43" s="6" t="s">
        <v>22</v>
      </c>
      <c r="I43" s="6">
        <v>592500</v>
      </c>
      <c r="K43" s="4" t="str">
        <f>PROPER(TEXT(Tabla8[[#This Row],[FECHA]],"mmm"))</f>
        <v>May</v>
      </c>
      <c r="L43" s="5">
        <v>46150</v>
      </c>
      <c r="M43" s="3" t="s">
        <v>23</v>
      </c>
      <c r="N43" s="3" t="s">
        <v>551</v>
      </c>
      <c r="O43" s="8" t="s">
        <v>21</v>
      </c>
      <c r="P43" s="3" t="s">
        <v>22</v>
      </c>
      <c r="Q43" s="3" t="s">
        <v>1514</v>
      </c>
      <c r="R43" s="6">
        <v>100000</v>
      </c>
      <c r="S43" s="3" t="s">
        <v>20</v>
      </c>
      <c r="T43" s="6"/>
    </row>
    <row r="44" spans="2:20" x14ac:dyDescent="0.2">
      <c r="B44" s="4" t="str">
        <f>PROPER(TEXT(Tabla7[[#This Row],[FECHA]],"mmm"))</f>
        <v>Feb</v>
      </c>
      <c r="C44" s="5">
        <v>46076</v>
      </c>
      <c r="D44" s="3" t="s">
        <v>20</v>
      </c>
      <c r="E44" s="3" t="s">
        <v>424</v>
      </c>
      <c r="F44" s="3" t="s">
        <v>979</v>
      </c>
      <c r="G44" s="6">
        <v>278000</v>
      </c>
      <c r="H44" s="6" t="s">
        <v>22</v>
      </c>
      <c r="I44" s="6">
        <v>278000</v>
      </c>
      <c r="K44" s="4" t="str">
        <f>PROPER(TEXT(Tabla8[[#This Row],[FECHA]],"mmm"))</f>
        <v>May</v>
      </c>
      <c r="L44" s="5">
        <v>46150</v>
      </c>
      <c r="M44" s="3" t="s">
        <v>23</v>
      </c>
      <c r="N44" s="3" t="s">
        <v>1580</v>
      </c>
      <c r="O44" s="8" t="s">
        <v>21</v>
      </c>
      <c r="P44" s="3" t="s">
        <v>22</v>
      </c>
      <c r="Q44" s="3" t="s">
        <v>1579</v>
      </c>
      <c r="R44" s="6">
        <v>7000</v>
      </c>
      <c r="S44" s="3" t="s">
        <v>20</v>
      </c>
      <c r="T44" s="6"/>
    </row>
    <row r="45" spans="2:20" x14ac:dyDescent="0.2">
      <c r="B45" s="4" t="str">
        <f>PROPER(TEXT(Tabla7[[#This Row],[FECHA]],"mmm"))</f>
        <v>Feb</v>
      </c>
      <c r="C45" s="5">
        <v>46074</v>
      </c>
      <c r="D45" s="3" t="s">
        <v>25</v>
      </c>
      <c r="E45" s="3" t="s">
        <v>419</v>
      </c>
      <c r="F45" s="3" t="s">
        <v>1172</v>
      </c>
      <c r="G45" s="6">
        <v>780000</v>
      </c>
      <c r="H45" s="6" t="s">
        <v>22</v>
      </c>
      <c r="I45" s="6">
        <v>780000</v>
      </c>
      <c r="K45" s="4" t="str">
        <f>PROPER(TEXT(Tabla8[[#This Row],[FECHA]],"mmm"))</f>
        <v>May</v>
      </c>
      <c r="L45" s="5">
        <v>46150</v>
      </c>
      <c r="M45" s="3" t="s">
        <v>23</v>
      </c>
      <c r="N45" s="3" t="s">
        <v>1577</v>
      </c>
      <c r="O45" s="8" t="s">
        <v>1578</v>
      </c>
      <c r="P45" s="3" t="s">
        <v>24</v>
      </c>
      <c r="Q45" s="3" t="s">
        <v>695</v>
      </c>
      <c r="R45" s="6">
        <v>26700</v>
      </c>
      <c r="S45" s="3" t="s">
        <v>25</v>
      </c>
      <c r="T45" s="6"/>
    </row>
    <row r="46" spans="2:20" x14ac:dyDescent="0.2">
      <c r="B46" s="4" t="str">
        <f>PROPER(TEXT(Tabla7[[#This Row],[FECHA]],"mmm"))</f>
        <v>Feb</v>
      </c>
      <c r="C46" s="5">
        <v>46073</v>
      </c>
      <c r="D46" s="3" t="s">
        <v>29</v>
      </c>
      <c r="E46" s="3" t="s">
        <v>1499</v>
      </c>
      <c r="F46" s="3" t="s">
        <v>414</v>
      </c>
      <c r="G46" s="6">
        <v>500000</v>
      </c>
      <c r="H46" s="6" t="s">
        <v>24</v>
      </c>
      <c r="I46" s="6">
        <v>500000</v>
      </c>
      <c r="K46" s="4" t="str">
        <f>PROPER(TEXT(Tabla8[[#This Row],[FECHA]],"mmm"))</f>
        <v>May</v>
      </c>
      <c r="L46" s="5">
        <v>46150</v>
      </c>
      <c r="M46" s="3" t="s">
        <v>23</v>
      </c>
      <c r="N46" s="3" t="s">
        <v>281</v>
      </c>
      <c r="O46" s="8" t="s">
        <v>1576</v>
      </c>
      <c r="P46" s="3" t="s">
        <v>592</v>
      </c>
      <c r="Q46" s="3" t="s">
        <v>281</v>
      </c>
      <c r="R46" s="6">
        <v>1000</v>
      </c>
      <c r="S46" s="3" t="s">
        <v>25</v>
      </c>
      <c r="T46" s="6"/>
    </row>
    <row r="47" spans="2:20" x14ac:dyDescent="0.2">
      <c r="B47" s="4" t="str">
        <f>PROPER(TEXT(Tabla7[[#This Row],[FECHA]],"mmm"))</f>
        <v>Feb</v>
      </c>
      <c r="C47" s="5">
        <v>46073</v>
      </c>
      <c r="D47" s="3" t="s">
        <v>29</v>
      </c>
      <c r="E47" s="3" t="s">
        <v>1498</v>
      </c>
      <c r="F47" s="3" t="s">
        <v>414</v>
      </c>
      <c r="G47" s="6">
        <v>178300</v>
      </c>
      <c r="H47" s="6" t="s">
        <v>24</v>
      </c>
      <c r="I47" s="6">
        <v>178300</v>
      </c>
      <c r="K47" s="4" t="str">
        <f>PROPER(TEXT(Tabla8[[#This Row],[FECHA]],"mmm"))</f>
        <v>May</v>
      </c>
      <c r="L47" s="5">
        <v>46149</v>
      </c>
      <c r="M47" s="3" t="s">
        <v>39</v>
      </c>
      <c r="N47" s="3" t="s">
        <v>912</v>
      </c>
      <c r="O47" s="8" t="s">
        <v>1575</v>
      </c>
      <c r="P47" s="3" t="s">
        <v>411</v>
      </c>
      <c r="Q47" s="3" t="s">
        <v>913</v>
      </c>
      <c r="R47" s="6">
        <v>20000</v>
      </c>
      <c r="S47" s="3" t="s">
        <v>20</v>
      </c>
      <c r="T47" s="6"/>
    </row>
    <row r="48" spans="2:20" x14ac:dyDescent="0.2">
      <c r="B48" s="4" t="str">
        <f>PROPER(TEXT(Tabla7[[#This Row],[FECHA]],"mmm"))</f>
        <v>Feb</v>
      </c>
      <c r="C48" s="5">
        <v>46073</v>
      </c>
      <c r="D48" s="3" t="s">
        <v>29</v>
      </c>
      <c r="E48" s="3" t="s">
        <v>1497</v>
      </c>
      <c r="F48" s="3" t="s">
        <v>21</v>
      </c>
      <c r="G48" s="6">
        <v>70000</v>
      </c>
      <c r="H48" s="6" t="s">
        <v>22</v>
      </c>
      <c r="I48" s="6">
        <v>70000</v>
      </c>
      <c r="K48" s="4" t="str">
        <f>PROPER(TEXT(Tabla8[[#This Row],[FECHA]],"mmm"))</f>
        <v>May</v>
      </c>
      <c r="L48" s="5">
        <v>46146</v>
      </c>
      <c r="M48" s="3" t="s">
        <v>23</v>
      </c>
      <c r="N48" s="3" t="s">
        <v>1574</v>
      </c>
      <c r="O48" s="8" t="s">
        <v>21</v>
      </c>
      <c r="P48" s="3" t="s">
        <v>22</v>
      </c>
      <c r="Q48" s="3" t="s">
        <v>1078</v>
      </c>
      <c r="R48" s="6">
        <v>22000</v>
      </c>
      <c r="S48" s="3" t="s">
        <v>20</v>
      </c>
      <c r="T48" s="6"/>
    </row>
    <row r="49" spans="2:20" x14ac:dyDescent="0.2">
      <c r="B49" s="4" t="str">
        <f>PROPER(TEXT(Tabla7[[#This Row],[FECHA]],"mmm"))</f>
        <v>Feb</v>
      </c>
      <c r="C49" s="5">
        <v>46073</v>
      </c>
      <c r="D49" s="3" t="s">
        <v>29</v>
      </c>
      <c r="E49" s="3" t="s">
        <v>1496</v>
      </c>
      <c r="F49" s="3" t="s">
        <v>414</v>
      </c>
      <c r="G49" s="6">
        <v>321300</v>
      </c>
      <c r="H49" s="6" t="s">
        <v>24</v>
      </c>
      <c r="I49" s="6">
        <v>321300</v>
      </c>
      <c r="K49" s="4" t="str">
        <f>PROPER(TEXT(Tabla8[[#This Row],[FECHA]],"mmm"))</f>
        <v>May</v>
      </c>
      <c r="L49" s="5">
        <v>46146</v>
      </c>
      <c r="M49" s="3" t="s">
        <v>23</v>
      </c>
      <c r="N49" s="3" t="s">
        <v>1572</v>
      </c>
      <c r="O49" s="8" t="s">
        <v>1573</v>
      </c>
      <c r="P49" s="3" t="s">
        <v>411</v>
      </c>
      <c r="Q49" s="3" t="s">
        <v>868</v>
      </c>
      <c r="R49" s="6">
        <v>91762</v>
      </c>
      <c r="S49" s="3" t="s">
        <v>29</v>
      </c>
      <c r="T49" s="6"/>
    </row>
    <row r="50" spans="2:20" x14ac:dyDescent="0.2">
      <c r="B50" s="4" t="str">
        <f>PROPER(TEXT(Tabla7[[#This Row],[FECHA]],"mmm"))</f>
        <v>Feb</v>
      </c>
      <c r="C50" s="5">
        <v>46073</v>
      </c>
      <c r="D50" s="3" t="s">
        <v>29</v>
      </c>
      <c r="E50" s="3" t="s">
        <v>1475</v>
      </c>
      <c r="F50" s="3" t="s">
        <v>1476</v>
      </c>
      <c r="G50" s="6">
        <v>29750</v>
      </c>
      <c r="H50" s="6" t="s">
        <v>24</v>
      </c>
      <c r="I50" s="6">
        <v>29750</v>
      </c>
      <c r="K50" s="4" t="str">
        <f>PROPER(TEXT(Tabla8[[#This Row],[FECHA]],"mmm"))</f>
        <v>May</v>
      </c>
      <c r="L50" s="5">
        <v>46146</v>
      </c>
      <c r="M50" s="3" t="s">
        <v>23</v>
      </c>
      <c r="N50" s="3" t="s">
        <v>691</v>
      </c>
      <c r="O50" s="8" t="s">
        <v>1571</v>
      </c>
      <c r="P50" s="3" t="s">
        <v>24</v>
      </c>
      <c r="Q50" s="3" t="s">
        <v>695</v>
      </c>
      <c r="R50" s="6">
        <v>9500</v>
      </c>
      <c r="S50" s="3" t="s">
        <v>25</v>
      </c>
      <c r="T50" s="6"/>
    </row>
    <row r="51" spans="2:20" x14ac:dyDescent="0.2">
      <c r="B51" s="4" t="str">
        <f>PROPER(TEXT(Tabla7[[#This Row],[FECHA]],"mmm"))</f>
        <v>Feb</v>
      </c>
      <c r="C51" s="5">
        <v>46073</v>
      </c>
      <c r="D51" s="3" t="s">
        <v>29</v>
      </c>
      <c r="E51" s="3" t="s">
        <v>1474</v>
      </c>
      <c r="F51" s="3" t="s">
        <v>21</v>
      </c>
      <c r="G51" s="6">
        <v>80000</v>
      </c>
      <c r="H51" s="6" t="s">
        <v>22</v>
      </c>
      <c r="I51" s="6">
        <v>80000</v>
      </c>
      <c r="K51" s="4" t="str">
        <f>PROPER(TEXT(Tabla8[[#This Row],[FECHA]],"mmm"))</f>
        <v>May</v>
      </c>
      <c r="L51" s="5">
        <v>46146</v>
      </c>
      <c r="M51" s="3" t="s">
        <v>39</v>
      </c>
      <c r="N51" s="3" t="s">
        <v>912</v>
      </c>
      <c r="O51" s="8" t="s">
        <v>1570</v>
      </c>
      <c r="P51" s="3" t="s">
        <v>411</v>
      </c>
      <c r="Q51" s="3" t="s">
        <v>913</v>
      </c>
      <c r="R51" s="6">
        <v>100000</v>
      </c>
      <c r="S51" s="3" t="s">
        <v>20</v>
      </c>
      <c r="T51" s="6"/>
    </row>
    <row r="52" spans="2:20" x14ac:dyDescent="0.2">
      <c r="B52" s="4" t="str">
        <f>PROPER(TEXT(Tabla7[[#This Row],[FECHA]],"mmm"))</f>
        <v>Feb</v>
      </c>
      <c r="C52" s="5">
        <v>46073</v>
      </c>
      <c r="D52" s="3" t="s">
        <v>29</v>
      </c>
      <c r="E52" s="3" t="s">
        <v>1473</v>
      </c>
      <c r="F52" s="3" t="s">
        <v>21</v>
      </c>
      <c r="G52" s="6">
        <v>100000</v>
      </c>
      <c r="H52" s="6" t="s">
        <v>22</v>
      </c>
      <c r="I52" s="6">
        <v>100000</v>
      </c>
      <c r="K52" s="4" t="str">
        <f>PROPER(TEXT(Tabla8[[#This Row],[FECHA]],"mmm"))</f>
        <v>Abr</v>
      </c>
      <c r="L52" s="5">
        <v>46142</v>
      </c>
      <c r="M52" s="3" t="s">
        <v>51</v>
      </c>
      <c r="N52" s="3" t="s">
        <v>1569</v>
      </c>
      <c r="O52" s="8" t="s">
        <v>21</v>
      </c>
      <c r="P52" s="3" t="s">
        <v>22</v>
      </c>
      <c r="Q52" s="3" t="s">
        <v>582</v>
      </c>
      <c r="R52" s="6">
        <v>64500</v>
      </c>
      <c r="S52" s="3" t="s">
        <v>20</v>
      </c>
      <c r="T52" s="6"/>
    </row>
    <row r="53" spans="2:20" x14ac:dyDescent="0.2">
      <c r="B53" s="4" t="str">
        <f>PROPER(TEXT(Tabla7[[#This Row],[FECHA]],"mmm"))</f>
        <v>Feb</v>
      </c>
      <c r="C53" s="5">
        <v>46073</v>
      </c>
      <c r="D53" s="3" t="s">
        <v>25</v>
      </c>
      <c r="E53" s="3" t="s">
        <v>419</v>
      </c>
      <c r="F53" s="3" t="s">
        <v>985</v>
      </c>
      <c r="G53" s="6">
        <v>513510</v>
      </c>
      <c r="H53" s="6" t="s">
        <v>22</v>
      </c>
      <c r="I53" s="6">
        <v>513510</v>
      </c>
      <c r="K53" s="4" t="str">
        <f>PROPER(TEXT(Tabla8[[#This Row],[FECHA]],"mmm"))</f>
        <v>Abr</v>
      </c>
      <c r="L53" s="5">
        <v>46142</v>
      </c>
      <c r="M53" s="3" t="s">
        <v>51</v>
      </c>
      <c r="N53" s="3" t="s">
        <v>1568</v>
      </c>
      <c r="O53" s="8" t="s">
        <v>21</v>
      </c>
      <c r="P53" s="3" t="s">
        <v>22</v>
      </c>
      <c r="Q53" s="3" t="s">
        <v>452</v>
      </c>
      <c r="R53" s="6">
        <v>60500</v>
      </c>
      <c r="S53" s="3" t="s">
        <v>20</v>
      </c>
      <c r="T53" s="6"/>
    </row>
    <row r="54" spans="2:20" x14ac:dyDescent="0.2">
      <c r="B54" s="4" t="str">
        <f>PROPER(TEXT(Tabla7[[#This Row],[FECHA]],"mmm"))</f>
        <v>Feb</v>
      </c>
      <c r="C54" s="5">
        <v>46073</v>
      </c>
      <c r="D54" s="3" t="s">
        <v>20</v>
      </c>
      <c r="E54" s="3" t="s">
        <v>424</v>
      </c>
      <c r="F54" s="3" t="s">
        <v>985</v>
      </c>
      <c r="G54" s="6">
        <v>322000</v>
      </c>
      <c r="H54" s="6" t="s">
        <v>22</v>
      </c>
      <c r="I54" s="6">
        <v>322000</v>
      </c>
      <c r="K54" s="4" t="str">
        <f>PROPER(TEXT(Tabla8[[#This Row],[FECHA]],"mmm"))</f>
        <v>Abr</v>
      </c>
      <c r="L54" s="5">
        <v>46142</v>
      </c>
      <c r="M54" s="3" t="s">
        <v>23</v>
      </c>
      <c r="N54" s="3" t="s">
        <v>1566</v>
      </c>
      <c r="O54" s="8" t="s">
        <v>21</v>
      </c>
      <c r="P54" s="3" t="s">
        <v>22</v>
      </c>
      <c r="Q54" s="3" t="s">
        <v>1567</v>
      </c>
      <c r="R54" s="6">
        <v>22000</v>
      </c>
      <c r="S54" s="3" t="s">
        <v>20</v>
      </c>
      <c r="T54" s="6"/>
    </row>
    <row r="55" spans="2:20" x14ac:dyDescent="0.2">
      <c r="B55" s="4" t="str">
        <f>PROPER(TEXT(Tabla7[[#This Row],[FECHA]],"mmm"))</f>
        <v>Feb</v>
      </c>
      <c r="C55" s="5">
        <v>46072</v>
      </c>
      <c r="D55" s="3" t="s">
        <v>29</v>
      </c>
      <c r="E55" s="3" t="s">
        <v>1466</v>
      </c>
      <c r="F55" s="3" t="s">
        <v>21</v>
      </c>
      <c r="G55" s="6">
        <v>40000</v>
      </c>
      <c r="H55" s="6" t="s">
        <v>22</v>
      </c>
      <c r="I55" s="6">
        <v>40000</v>
      </c>
      <c r="K55" s="4" t="str">
        <f>PROPER(TEXT(Tabla8[[#This Row],[FECHA]],"mmm"))</f>
        <v>Abr</v>
      </c>
      <c r="L55" s="5">
        <v>46142</v>
      </c>
      <c r="M55" s="3" t="s">
        <v>23</v>
      </c>
      <c r="N55" s="3" t="s">
        <v>249</v>
      </c>
      <c r="O55" s="8" t="s">
        <v>21</v>
      </c>
      <c r="P55" s="3" t="s">
        <v>22</v>
      </c>
      <c r="Q55" s="3" t="s">
        <v>54</v>
      </c>
      <c r="R55" s="6">
        <v>11200</v>
      </c>
      <c r="S55" s="3" t="s">
        <v>20</v>
      </c>
      <c r="T55" s="6"/>
    </row>
    <row r="56" spans="2:20" x14ac:dyDescent="0.2">
      <c r="B56" s="4" t="str">
        <f>PROPER(TEXT(Tabla7[[#This Row],[FECHA]],"mmm"))</f>
        <v>Feb</v>
      </c>
      <c r="C56" s="5">
        <v>46072</v>
      </c>
      <c r="D56" s="3" t="s">
        <v>29</v>
      </c>
      <c r="E56" s="3" t="s">
        <v>725</v>
      </c>
      <c r="F56" s="3" t="s">
        <v>1465</v>
      </c>
      <c r="G56" s="6">
        <v>146370</v>
      </c>
      <c r="H56" s="6" t="s">
        <v>24</v>
      </c>
      <c r="I56" s="6">
        <v>146370</v>
      </c>
      <c r="K56" s="4" t="str">
        <f>PROPER(TEXT(Tabla8[[#This Row],[FECHA]],"mmm"))</f>
        <v>Abr</v>
      </c>
      <c r="L56" s="5">
        <v>46141</v>
      </c>
      <c r="M56" s="3" t="s">
        <v>39</v>
      </c>
      <c r="N56" s="3" t="s">
        <v>451</v>
      </c>
      <c r="O56" s="8" t="s">
        <v>1546</v>
      </c>
      <c r="P56" s="3" t="s">
        <v>411</v>
      </c>
      <c r="Q56" s="3" t="s">
        <v>452</v>
      </c>
      <c r="R56" s="6">
        <v>20000</v>
      </c>
      <c r="S56" s="3" t="s">
        <v>20</v>
      </c>
      <c r="T56" s="6"/>
    </row>
    <row r="57" spans="2:20" x14ac:dyDescent="0.2">
      <c r="B57" s="4" t="str">
        <f>PROPER(TEXT(Tabla7[[#This Row],[FECHA]],"mmm"))</f>
        <v>Feb</v>
      </c>
      <c r="C57" s="5">
        <v>46072</v>
      </c>
      <c r="D57" s="3" t="s">
        <v>25</v>
      </c>
      <c r="E57" s="3" t="s">
        <v>419</v>
      </c>
      <c r="F57" s="3" t="s">
        <v>984</v>
      </c>
      <c r="G57" s="6">
        <v>953610</v>
      </c>
      <c r="H57" s="6" t="s">
        <v>22</v>
      </c>
      <c r="I57" s="6">
        <v>953610</v>
      </c>
      <c r="K57" s="4" t="str">
        <f>PROPER(TEXT(Tabla8[[#This Row],[FECHA]],"mmm"))</f>
        <v>Abr</v>
      </c>
      <c r="L57" s="5">
        <v>46140</v>
      </c>
      <c r="M57" s="3" t="s">
        <v>23</v>
      </c>
      <c r="N57" s="3" t="s">
        <v>1541</v>
      </c>
      <c r="O57" s="8" t="s">
        <v>21</v>
      </c>
      <c r="P57" s="3" t="s">
        <v>22</v>
      </c>
      <c r="Q57" s="3" t="s">
        <v>1542</v>
      </c>
      <c r="R57" s="6">
        <v>6000</v>
      </c>
      <c r="S57" s="3" t="s">
        <v>20</v>
      </c>
      <c r="T57" s="6"/>
    </row>
    <row r="58" spans="2:20" x14ac:dyDescent="0.2">
      <c r="B58" s="4" t="str">
        <f>PROPER(TEXT(Tabla7[[#This Row],[FECHA]],"mmm"))</f>
        <v>Feb</v>
      </c>
      <c r="C58" s="5">
        <v>46072</v>
      </c>
      <c r="D58" s="3" t="s">
        <v>20</v>
      </c>
      <c r="E58" s="3" t="s">
        <v>424</v>
      </c>
      <c r="F58" s="3" t="s">
        <v>984</v>
      </c>
      <c r="G58" s="6">
        <v>583000</v>
      </c>
      <c r="H58" s="6" t="s">
        <v>22</v>
      </c>
      <c r="I58" s="6">
        <v>583000</v>
      </c>
      <c r="K58" s="4" t="str">
        <f>PROPER(TEXT(Tabla8[[#This Row],[FECHA]],"mmm"))</f>
        <v>Abr</v>
      </c>
      <c r="L58" s="5">
        <v>46140</v>
      </c>
      <c r="M58" s="3" t="s">
        <v>23</v>
      </c>
      <c r="N58" s="3" t="s">
        <v>779</v>
      </c>
      <c r="O58" s="8" t="s">
        <v>21</v>
      </c>
      <c r="P58" s="3" t="s">
        <v>22</v>
      </c>
      <c r="Q58" s="3" t="s">
        <v>1540</v>
      </c>
      <c r="R58" s="6">
        <v>50000</v>
      </c>
      <c r="S58" s="3" t="s">
        <v>20</v>
      </c>
      <c r="T58" s="6"/>
    </row>
    <row r="59" spans="2:20" x14ac:dyDescent="0.2">
      <c r="B59" s="4" t="str">
        <f>PROPER(TEXT(Tabla7[[#This Row],[FECHA]],"mmm"))</f>
        <v>Feb</v>
      </c>
      <c r="C59" s="5">
        <v>46071</v>
      </c>
      <c r="D59" s="3" t="s">
        <v>29</v>
      </c>
      <c r="E59" s="3" t="s">
        <v>1461</v>
      </c>
      <c r="F59" s="3" t="s">
        <v>21</v>
      </c>
      <c r="G59" s="6">
        <v>18932</v>
      </c>
      <c r="H59" s="6" t="s">
        <v>22</v>
      </c>
      <c r="I59" s="6">
        <v>18932</v>
      </c>
      <c r="K59" s="4" t="str">
        <f>PROPER(TEXT(Tabla8[[#This Row],[FECHA]],"mmm"))</f>
        <v>Abr</v>
      </c>
      <c r="L59" s="5">
        <v>46140</v>
      </c>
      <c r="M59" s="3" t="s">
        <v>23</v>
      </c>
      <c r="N59" s="3" t="s">
        <v>1536</v>
      </c>
      <c r="O59" s="8" t="s">
        <v>1537</v>
      </c>
      <c r="P59" s="3" t="s">
        <v>22</v>
      </c>
      <c r="Q59" s="3" t="s">
        <v>695</v>
      </c>
      <c r="R59" s="6">
        <v>20000</v>
      </c>
      <c r="S59" s="3" t="s">
        <v>20</v>
      </c>
      <c r="T59" s="6"/>
    </row>
    <row r="60" spans="2:20" x14ac:dyDescent="0.2">
      <c r="B60" s="4" t="str">
        <f>PROPER(TEXT(Tabla7[[#This Row],[FECHA]],"mmm"))</f>
        <v>Feb</v>
      </c>
      <c r="C60" s="5">
        <v>46071</v>
      </c>
      <c r="D60" s="3" t="s">
        <v>29</v>
      </c>
      <c r="E60" s="3" t="s">
        <v>1453</v>
      </c>
      <c r="F60" s="3" t="s">
        <v>21</v>
      </c>
      <c r="G60" s="6">
        <v>30400</v>
      </c>
      <c r="H60" s="6" t="s">
        <v>22</v>
      </c>
      <c r="I60" s="6">
        <v>30400</v>
      </c>
      <c r="K60" s="4" t="str">
        <f>PROPER(TEXT(Tabla8[[#This Row],[FECHA]],"mmm"))</f>
        <v>Abr</v>
      </c>
      <c r="L60" s="5">
        <v>46140</v>
      </c>
      <c r="M60" s="3" t="s">
        <v>39</v>
      </c>
      <c r="N60" s="3" t="s">
        <v>912</v>
      </c>
      <c r="O60" s="8" t="s">
        <v>1535</v>
      </c>
      <c r="P60" s="3" t="s">
        <v>411</v>
      </c>
      <c r="Q60" s="3" t="s">
        <v>913</v>
      </c>
      <c r="R60" s="6">
        <v>20000</v>
      </c>
      <c r="S60" s="3" t="s">
        <v>20</v>
      </c>
      <c r="T60" s="6"/>
    </row>
    <row r="61" spans="2:20" x14ac:dyDescent="0.2">
      <c r="B61" s="4" t="str">
        <f>PROPER(TEXT(Tabla7[[#This Row],[FECHA]],"mmm"))</f>
        <v>Feb</v>
      </c>
      <c r="C61" s="5">
        <v>46071</v>
      </c>
      <c r="D61" s="3" t="s">
        <v>25</v>
      </c>
      <c r="E61" s="3" t="s">
        <v>419</v>
      </c>
      <c r="F61" s="3" t="s">
        <v>983</v>
      </c>
      <c r="G61" s="6">
        <v>839500</v>
      </c>
      <c r="H61" s="6" t="s">
        <v>22</v>
      </c>
      <c r="I61" s="6">
        <v>839500</v>
      </c>
      <c r="K61" s="4" t="str">
        <f>PROPER(TEXT(Tabla8[[#This Row],[FECHA]],"mmm"))</f>
        <v>Abr</v>
      </c>
      <c r="L61" s="5">
        <v>46139</v>
      </c>
      <c r="M61" s="3" t="s">
        <v>37</v>
      </c>
      <c r="N61" s="3" t="s">
        <v>1108</v>
      </c>
      <c r="O61" s="8" t="s">
        <v>1534</v>
      </c>
      <c r="P61" s="3" t="s">
        <v>411</v>
      </c>
      <c r="Q61" s="3" t="s">
        <v>478</v>
      </c>
      <c r="R61" s="6">
        <v>152892</v>
      </c>
      <c r="S61" s="3" t="s">
        <v>29</v>
      </c>
      <c r="T61" s="6"/>
    </row>
    <row r="62" spans="2:20" x14ac:dyDescent="0.2">
      <c r="B62" s="4" t="str">
        <f>PROPER(TEXT(Tabla7[[#This Row],[FECHA]],"mmm"))</f>
        <v>Feb</v>
      </c>
      <c r="C62" s="5">
        <v>46071</v>
      </c>
      <c r="D62" s="3" t="s">
        <v>20</v>
      </c>
      <c r="E62" s="3" t="s">
        <v>424</v>
      </c>
      <c r="F62" s="3" t="s">
        <v>983</v>
      </c>
      <c r="G62" s="6">
        <v>71000</v>
      </c>
      <c r="H62" s="6" t="s">
        <v>22</v>
      </c>
      <c r="I62" s="6">
        <v>71000</v>
      </c>
      <c r="K62" s="4" t="str">
        <f>PROPER(TEXT(Tabla8[[#This Row],[FECHA]],"mmm"))</f>
        <v>Abr</v>
      </c>
      <c r="L62" s="5">
        <v>46139</v>
      </c>
      <c r="M62" s="3" t="s">
        <v>47</v>
      </c>
      <c r="N62" s="3" t="s">
        <v>1481</v>
      </c>
      <c r="O62" s="8" t="s">
        <v>21</v>
      </c>
      <c r="P62" s="3" t="s">
        <v>22</v>
      </c>
      <c r="Q62" s="3" t="s">
        <v>1482</v>
      </c>
      <c r="R62" s="6">
        <v>1000000</v>
      </c>
      <c r="S62" s="3" t="s">
        <v>29</v>
      </c>
      <c r="T62" s="6"/>
    </row>
    <row r="63" spans="2:20" x14ac:dyDescent="0.2">
      <c r="B63" s="4" t="str">
        <f>PROPER(TEXT(Tabla7[[#This Row],[FECHA]],"mmm"))</f>
        <v>Feb</v>
      </c>
      <c r="C63" s="5">
        <v>46070</v>
      </c>
      <c r="D63" s="3" t="s">
        <v>29</v>
      </c>
      <c r="E63" s="3" t="s">
        <v>1295</v>
      </c>
      <c r="F63" s="3" t="s">
        <v>21</v>
      </c>
      <c r="G63" s="6">
        <v>226100</v>
      </c>
      <c r="H63" s="6" t="s">
        <v>22</v>
      </c>
      <c r="I63" s="6">
        <v>226100</v>
      </c>
      <c r="K63" s="4" t="str">
        <f>PROPER(TEXT(Tabla8[[#This Row],[FECHA]],"mmm"))</f>
        <v>Abr</v>
      </c>
      <c r="L63" s="5">
        <v>46137</v>
      </c>
      <c r="M63" s="3" t="s">
        <v>23</v>
      </c>
      <c r="N63" s="3" t="s">
        <v>1538</v>
      </c>
      <c r="O63" s="8" t="s">
        <v>1539</v>
      </c>
      <c r="P63" s="3" t="s">
        <v>24</v>
      </c>
      <c r="Q63" s="3" t="s">
        <v>617</v>
      </c>
      <c r="R63" s="6">
        <v>99701</v>
      </c>
      <c r="S63" s="3" t="s">
        <v>25</v>
      </c>
      <c r="T63" s="6"/>
    </row>
    <row r="64" spans="2:20" x14ac:dyDescent="0.2">
      <c r="B64" s="4" t="str">
        <f>PROPER(TEXT(Tabla7[[#This Row],[FECHA]],"mmm"))</f>
        <v>Feb</v>
      </c>
      <c r="C64" s="5">
        <v>46070</v>
      </c>
      <c r="D64" s="3" t="s">
        <v>29</v>
      </c>
      <c r="E64" s="3" t="s">
        <v>1446</v>
      </c>
      <c r="F64" s="3" t="s">
        <v>21</v>
      </c>
      <c r="G64" s="6">
        <v>22610</v>
      </c>
      <c r="H64" s="6" t="s">
        <v>22</v>
      </c>
      <c r="I64" s="6">
        <v>22610</v>
      </c>
      <c r="K64" s="4" t="str">
        <f>PROPER(TEXT(Tabla8[[#This Row],[FECHA]],"mmm"))</f>
        <v>Abr</v>
      </c>
      <c r="L64" s="5">
        <v>46137</v>
      </c>
      <c r="M64" s="3" t="s">
        <v>23</v>
      </c>
      <c r="N64" s="3" t="s">
        <v>1458</v>
      </c>
      <c r="O64" s="8" t="s">
        <v>1459</v>
      </c>
      <c r="P64" s="3" t="s">
        <v>24</v>
      </c>
      <c r="Q64" s="3" t="s">
        <v>632</v>
      </c>
      <c r="R64" s="6">
        <v>14970</v>
      </c>
      <c r="S64" s="3" t="s">
        <v>25</v>
      </c>
      <c r="T64" s="6"/>
    </row>
    <row r="65" spans="2:20" x14ac:dyDescent="0.2">
      <c r="B65" s="4" t="str">
        <f>PROPER(TEXT(Tabla7[[#This Row],[FECHA]],"mmm"))</f>
        <v>Feb</v>
      </c>
      <c r="C65" s="5">
        <v>46070</v>
      </c>
      <c r="D65" s="3" t="s">
        <v>25</v>
      </c>
      <c r="E65" s="3" t="s">
        <v>683</v>
      </c>
      <c r="F65" s="3" t="s">
        <v>982</v>
      </c>
      <c r="G65" s="6">
        <v>2306060</v>
      </c>
      <c r="H65" s="6" t="s">
        <v>22</v>
      </c>
      <c r="I65" s="6">
        <v>2306060</v>
      </c>
      <c r="K65" s="4" t="str">
        <f>PROPER(TEXT(Tabla8[[#This Row],[FECHA]],"mmm"))</f>
        <v>Abr</v>
      </c>
      <c r="L65" s="5">
        <v>46136</v>
      </c>
      <c r="M65" s="3" t="s">
        <v>35</v>
      </c>
      <c r="N65" s="3" t="s">
        <v>1532</v>
      </c>
      <c r="O65" s="8" t="s">
        <v>1533</v>
      </c>
      <c r="P65" s="3" t="s">
        <v>24</v>
      </c>
      <c r="Q65" s="3" t="s">
        <v>1107</v>
      </c>
      <c r="R65" s="6">
        <v>4022200</v>
      </c>
      <c r="S65" s="3" t="s">
        <v>29</v>
      </c>
      <c r="T65" s="6"/>
    </row>
    <row r="66" spans="2:20" x14ac:dyDescent="0.2">
      <c r="B66" s="4" t="str">
        <f>PROPER(TEXT(Tabla7[[#This Row],[FECHA]],"mmm"))</f>
        <v>Feb</v>
      </c>
      <c r="C66" s="5">
        <v>46070</v>
      </c>
      <c r="D66" s="3" t="s">
        <v>20</v>
      </c>
      <c r="E66" s="3" t="s">
        <v>424</v>
      </c>
      <c r="F66" s="3" t="s">
        <v>982</v>
      </c>
      <c r="G66" s="6">
        <v>209000</v>
      </c>
      <c r="H66" s="6" t="s">
        <v>22</v>
      </c>
      <c r="I66" s="6">
        <v>209000</v>
      </c>
      <c r="K66" s="4" t="str">
        <f>PROPER(TEXT(Tabla8[[#This Row],[FECHA]],"mmm"))</f>
        <v>Abr</v>
      </c>
      <c r="L66" s="5">
        <v>46136</v>
      </c>
      <c r="M66" s="3" t="s">
        <v>23</v>
      </c>
      <c r="N66" s="3" t="s">
        <v>1454</v>
      </c>
      <c r="O66" s="8" t="s">
        <v>1455</v>
      </c>
      <c r="P66" s="3" t="s">
        <v>24</v>
      </c>
      <c r="Q66" s="3" t="s">
        <v>811</v>
      </c>
      <c r="R66" s="6">
        <v>12890</v>
      </c>
      <c r="S66" s="3" t="s">
        <v>25</v>
      </c>
      <c r="T66" s="6"/>
    </row>
    <row r="67" spans="2:20" x14ac:dyDescent="0.2">
      <c r="B67" s="4" t="str">
        <f>PROPER(TEXT(Tabla7[[#This Row],[FECHA]],"mmm"))</f>
        <v>Feb</v>
      </c>
      <c r="C67" s="5">
        <v>46069</v>
      </c>
      <c r="D67" s="3" t="s">
        <v>29</v>
      </c>
      <c r="E67" s="3" t="s">
        <v>1444</v>
      </c>
      <c r="F67" s="3" t="s">
        <v>21</v>
      </c>
      <c r="G67" s="6">
        <v>55810</v>
      </c>
      <c r="H67" s="6" t="s">
        <v>22</v>
      </c>
      <c r="I67" s="6">
        <v>55810</v>
      </c>
      <c r="K67" s="4" t="str">
        <f>PROPER(TEXT(Tabla8[[#This Row],[FECHA]],"mmm"))</f>
        <v>Abr</v>
      </c>
      <c r="L67" s="5">
        <v>46135</v>
      </c>
      <c r="M67" s="3" t="s">
        <v>23</v>
      </c>
      <c r="N67" s="3" t="s">
        <v>1442</v>
      </c>
      <c r="O67" s="8" t="s">
        <v>21</v>
      </c>
      <c r="P67" s="3" t="s">
        <v>22</v>
      </c>
      <c r="Q67" s="3" t="s">
        <v>1443</v>
      </c>
      <c r="R67" s="6">
        <v>60000</v>
      </c>
      <c r="S67" s="3" t="s">
        <v>20</v>
      </c>
      <c r="T67" s="6"/>
    </row>
    <row r="68" spans="2:20" x14ac:dyDescent="0.2">
      <c r="B68" s="4" t="str">
        <f>PROPER(TEXT(Tabla7[[#This Row],[FECHA]],"mmm"))</f>
        <v>Feb</v>
      </c>
      <c r="C68" s="5">
        <v>46069</v>
      </c>
      <c r="D68" s="3" t="s">
        <v>29</v>
      </c>
      <c r="E68" s="3" t="s">
        <v>1387</v>
      </c>
      <c r="F68" s="3" t="s">
        <v>21</v>
      </c>
      <c r="G68" s="6">
        <v>190400</v>
      </c>
      <c r="H68" s="6" t="s">
        <v>22</v>
      </c>
      <c r="I68" s="6">
        <v>190400</v>
      </c>
      <c r="K68" s="4" t="str">
        <f>PROPER(TEXT(Tabla8[[#This Row],[FECHA]],"mmm"))</f>
        <v>Abr</v>
      </c>
      <c r="L68" s="5">
        <v>46135</v>
      </c>
      <c r="M68" s="3" t="s">
        <v>74</v>
      </c>
      <c r="N68" s="3" t="s">
        <v>1440</v>
      </c>
      <c r="O68" s="8" t="s">
        <v>21</v>
      </c>
      <c r="P68" s="3" t="s">
        <v>22</v>
      </c>
      <c r="Q68" s="3" t="s">
        <v>1441</v>
      </c>
      <c r="R68" s="6">
        <v>20000</v>
      </c>
      <c r="S68" s="3" t="s">
        <v>20</v>
      </c>
      <c r="T68" s="6"/>
    </row>
    <row r="69" spans="2:20" x14ac:dyDescent="0.2">
      <c r="B69" s="4" t="str">
        <f>PROPER(TEXT(Tabla7[[#This Row],[FECHA]],"mmm"))</f>
        <v>Feb</v>
      </c>
      <c r="C69" s="5">
        <v>46069</v>
      </c>
      <c r="D69" s="3" t="s">
        <v>25</v>
      </c>
      <c r="E69" s="3" t="s">
        <v>419</v>
      </c>
      <c r="F69" s="3" t="s">
        <v>981</v>
      </c>
      <c r="G69" s="6">
        <v>558900</v>
      </c>
      <c r="H69" s="6" t="s">
        <v>22</v>
      </c>
      <c r="I69" s="6">
        <v>558900</v>
      </c>
      <c r="K69" s="4" t="str">
        <f>PROPER(TEXT(Tabla8[[#This Row],[FECHA]],"mmm"))</f>
        <v>Abr</v>
      </c>
      <c r="L69" s="5">
        <v>46134</v>
      </c>
      <c r="M69" s="3" t="s">
        <v>45</v>
      </c>
      <c r="N69" s="3" t="s">
        <v>1438</v>
      </c>
      <c r="O69" s="8" t="s">
        <v>1439</v>
      </c>
      <c r="P69" s="3" t="s">
        <v>24</v>
      </c>
      <c r="Q69" s="3" t="s">
        <v>1026</v>
      </c>
      <c r="R69" s="6">
        <v>29179</v>
      </c>
      <c r="S69" s="3" t="s">
        <v>25</v>
      </c>
      <c r="T69" s="6"/>
    </row>
    <row r="70" spans="2:20" x14ac:dyDescent="0.2">
      <c r="B70" s="4" t="str">
        <f>PROPER(TEXT(Tabla7[[#This Row],[FECHA]],"mmm"))</f>
        <v>Feb</v>
      </c>
      <c r="C70" s="5">
        <v>46069</v>
      </c>
      <c r="D70" s="3" t="s">
        <v>20</v>
      </c>
      <c r="E70" s="3" t="s">
        <v>424</v>
      </c>
      <c r="F70" s="3" t="s">
        <v>981</v>
      </c>
      <c r="G70" s="6">
        <v>212900</v>
      </c>
      <c r="H70" s="6" t="s">
        <v>22</v>
      </c>
      <c r="I70" s="6">
        <v>212900</v>
      </c>
      <c r="K70" s="4" t="str">
        <f>PROPER(TEXT(Tabla8[[#This Row],[FECHA]],"mmm"))</f>
        <v>Abr</v>
      </c>
      <c r="L70" s="5">
        <v>46134</v>
      </c>
      <c r="M70" s="3" t="s">
        <v>74</v>
      </c>
      <c r="N70" s="3" t="s">
        <v>1436</v>
      </c>
      <c r="O70" s="8" t="s">
        <v>21</v>
      </c>
      <c r="P70" s="3" t="s">
        <v>22</v>
      </c>
      <c r="Q70" s="3" t="s">
        <v>1435</v>
      </c>
      <c r="R70" s="6">
        <v>100000</v>
      </c>
      <c r="S70" s="3" t="s">
        <v>29</v>
      </c>
      <c r="T70" s="6"/>
    </row>
    <row r="71" spans="2:20" x14ac:dyDescent="0.2">
      <c r="B71" s="4" t="str">
        <f>PROPER(TEXT(Tabla7[[#This Row],[FECHA]],"mmm"))</f>
        <v>Feb</v>
      </c>
      <c r="C71" s="5">
        <v>46067</v>
      </c>
      <c r="D71" s="3" t="s">
        <v>25</v>
      </c>
      <c r="E71" s="3" t="s">
        <v>683</v>
      </c>
      <c r="F71" s="3" t="s">
        <v>1171</v>
      </c>
      <c r="G71" s="6">
        <v>798800</v>
      </c>
      <c r="H71" s="6" t="s">
        <v>22</v>
      </c>
      <c r="I71" s="6">
        <v>798800</v>
      </c>
      <c r="K71" s="4" t="str">
        <f>PROPER(TEXT(Tabla8[[#This Row],[FECHA]],"mmm"))</f>
        <v>Abr</v>
      </c>
      <c r="L71" s="5">
        <v>46134</v>
      </c>
      <c r="M71" s="3" t="s">
        <v>74</v>
      </c>
      <c r="N71" s="3" t="s">
        <v>1434</v>
      </c>
      <c r="O71" s="8" t="s">
        <v>21</v>
      </c>
      <c r="P71" s="3" t="s">
        <v>411</v>
      </c>
      <c r="Q71" s="3" t="s">
        <v>1435</v>
      </c>
      <c r="R71" s="6">
        <v>60000</v>
      </c>
      <c r="S71" s="3" t="s">
        <v>20</v>
      </c>
      <c r="T71" s="6"/>
    </row>
    <row r="72" spans="2:20" x14ac:dyDescent="0.2">
      <c r="B72" s="4" t="str">
        <f>PROPER(TEXT(Tabla7[[#This Row],[FECHA]],"mmm"))</f>
        <v>Feb</v>
      </c>
      <c r="C72" s="5">
        <v>46066</v>
      </c>
      <c r="D72" s="3" t="s">
        <v>29</v>
      </c>
      <c r="E72" s="3" t="s">
        <v>1385</v>
      </c>
      <c r="F72" s="3" t="s">
        <v>1386</v>
      </c>
      <c r="G72" s="6">
        <v>190400</v>
      </c>
      <c r="H72" s="6" t="s">
        <v>24</v>
      </c>
      <c r="I72" s="6">
        <v>190400</v>
      </c>
      <c r="K72" s="4" t="str">
        <f>PROPER(TEXT(Tabla8[[#This Row],[FECHA]],"mmm"))</f>
        <v>Abr</v>
      </c>
      <c r="L72" s="5">
        <v>46132</v>
      </c>
      <c r="M72" s="3" t="s">
        <v>282</v>
      </c>
      <c r="N72" s="3" t="s">
        <v>1431</v>
      </c>
      <c r="O72" s="8" t="s">
        <v>21</v>
      </c>
      <c r="P72" s="3" t="s">
        <v>22</v>
      </c>
      <c r="Q72" s="3" t="s">
        <v>574</v>
      </c>
      <c r="R72" s="6">
        <v>100000</v>
      </c>
      <c r="S72" s="3" t="s">
        <v>20</v>
      </c>
      <c r="T72" s="6"/>
    </row>
    <row r="73" spans="2:20" x14ac:dyDescent="0.2">
      <c r="B73" s="4" t="str">
        <f>PROPER(TEXT(Tabla7[[#This Row],[FECHA]],"mmm"))</f>
        <v>Feb</v>
      </c>
      <c r="C73" s="5">
        <v>46066</v>
      </c>
      <c r="D73" s="3" t="s">
        <v>29</v>
      </c>
      <c r="E73" s="3" t="s">
        <v>1381</v>
      </c>
      <c r="F73" s="3" t="s">
        <v>1384</v>
      </c>
      <c r="G73" s="6">
        <v>98056</v>
      </c>
      <c r="H73" s="6" t="s">
        <v>24</v>
      </c>
      <c r="I73" s="6">
        <v>98056</v>
      </c>
      <c r="K73" s="4" t="str">
        <f>PROPER(TEXT(Tabla8[[#This Row],[FECHA]],"mmm"))</f>
        <v>Abr</v>
      </c>
      <c r="L73" s="5">
        <v>46132</v>
      </c>
      <c r="M73" s="3" t="s">
        <v>39</v>
      </c>
      <c r="N73" s="3" t="s">
        <v>448</v>
      </c>
      <c r="O73" s="8" t="s">
        <v>1430</v>
      </c>
      <c r="P73" s="3" t="s">
        <v>411</v>
      </c>
      <c r="Q73" s="3" t="s">
        <v>412</v>
      </c>
      <c r="R73" s="6">
        <v>20000</v>
      </c>
      <c r="S73" s="3" t="s">
        <v>20</v>
      </c>
      <c r="T73" s="6"/>
    </row>
    <row r="74" spans="2:20" x14ac:dyDescent="0.2">
      <c r="B74" s="4" t="str">
        <f>PROPER(TEXT(Tabla7[[#This Row],[FECHA]],"mmm"))</f>
        <v>Feb</v>
      </c>
      <c r="C74" s="5">
        <v>46066</v>
      </c>
      <c r="D74" s="3" t="s">
        <v>29</v>
      </c>
      <c r="E74" s="3" t="s">
        <v>1381</v>
      </c>
      <c r="F74" s="3" t="s">
        <v>1383</v>
      </c>
      <c r="G74" s="6">
        <v>98056</v>
      </c>
      <c r="H74" s="6" t="s">
        <v>24</v>
      </c>
      <c r="I74" s="6">
        <v>98056</v>
      </c>
      <c r="K74" s="4" t="str">
        <f>PROPER(TEXT(Tabla8[[#This Row],[FECHA]],"mmm"))</f>
        <v>Abr</v>
      </c>
      <c r="L74" s="5">
        <v>46132</v>
      </c>
      <c r="M74" s="3" t="s">
        <v>39</v>
      </c>
      <c r="N74" s="3" t="s">
        <v>451</v>
      </c>
      <c r="O74" s="8" t="s">
        <v>1429</v>
      </c>
      <c r="P74" s="3" t="s">
        <v>411</v>
      </c>
      <c r="Q74" s="3" t="s">
        <v>452</v>
      </c>
      <c r="R74" s="6">
        <v>100000</v>
      </c>
      <c r="S74" s="3" t="s">
        <v>29</v>
      </c>
      <c r="T74" s="6"/>
    </row>
    <row r="75" spans="2:20" x14ac:dyDescent="0.2">
      <c r="B75" s="4" t="str">
        <f>PROPER(TEXT(Tabla7[[#This Row],[FECHA]],"mmm"))</f>
        <v>Feb</v>
      </c>
      <c r="C75" s="5">
        <v>46066</v>
      </c>
      <c r="D75" s="3" t="s">
        <v>29</v>
      </c>
      <c r="E75" s="3" t="s">
        <v>1381</v>
      </c>
      <c r="F75" s="3" t="s">
        <v>1382</v>
      </c>
      <c r="G75" s="6">
        <v>98056</v>
      </c>
      <c r="H75" s="6" t="s">
        <v>24</v>
      </c>
      <c r="I75" s="6">
        <v>98056</v>
      </c>
      <c r="K75" s="4" t="str">
        <f>PROPER(TEXT(Tabla8[[#This Row],[FECHA]],"mmm"))</f>
        <v>Abr</v>
      </c>
      <c r="L75" s="5">
        <v>46132</v>
      </c>
      <c r="M75" s="3" t="s">
        <v>37</v>
      </c>
      <c r="N75" s="3" t="s">
        <v>1427</v>
      </c>
      <c r="O75" s="8" t="s">
        <v>1428</v>
      </c>
      <c r="P75" s="3" t="s">
        <v>24</v>
      </c>
      <c r="Q75" s="3" t="s">
        <v>418</v>
      </c>
      <c r="R75" s="6">
        <v>12020</v>
      </c>
      <c r="S75" s="3" t="s">
        <v>25</v>
      </c>
      <c r="T75" s="6"/>
    </row>
    <row r="76" spans="2:20" x14ac:dyDescent="0.2">
      <c r="B76" s="4" t="str">
        <f>PROPER(TEXT(Tabla7[[#This Row],[FECHA]],"mmm"))</f>
        <v>Feb</v>
      </c>
      <c r="C76" s="5">
        <v>46066</v>
      </c>
      <c r="D76" s="3" t="s">
        <v>25</v>
      </c>
      <c r="E76" s="3" t="s">
        <v>419</v>
      </c>
      <c r="F76" s="3" t="s">
        <v>1170</v>
      </c>
      <c r="G76" s="6">
        <v>1636150</v>
      </c>
      <c r="H76" s="6" t="s">
        <v>22</v>
      </c>
      <c r="I76" s="6">
        <v>1636150</v>
      </c>
      <c r="K76" s="4" t="str">
        <f>PROPER(TEXT(Tabla8[[#This Row],[FECHA]],"mmm"))</f>
        <v>Abr</v>
      </c>
      <c r="L76" s="5">
        <v>46129</v>
      </c>
      <c r="M76" s="3" t="s">
        <v>37</v>
      </c>
      <c r="N76" s="3" t="s">
        <v>476</v>
      </c>
      <c r="O76" s="8" t="s">
        <v>1426</v>
      </c>
      <c r="P76" s="3" t="s">
        <v>411</v>
      </c>
      <c r="Q76" s="3" t="s">
        <v>478</v>
      </c>
      <c r="R76" s="6">
        <v>127168</v>
      </c>
      <c r="S76" s="3" t="s">
        <v>29</v>
      </c>
      <c r="T76" s="6"/>
    </row>
    <row r="77" spans="2:20" x14ac:dyDescent="0.2">
      <c r="B77" s="4" t="str">
        <f>PROPER(TEXT(Tabla7[[#This Row],[FECHA]],"mmm"))</f>
        <v>Feb</v>
      </c>
      <c r="C77" s="5">
        <v>46066</v>
      </c>
      <c r="D77" s="3" t="s">
        <v>20</v>
      </c>
      <c r="E77" s="3" t="s">
        <v>424</v>
      </c>
      <c r="F77" s="3" t="s">
        <v>21</v>
      </c>
      <c r="G77" s="6">
        <v>70000</v>
      </c>
      <c r="H77" s="6" t="s">
        <v>22</v>
      </c>
      <c r="I77" s="6">
        <v>70000</v>
      </c>
      <c r="K77" s="4" t="str">
        <f>PROPER(TEXT(Tabla8[[#This Row],[FECHA]],"mmm"))</f>
        <v>Abr</v>
      </c>
      <c r="L77" s="5">
        <v>46129</v>
      </c>
      <c r="M77" s="3" t="s">
        <v>39</v>
      </c>
      <c r="N77" s="3" t="s">
        <v>1422</v>
      </c>
      <c r="O77" s="8" t="s">
        <v>1423</v>
      </c>
      <c r="P77" s="3" t="s">
        <v>411</v>
      </c>
      <c r="Q77" s="3" t="s">
        <v>1424</v>
      </c>
      <c r="R77" s="6">
        <v>20000</v>
      </c>
      <c r="S77" s="3" t="s">
        <v>20</v>
      </c>
      <c r="T77" s="6"/>
    </row>
    <row r="78" spans="2:20" x14ac:dyDescent="0.2">
      <c r="B78" s="4" t="str">
        <f>PROPER(TEXT(Tabla7[[#This Row],[FECHA]],"mmm"))</f>
        <v>Feb</v>
      </c>
      <c r="C78" s="5">
        <v>46065</v>
      </c>
      <c r="D78" s="3" t="s">
        <v>29</v>
      </c>
      <c r="E78" s="3" t="s">
        <v>1373</v>
      </c>
      <c r="F78" s="3" t="s">
        <v>1374</v>
      </c>
      <c r="G78" s="6">
        <v>836570</v>
      </c>
      <c r="H78" s="6" t="s">
        <v>24</v>
      </c>
      <c r="I78" s="6">
        <v>836570</v>
      </c>
      <c r="K78" s="4" t="str">
        <f>PROPER(TEXT(Tabla8[[#This Row],[FECHA]],"mmm"))</f>
        <v>Abr</v>
      </c>
      <c r="L78" s="5">
        <v>46129</v>
      </c>
      <c r="M78" s="3" t="s">
        <v>39</v>
      </c>
      <c r="N78" s="3" t="s">
        <v>1072</v>
      </c>
      <c r="O78" s="8" t="s">
        <v>1421</v>
      </c>
      <c r="P78" s="3" t="s">
        <v>411</v>
      </c>
      <c r="Q78" s="3" t="s">
        <v>913</v>
      </c>
      <c r="R78" s="6">
        <v>20000</v>
      </c>
      <c r="S78" s="3" t="s">
        <v>20</v>
      </c>
      <c r="T78" s="6"/>
    </row>
    <row r="79" spans="2:20" x14ac:dyDescent="0.2">
      <c r="B79" s="4" t="str">
        <f>PROPER(TEXT(Tabla7[[#This Row],[FECHA]],"mmm"))</f>
        <v>Feb</v>
      </c>
      <c r="C79" s="5">
        <v>46065</v>
      </c>
      <c r="D79" s="3" t="s">
        <v>29</v>
      </c>
      <c r="E79" s="3" t="s">
        <v>1372</v>
      </c>
      <c r="F79" s="3" t="s">
        <v>414</v>
      </c>
      <c r="G79" s="6">
        <v>42840</v>
      </c>
      <c r="H79" s="6" t="s">
        <v>24</v>
      </c>
      <c r="I79" s="6">
        <v>42840</v>
      </c>
      <c r="K79" s="4" t="str">
        <f>PROPER(TEXT(Tabla8[[#This Row],[FECHA]],"mmm"))</f>
        <v>Abr</v>
      </c>
      <c r="L79" s="5">
        <v>46129</v>
      </c>
      <c r="M79" s="3" t="s">
        <v>39</v>
      </c>
      <c r="N79" s="3" t="s">
        <v>448</v>
      </c>
      <c r="O79" s="8" t="s">
        <v>1420</v>
      </c>
      <c r="P79" s="3" t="s">
        <v>411</v>
      </c>
      <c r="Q79" s="3" t="s">
        <v>412</v>
      </c>
      <c r="R79" s="6">
        <v>100000</v>
      </c>
      <c r="S79" s="3" t="s">
        <v>29</v>
      </c>
      <c r="T79" s="6"/>
    </row>
    <row r="80" spans="2:20" x14ac:dyDescent="0.2">
      <c r="B80" s="4" t="str">
        <f>PROPER(TEXT(Tabla7[[#This Row],[FECHA]],"mmm"))</f>
        <v>Feb</v>
      </c>
      <c r="C80" s="5">
        <v>46065</v>
      </c>
      <c r="D80" s="3" t="s">
        <v>25</v>
      </c>
      <c r="E80" s="3" t="s">
        <v>419</v>
      </c>
      <c r="F80" s="3" t="s">
        <v>885</v>
      </c>
      <c r="G80" s="6">
        <v>394000</v>
      </c>
      <c r="H80" s="6" t="s">
        <v>22</v>
      </c>
      <c r="I80" s="6">
        <v>394000</v>
      </c>
      <c r="K80" s="4" t="str">
        <f>PROPER(TEXT(Tabla8[[#This Row],[FECHA]],"mmm"))</f>
        <v>Abr</v>
      </c>
      <c r="L80" s="5">
        <v>46129</v>
      </c>
      <c r="M80" s="3" t="s">
        <v>39</v>
      </c>
      <c r="N80" s="3" t="s">
        <v>434</v>
      </c>
      <c r="O80" s="8" t="s">
        <v>1415</v>
      </c>
      <c r="P80" s="3" t="s">
        <v>411</v>
      </c>
      <c r="Q80" s="3" t="s">
        <v>433</v>
      </c>
      <c r="R80" s="6">
        <v>200000</v>
      </c>
      <c r="S80" s="3" t="s">
        <v>29</v>
      </c>
      <c r="T80" s="6"/>
    </row>
    <row r="81" spans="2:20" x14ac:dyDescent="0.2">
      <c r="B81" s="4" t="str">
        <f>PROPER(TEXT(Tabla7[[#This Row],[FECHA]],"mmm"))</f>
        <v>Feb</v>
      </c>
      <c r="C81" s="5">
        <v>46065</v>
      </c>
      <c r="D81" s="3" t="s">
        <v>20</v>
      </c>
      <c r="E81" s="3" t="s">
        <v>424</v>
      </c>
      <c r="F81" s="3" t="s">
        <v>885</v>
      </c>
      <c r="G81" s="6">
        <v>224000</v>
      </c>
      <c r="H81" s="6" t="s">
        <v>22</v>
      </c>
      <c r="I81" s="6">
        <v>224000</v>
      </c>
      <c r="K81" s="4" t="str">
        <f>PROPER(TEXT(Tabla8[[#This Row],[FECHA]],"mmm"))</f>
        <v>Abr</v>
      </c>
      <c r="L81" s="5">
        <v>46128</v>
      </c>
      <c r="M81" s="3" t="s">
        <v>55</v>
      </c>
      <c r="N81" s="3" t="s">
        <v>1416</v>
      </c>
      <c r="O81" s="8" t="s">
        <v>1417</v>
      </c>
      <c r="P81" s="3" t="s">
        <v>24</v>
      </c>
      <c r="Q81" s="3" t="s">
        <v>483</v>
      </c>
      <c r="R81" s="6">
        <v>3263455</v>
      </c>
      <c r="S81" s="3" t="s">
        <v>29</v>
      </c>
      <c r="T81" s="6"/>
    </row>
    <row r="82" spans="2:20" x14ac:dyDescent="0.2">
      <c r="B82" s="4" t="str">
        <f>PROPER(TEXT(Tabla7[[#This Row],[FECHA]],"mmm"))</f>
        <v>Feb</v>
      </c>
      <c r="C82" s="5">
        <v>46064</v>
      </c>
      <c r="D82" s="3" t="s">
        <v>25</v>
      </c>
      <c r="E82" s="3" t="s">
        <v>419</v>
      </c>
      <c r="F82" s="3" t="s">
        <v>1169</v>
      </c>
      <c r="G82" s="6">
        <v>788000</v>
      </c>
      <c r="H82" s="6" t="s">
        <v>22</v>
      </c>
      <c r="I82" s="6">
        <v>788000</v>
      </c>
      <c r="K82" s="4" t="str">
        <f>PROPER(TEXT(Tabla8[[#This Row],[FECHA]],"mmm"))</f>
        <v>Abr</v>
      </c>
      <c r="L82" s="5">
        <v>46128</v>
      </c>
      <c r="M82" s="3" t="s">
        <v>23</v>
      </c>
      <c r="N82" s="3" t="s">
        <v>622</v>
      </c>
      <c r="O82" s="8" t="s">
        <v>1414</v>
      </c>
      <c r="P82" s="3" t="s">
        <v>24</v>
      </c>
      <c r="Q82" s="3" t="s">
        <v>624</v>
      </c>
      <c r="R82" s="6">
        <v>132561</v>
      </c>
      <c r="S82" s="3" t="s">
        <v>25</v>
      </c>
      <c r="T82" s="6"/>
    </row>
    <row r="83" spans="2:20" x14ac:dyDescent="0.2">
      <c r="B83" s="4" t="str">
        <f>PROPER(TEXT(Tabla7[[#This Row],[FECHA]],"mmm"))</f>
        <v>Feb</v>
      </c>
      <c r="C83" s="5">
        <v>46064</v>
      </c>
      <c r="D83" s="3" t="s">
        <v>20</v>
      </c>
      <c r="E83" s="3" t="s">
        <v>424</v>
      </c>
      <c r="F83" s="3" t="s">
        <v>21</v>
      </c>
      <c r="G83" s="6">
        <v>118000</v>
      </c>
      <c r="H83" s="6" t="s">
        <v>22</v>
      </c>
      <c r="I83" s="6">
        <v>118000</v>
      </c>
      <c r="K83" s="4" t="str">
        <f>PROPER(TEXT(Tabla8[[#This Row],[FECHA]],"mmm"))</f>
        <v>Abr</v>
      </c>
      <c r="L83" s="5">
        <v>46127</v>
      </c>
      <c r="M83" s="3" t="s">
        <v>35</v>
      </c>
      <c r="N83" s="3" t="s">
        <v>1418</v>
      </c>
      <c r="O83" s="8" t="s">
        <v>1419</v>
      </c>
      <c r="P83" s="3" t="s">
        <v>24</v>
      </c>
      <c r="Q83" s="3" t="s">
        <v>431</v>
      </c>
      <c r="R83" s="6">
        <v>156366</v>
      </c>
      <c r="S83" s="3" t="s">
        <v>29</v>
      </c>
      <c r="T83" s="6"/>
    </row>
    <row r="84" spans="2:20" x14ac:dyDescent="0.2">
      <c r="B84" s="4" t="str">
        <f>PROPER(TEXT(Tabla7[[#This Row],[FECHA]],"mmm"))</f>
        <v>Feb</v>
      </c>
      <c r="C84" s="5">
        <v>46063</v>
      </c>
      <c r="D84" s="3" t="s">
        <v>29</v>
      </c>
      <c r="E84" s="3" t="s">
        <v>1360</v>
      </c>
      <c r="F84" s="3" t="s">
        <v>21</v>
      </c>
      <c r="G84" s="6">
        <v>130900</v>
      </c>
      <c r="H84" s="6" t="s">
        <v>22</v>
      </c>
      <c r="I84" s="6">
        <v>130900</v>
      </c>
      <c r="K84" s="4" t="str">
        <f>PROPER(TEXT(Tabla8[[#This Row],[FECHA]],"mmm"))</f>
        <v>Abr</v>
      </c>
      <c r="L84" s="5">
        <v>46127</v>
      </c>
      <c r="M84" s="3" t="s">
        <v>23</v>
      </c>
      <c r="N84" s="3" t="s">
        <v>1413</v>
      </c>
      <c r="O84" s="8" t="s">
        <v>21</v>
      </c>
      <c r="P84" s="3" t="s">
        <v>22</v>
      </c>
      <c r="Q84" s="3" t="s">
        <v>1078</v>
      </c>
      <c r="R84" s="6">
        <v>4000</v>
      </c>
      <c r="S84" s="3" t="s">
        <v>20</v>
      </c>
      <c r="T84" s="6"/>
    </row>
    <row r="85" spans="2:20" x14ac:dyDescent="0.2">
      <c r="B85" s="4" t="str">
        <f>PROPER(TEXT(Tabla7[[#This Row],[FECHA]],"mmm"))</f>
        <v>Feb</v>
      </c>
      <c r="C85" s="5">
        <v>46063</v>
      </c>
      <c r="D85" s="3" t="s">
        <v>25</v>
      </c>
      <c r="E85" s="3" t="s">
        <v>683</v>
      </c>
      <c r="F85" s="3" t="s">
        <v>1168</v>
      </c>
      <c r="G85" s="6">
        <v>992350</v>
      </c>
      <c r="H85" s="6" t="s">
        <v>22</v>
      </c>
      <c r="I85" s="6">
        <v>992350</v>
      </c>
      <c r="K85" s="4" t="str">
        <f>PROPER(TEXT(Tabla8[[#This Row],[FECHA]],"mmm"))</f>
        <v>Abr</v>
      </c>
      <c r="L85" s="5">
        <v>46127</v>
      </c>
      <c r="M85" s="3" t="s">
        <v>39</v>
      </c>
      <c r="N85" s="3" t="s">
        <v>451</v>
      </c>
      <c r="O85" s="8" t="s">
        <v>1412</v>
      </c>
      <c r="P85" s="3" t="s">
        <v>411</v>
      </c>
      <c r="Q85" s="3" t="s">
        <v>452</v>
      </c>
      <c r="R85" s="6">
        <v>100000</v>
      </c>
      <c r="S85" s="3" t="s">
        <v>20</v>
      </c>
      <c r="T85" s="6"/>
    </row>
    <row r="86" spans="2:20" x14ac:dyDescent="0.2">
      <c r="B86" s="4" t="str">
        <f>PROPER(TEXT(Tabla7[[#This Row],[FECHA]],"mmm"))</f>
        <v>Feb</v>
      </c>
      <c r="C86" s="5">
        <v>46063</v>
      </c>
      <c r="D86" s="3" t="s">
        <v>20</v>
      </c>
      <c r="E86" s="3" t="s">
        <v>424</v>
      </c>
      <c r="F86" s="3" t="s">
        <v>21</v>
      </c>
      <c r="G86" s="6">
        <v>52630</v>
      </c>
      <c r="H86" s="6" t="s">
        <v>22</v>
      </c>
      <c r="I86" s="6">
        <v>52630</v>
      </c>
      <c r="K86" s="4" t="str">
        <f>PROPER(TEXT(Tabla8[[#This Row],[FECHA]],"mmm"))</f>
        <v>Abr</v>
      </c>
      <c r="L86" s="5">
        <v>46127</v>
      </c>
      <c r="M86" s="3" t="s">
        <v>74</v>
      </c>
      <c r="N86" s="3" t="s">
        <v>1411</v>
      </c>
      <c r="O86" s="8" t="s">
        <v>21</v>
      </c>
      <c r="P86" s="3" t="s">
        <v>22</v>
      </c>
      <c r="Q86" s="3" t="s">
        <v>967</v>
      </c>
      <c r="R86" s="6">
        <v>45000</v>
      </c>
      <c r="S86" s="3" t="s">
        <v>20</v>
      </c>
      <c r="T86" s="6"/>
    </row>
    <row r="87" spans="2:20" x14ac:dyDescent="0.2">
      <c r="B87" s="4" t="str">
        <f>PROPER(TEXT(Tabla7[[#This Row],[FECHA]],"mmm"))</f>
        <v>Feb</v>
      </c>
      <c r="C87" s="5">
        <v>46062</v>
      </c>
      <c r="D87" s="3" t="s">
        <v>29</v>
      </c>
      <c r="E87" s="3" t="s">
        <v>495</v>
      </c>
      <c r="F87" s="3" t="s">
        <v>1320</v>
      </c>
      <c r="G87" s="6">
        <v>41650</v>
      </c>
      <c r="H87" s="6" t="s">
        <v>24</v>
      </c>
      <c r="I87" s="6">
        <v>41650</v>
      </c>
      <c r="K87" s="4" t="str">
        <f>PROPER(TEXT(Tabla8[[#This Row],[FECHA]],"mmm"))</f>
        <v>Abr</v>
      </c>
      <c r="L87" s="5">
        <v>46126</v>
      </c>
      <c r="M87" s="3" t="s">
        <v>23</v>
      </c>
      <c r="N87" s="3" t="s">
        <v>595</v>
      </c>
      <c r="O87" s="8" t="s">
        <v>21</v>
      </c>
      <c r="P87" s="3" t="s">
        <v>22</v>
      </c>
      <c r="Q87" s="3" t="s">
        <v>54</v>
      </c>
      <c r="R87" s="6">
        <v>5000</v>
      </c>
      <c r="S87" s="3" t="s">
        <v>20</v>
      </c>
      <c r="T87" s="6"/>
    </row>
    <row r="88" spans="2:20" x14ac:dyDescent="0.2">
      <c r="B88" s="4" t="str">
        <f>PROPER(TEXT(Tabla7[[#This Row],[FECHA]],"mmm"))</f>
        <v>Feb</v>
      </c>
      <c r="C88" s="5">
        <v>46062</v>
      </c>
      <c r="D88" s="3" t="s">
        <v>29</v>
      </c>
      <c r="E88" s="3" t="s">
        <v>1328</v>
      </c>
      <c r="F88" s="3" t="s">
        <v>21</v>
      </c>
      <c r="G88" s="6">
        <v>180000</v>
      </c>
      <c r="H88" s="6" t="s">
        <v>22</v>
      </c>
      <c r="I88" s="6">
        <v>180000</v>
      </c>
      <c r="K88" s="4" t="str">
        <f>PROPER(TEXT(Tabla8[[#This Row],[FECHA]],"mmm"))</f>
        <v>Abr</v>
      </c>
      <c r="L88" s="5">
        <v>46126</v>
      </c>
      <c r="M88" s="3" t="s">
        <v>39</v>
      </c>
      <c r="N88" s="3" t="s">
        <v>912</v>
      </c>
      <c r="O88" s="8" t="s">
        <v>1409</v>
      </c>
      <c r="P88" s="3" t="s">
        <v>411</v>
      </c>
      <c r="Q88" s="3" t="s">
        <v>913</v>
      </c>
      <c r="R88" s="6">
        <v>20000</v>
      </c>
      <c r="S88" s="3" t="s">
        <v>20</v>
      </c>
      <c r="T88" s="6"/>
    </row>
    <row r="89" spans="2:20" x14ac:dyDescent="0.2">
      <c r="B89" s="4" t="str">
        <f>PROPER(TEXT(Tabla7[[#This Row],[FECHA]],"mmm"))</f>
        <v>Feb</v>
      </c>
      <c r="C89" s="5">
        <v>46062</v>
      </c>
      <c r="D89" s="3" t="s">
        <v>29</v>
      </c>
      <c r="E89" s="3" t="s">
        <v>1325</v>
      </c>
      <c r="F89" s="3" t="s">
        <v>21</v>
      </c>
      <c r="G89" s="6">
        <v>160000</v>
      </c>
      <c r="H89" s="6" t="s">
        <v>22</v>
      </c>
      <c r="I89" s="6">
        <v>160000</v>
      </c>
      <c r="K89" s="4" t="str">
        <f>PROPER(TEXT(Tabla8[[#This Row],[FECHA]],"mmm"))</f>
        <v>Abr</v>
      </c>
      <c r="L89" s="5">
        <v>46126</v>
      </c>
      <c r="M89" s="3" t="s">
        <v>39</v>
      </c>
      <c r="N89" s="3" t="s">
        <v>964</v>
      </c>
      <c r="O89" s="8" t="s">
        <v>1406</v>
      </c>
      <c r="P89" s="3" t="s">
        <v>411</v>
      </c>
      <c r="Q89" s="3" t="s">
        <v>461</v>
      </c>
      <c r="R89" s="6">
        <v>200000</v>
      </c>
      <c r="S89" s="3" t="s">
        <v>29</v>
      </c>
      <c r="T89" s="6"/>
    </row>
    <row r="90" spans="2:20" x14ac:dyDescent="0.2">
      <c r="B90" s="4" t="str">
        <f>PROPER(TEXT(Tabla7[[#This Row],[FECHA]],"mmm"))</f>
        <v>Feb</v>
      </c>
      <c r="C90" s="5">
        <v>46062</v>
      </c>
      <c r="D90" s="3" t="s">
        <v>25</v>
      </c>
      <c r="E90" s="3" t="s">
        <v>419</v>
      </c>
      <c r="F90" s="3" t="s">
        <v>1167</v>
      </c>
      <c r="G90" s="6">
        <v>642200</v>
      </c>
      <c r="H90" s="6" t="s">
        <v>22</v>
      </c>
      <c r="I90" s="6">
        <v>642200</v>
      </c>
      <c r="K90" s="4" t="str">
        <f>PROPER(TEXT(Tabla8[[#This Row],[FECHA]],"mmm"))</f>
        <v>Abr</v>
      </c>
      <c r="L90" s="5">
        <v>46126</v>
      </c>
      <c r="M90" s="3" t="s">
        <v>23</v>
      </c>
      <c r="N90" s="3" t="s">
        <v>1405</v>
      </c>
      <c r="O90" s="8" t="s">
        <v>21</v>
      </c>
      <c r="P90" s="3" t="s">
        <v>22</v>
      </c>
      <c r="Q90" s="3" t="s">
        <v>1115</v>
      </c>
      <c r="R90" s="6">
        <v>17000</v>
      </c>
      <c r="S90" s="3" t="s">
        <v>20</v>
      </c>
      <c r="T90" s="6"/>
    </row>
    <row r="91" spans="2:20" x14ac:dyDescent="0.2">
      <c r="B91" s="4" t="str">
        <f>PROPER(TEXT(Tabla7[[#This Row],[FECHA]],"mmm"))</f>
        <v>Feb</v>
      </c>
      <c r="C91" s="5">
        <v>46062</v>
      </c>
      <c r="D91" s="3" t="s">
        <v>20</v>
      </c>
      <c r="E91" s="3" t="s">
        <v>424</v>
      </c>
      <c r="F91" s="3" t="s">
        <v>21</v>
      </c>
      <c r="G91" s="6">
        <v>143000</v>
      </c>
      <c r="H91" s="6" t="s">
        <v>22</v>
      </c>
      <c r="I91" s="6">
        <v>143000</v>
      </c>
      <c r="K91" s="4" t="str">
        <f>PROPER(TEXT(Tabla8[[#This Row],[FECHA]],"mmm"))</f>
        <v>Abr</v>
      </c>
      <c r="L91" s="5">
        <v>46126</v>
      </c>
      <c r="M91" s="3" t="s">
        <v>282</v>
      </c>
      <c r="N91" s="3" t="s">
        <v>1403</v>
      </c>
      <c r="O91" s="8" t="s">
        <v>21</v>
      </c>
      <c r="P91" s="3" t="s">
        <v>22</v>
      </c>
      <c r="Q91" s="3" t="s">
        <v>574</v>
      </c>
      <c r="R91" s="6">
        <v>20000</v>
      </c>
      <c r="S91" s="3" t="s">
        <v>20</v>
      </c>
      <c r="T91" s="6"/>
    </row>
    <row r="92" spans="2:20" x14ac:dyDescent="0.2">
      <c r="B92" s="4" t="str">
        <f>PROPER(TEXT(Tabla7[[#This Row],[FECHA]],"mmm"))</f>
        <v>Feb</v>
      </c>
      <c r="C92" s="5">
        <v>46060</v>
      </c>
      <c r="D92" s="3" t="s">
        <v>25</v>
      </c>
      <c r="E92" s="3" t="s">
        <v>683</v>
      </c>
      <c r="F92" s="3" t="s">
        <v>1166</v>
      </c>
      <c r="G92" s="6">
        <v>360000</v>
      </c>
      <c r="H92" s="6" t="s">
        <v>22</v>
      </c>
      <c r="I92" s="6">
        <v>360000</v>
      </c>
      <c r="K92" s="4" t="str">
        <f>PROPER(TEXT(Tabla8[[#This Row],[FECHA]],"mmm"))</f>
        <v>Abr</v>
      </c>
      <c r="L92" s="5">
        <v>46125</v>
      </c>
      <c r="M92" s="3" t="s">
        <v>39</v>
      </c>
      <c r="N92" s="3" t="s">
        <v>912</v>
      </c>
      <c r="O92" s="8" t="s">
        <v>1402</v>
      </c>
      <c r="P92" s="3" t="s">
        <v>411</v>
      </c>
      <c r="Q92" s="3" t="s">
        <v>913</v>
      </c>
      <c r="R92" s="6">
        <v>20000</v>
      </c>
      <c r="S92" s="3" t="s">
        <v>20</v>
      </c>
      <c r="T92" s="6"/>
    </row>
    <row r="93" spans="2:20" x14ac:dyDescent="0.2">
      <c r="B93" s="4" t="str">
        <f>PROPER(TEXT(Tabla7[[#This Row],[FECHA]],"mmm"))</f>
        <v>Feb</v>
      </c>
      <c r="C93" s="5">
        <v>46059</v>
      </c>
      <c r="D93" s="3" t="s">
        <v>29</v>
      </c>
      <c r="E93" s="3" t="s">
        <v>1316</v>
      </c>
      <c r="F93" s="3" t="s">
        <v>1317</v>
      </c>
      <c r="G93" s="6">
        <v>214200</v>
      </c>
      <c r="H93" s="6" t="s">
        <v>24</v>
      </c>
      <c r="I93" s="6">
        <v>214200</v>
      </c>
      <c r="K93" s="4" t="str">
        <f>PROPER(TEXT(Tabla8[[#This Row],[FECHA]],"mmm"))</f>
        <v>Abr</v>
      </c>
      <c r="L93" s="5">
        <v>46125</v>
      </c>
      <c r="M93" s="3" t="s">
        <v>23</v>
      </c>
      <c r="N93" s="3" t="s">
        <v>1399</v>
      </c>
      <c r="O93" s="8" t="s">
        <v>1400</v>
      </c>
      <c r="P93" s="3" t="s">
        <v>24</v>
      </c>
      <c r="Q93" s="3" t="s">
        <v>1401</v>
      </c>
      <c r="R93" s="6">
        <v>6000</v>
      </c>
      <c r="S93" s="3" t="s">
        <v>20</v>
      </c>
      <c r="T93" s="6"/>
    </row>
    <row r="94" spans="2:20" x14ac:dyDescent="0.2">
      <c r="B94" s="4" t="str">
        <f>PROPER(TEXT(Tabla7[[#This Row],[FECHA]],"mmm"))</f>
        <v>Feb</v>
      </c>
      <c r="C94" s="5">
        <v>46059</v>
      </c>
      <c r="D94" s="3" t="s">
        <v>29</v>
      </c>
      <c r="E94" s="3" t="s">
        <v>728</v>
      </c>
      <c r="F94" s="3" t="s">
        <v>1314</v>
      </c>
      <c r="G94" s="6">
        <v>891310</v>
      </c>
      <c r="H94" s="6" t="s">
        <v>24</v>
      </c>
      <c r="I94" s="6">
        <v>891310</v>
      </c>
      <c r="K94" s="4" t="str">
        <f>PROPER(TEXT(Tabla8[[#This Row],[FECHA]],"mmm"))</f>
        <v>Abr</v>
      </c>
      <c r="L94" s="5">
        <v>46125</v>
      </c>
      <c r="M94" s="3" t="s">
        <v>23</v>
      </c>
      <c r="N94" s="3" t="s">
        <v>1396</v>
      </c>
      <c r="O94" s="8" t="s">
        <v>1397</v>
      </c>
      <c r="P94" s="3" t="s">
        <v>592</v>
      </c>
      <c r="Q94" s="3" t="s">
        <v>1398</v>
      </c>
      <c r="R94" s="6">
        <v>14000</v>
      </c>
      <c r="S94" s="3" t="s">
        <v>20</v>
      </c>
      <c r="T94" s="6"/>
    </row>
    <row r="95" spans="2:20" x14ac:dyDescent="0.2">
      <c r="B95" s="4" t="str">
        <f>PROPER(TEXT(Tabla7[[#This Row],[FECHA]],"mmm"))</f>
        <v>Feb</v>
      </c>
      <c r="C95" s="5">
        <v>46059</v>
      </c>
      <c r="D95" s="3" t="s">
        <v>29</v>
      </c>
      <c r="E95" s="3" t="s">
        <v>1312</v>
      </c>
      <c r="F95" s="3" t="s">
        <v>1313</v>
      </c>
      <c r="G95" s="6">
        <v>416500</v>
      </c>
      <c r="H95" s="6" t="s">
        <v>24</v>
      </c>
      <c r="I95" s="6">
        <v>416500</v>
      </c>
      <c r="K95" s="4" t="str">
        <f>PROPER(TEXT(Tabla8[[#This Row],[FECHA]],"mmm"))</f>
        <v>Abr</v>
      </c>
      <c r="L95" s="5">
        <v>46121</v>
      </c>
      <c r="M95" s="3" t="s">
        <v>39</v>
      </c>
      <c r="N95" s="3" t="s">
        <v>912</v>
      </c>
      <c r="O95" s="8" t="s">
        <v>1344</v>
      </c>
      <c r="P95" s="3" t="s">
        <v>411</v>
      </c>
      <c r="Q95" s="3" t="s">
        <v>913</v>
      </c>
      <c r="R95" s="6">
        <v>100000</v>
      </c>
      <c r="S95" s="3" t="s">
        <v>20</v>
      </c>
      <c r="T95" s="6"/>
    </row>
    <row r="96" spans="2:20" x14ac:dyDescent="0.2">
      <c r="B96" s="4" t="str">
        <f>PROPER(TEXT(Tabla7[[#This Row],[FECHA]],"mmm"))</f>
        <v>Feb</v>
      </c>
      <c r="C96" s="5">
        <v>46059</v>
      </c>
      <c r="D96" s="3" t="s">
        <v>29</v>
      </c>
      <c r="E96" s="3" t="s">
        <v>1310</v>
      </c>
      <c r="F96" s="3" t="s">
        <v>1311</v>
      </c>
      <c r="G96" s="6">
        <v>1666000</v>
      </c>
      <c r="H96" s="6" t="s">
        <v>24</v>
      </c>
      <c r="I96" s="6">
        <v>1666000</v>
      </c>
      <c r="K96" s="4" t="str">
        <f>PROPER(TEXT(Tabla8[[#This Row],[FECHA]],"mmm"))</f>
        <v>Abr</v>
      </c>
      <c r="L96" s="5">
        <v>46121</v>
      </c>
      <c r="M96" s="3" t="s">
        <v>23</v>
      </c>
      <c r="N96" s="3" t="s">
        <v>1342</v>
      </c>
      <c r="O96" s="8" t="s">
        <v>1343</v>
      </c>
      <c r="P96" s="3" t="s">
        <v>24</v>
      </c>
      <c r="Q96" s="3" t="s">
        <v>617</v>
      </c>
      <c r="R96" s="6">
        <v>27500</v>
      </c>
      <c r="S96" s="3" t="s">
        <v>20</v>
      </c>
      <c r="T96" s="6"/>
    </row>
    <row r="97" spans="2:20" x14ac:dyDescent="0.2">
      <c r="B97" s="4" t="str">
        <f>PROPER(TEXT(Tabla7[[#This Row],[FECHA]],"mmm"))</f>
        <v>Feb</v>
      </c>
      <c r="C97" s="5">
        <v>46059</v>
      </c>
      <c r="D97" s="3" t="s">
        <v>25</v>
      </c>
      <c r="E97" s="3" t="s">
        <v>419</v>
      </c>
      <c r="F97" s="3" t="s">
        <v>734</v>
      </c>
      <c r="G97" s="6">
        <v>692000</v>
      </c>
      <c r="H97" s="6" t="s">
        <v>22</v>
      </c>
      <c r="I97" s="6">
        <v>692000</v>
      </c>
      <c r="K97" s="4" t="str">
        <f>PROPER(TEXT(Tabla8[[#This Row],[FECHA]],"mmm"))</f>
        <v>Abr</v>
      </c>
      <c r="L97" s="5">
        <v>46121</v>
      </c>
      <c r="M97" s="3" t="s">
        <v>23</v>
      </c>
      <c r="N97" s="3" t="s">
        <v>1340</v>
      </c>
      <c r="O97" s="8" t="s">
        <v>1341</v>
      </c>
      <c r="P97" s="3" t="s">
        <v>24</v>
      </c>
      <c r="Q97" s="3" t="s">
        <v>1067</v>
      </c>
      <c r="R97" s="6">
        <v>4500</v>
      </c>
      <c r="S97" s="3" t="s">
        <v>20</v>
      </c>
      <c r="T97" s="6"/>
    </row>
    <row r="98" spans="2:20" x14ac:dyDescent="0.2">
      <c r="B98" s="4" t="str">
        <f>PROPER(TEXT(Tabla7[[#This Row],[FECHA]],"mmm"))</f>
        <v>Feb</v>
      </c>
      <c r="C98" s="5">
        <v>46059</v>
      </c>
      <c r="D98" s="3" t="s">
        <v>20</v>
      </c>
      <c r="E98" s="3" t="s">
        <v>424</v>
      </c>
      <c r="F98" s="3" t="s">
        <v>734</v>
      </c>
      <c r="G98" s="6">
        <v>48000</v>
      </c>
      <c r="H98" s="6" t="s">
        <v>22</v>
      </c>
      <c r="I98" s="6">
        <v>48000</v>
      </c>
      <c r="K98" s="4" t="str">
        <f>PROPER(TEXT(Tabla8[[#This Row],[FECHA]],"mmm"))</f>
        <v>Abr</v>
      </c>
      <c r="L98" s="5">
        <v>46121</v>
      </c>
      <c r="M98" s="3" t="s">
        <v>539</v>
      </c>
      <c r="N98" s="3" t="s">
        <v>540</v>
      </c>
      <c r="O98" s="8" t="s">
        <v>1339</v>
      </c>
      <c r="P98" s="3" t="s">
        <v>24</v>
      </c>
      <c r="Q98" s="3" t="s">
        <v>542</v>
      </c>
      <c r="R98" s="6">
        <v>71467</v>
      </c>
      <c r="S98" s="3" t="s">
        <v>25</v>
      </c>
      <c r="T98" s="6"/>
    </row>
    <row r="99" spans="2:20" x14ac:dyDescent="0.2">
      <c r="B99" s="4" t="str">
        <f>PROPER(TEXT(Tabla7[[#This Row],[FECHA]],"mmm"))</f>
        <v>Feb</v>
      </c>
      <c r="C99" s="5">
        <v>46058</v>
      </c>
      <c r="D99" s="3" t="s">
        <v>29</v>
      </c>
      <c r="E99" s="3" t="s">
        <v>546</v>
      </c>
      <c r="F99" s="3" t="s">
        <v>414</v>
      </c>
      <c r="G99" s="6">
        <v>9734200</v>
      </c>
      <c r="H99" s="6" t="s">
        <v>22</v>
      </c>
      <c r="I99" s="6">
        <v>9734200</v>
      </c>
      <c r="K99" s="4" t="str">
        <f>PROPER(TEXT(Tabla8[[#This Row],[FECHA]],"mmm"))</f>
        <v>Abr</v>
      </c>
      <c r="L99" s="5">
        <v>46121</v>
      </c>
      <c r="M99" s="3" t="s">
        <v>37</v>
      </c>
      <c r="N99" s="3" t="s">
        <v>1334</v>
      </c>
      <c r="O99" s="8" t="s">
        <v>1335</v>
      </c>
      <c r="P99" s="3" t="s">
        <v>411</v>
      </c>
      <c r="Q99" s="3" t="s">
        <v>1336</v>
      </c>
      <c r="R99" s="6">
        <v>42920</v>
      </c>
      <c r="S99" s="3" t="s">
        <v>25</v>
      </c>
      <c r="T99" s="6"/>
    </row>
    <row r="100" spans="2:20" x14ac:dyDescent="0.2">
      <c r="B100" s="4" t="str">
        <f>PROPER(TEXT(Tabla7[[#This Row],[FECHA]],"mmm"))</f>
        <v>Feb</v>
      </c>
      <c r="C100" s="5">
        <v>46058</v>
      </c>
      <c r="D100" s="3" t="s">
        <v>29</v>
      </c>
      <c r="E100" s="3" t="s">
        <v>1306</v>
      </c>
      <c r="F100" s="3" t="s">
        <v>414</v>
      </c>
      <c r="G100" s="6">
        <v>53550</v>
      </c>
      <c r="H100" s="6" t="s">
        <v>24</v>
      </c>
      <c r="I100" s="6">
        <v>53550</v>
      </c>
      <c r="K100" s="4" t="str">
        <f>PROPER(TEXT(Tabla8[[#This Row],[FECHA]],"mmm"))</f>
        <v>Abr</v>
      </c>
      <c r="L100" s="5">
        <v>46120</v>
      </c>
      <c r="M100" s="3" t="s">
        <v>23</v>
      </c>
      <c r="N100" s="3" t="s">
        <v>902</v>
      </c>
      <c r="O100" s="8" t="s">
        <v>1331</v>
      </c>
      <c r="P100" s="3" t="s">
        <v>24</v>
      </c>
      <c r="Q100" s="3" t="s">
        <v>511</v>
      </c>
      <c r="R100" s="6">
        <v>14518</v>
      </c>
      <c r="S100" s="3" t="s">
        <v>25</v>
      </c>
      <c r="T100" s="6"/>
    </row>
    <row r="101" spans="2:20" x14ac:dyDescent="0.2">
      <c r="B101" s="4" t="str">
        <f>PROPER(TEXT(Tabla7[[#This Row],[FECHA]],"mmm"))</f>
        <v>Feb</v>
      </c>
      <c r="C101" s="5">
        <v>46058</v>
      </c>
      <c r="D101" s="3" t="s">
        <v>29</v>
      </c>
      <c r="E101" s="3" t="s">
        <v>1304</v>
      </c>
      <c r="F101" s="3" t="s">
        <v>1305</v>
      </c>
      <c r="G101" s="6">
        <v>179690</v>
      </c>
      <c r="H101" s="6" t="s">
        <v>24</v>
      </c>
      <c r="I101" s="6">
        <v>179690</v>
      </c>
      <c r="K101" s="4" t="str">
        <f>PROPER(TEXT(Tabla8[[#This Row],[FECHA]],"mmm"))</f>
        <v>Abr</v>
      </c>
      <c r="L101" s="5">
        <v>46119</v>
      </c>
      <c r="M101" s="3" t="s">
        <v>35</v>
      </c>
      <c r="N101" s="3" t="s">
        <v>429</v>
      </c>
      <c r="O101" s="8" t="s">
        <v>1329</v>
      </c>
      <c r="P101" s="3" t="s">
        <v>24</v>
      </c>
      <c r="Q101" s="3" t="s">
        <v>1231</v>
      </c>
      <c r="R101" s="6">
        <v>1170001</v>
      </c>
      <c r="S101" s="3" t="s">
        <v>29</v>
      </c>
      <c r="T101" s="6"/>
    </row>
    <row r="102" spans="2:20" x14ac:dyDescent="0.2">
      <c r="B102" s="4" t="str">
        <f>PROPER(TEXT(Tabla7[[#This Row],[FECHA]],"mmm"))</f>
        <v>Feb</v>
      </c>
      <c r="C102" s="5">
        <v>46058</v>
      </c>
      <c r="D102" s="3" t="s">
        <v>25</v>
      </c>
      <c r="E102" s="3" t="s">
        <v>419</v>
      </c>
      <c r="F102" s="3" t="s">
        <v>1165</v>
      </c>
      <c r="G102" s="6">
        <v>1030030</v>
      </c>
      <c r="H102" s="6" t="s">
        <v>22</v>
      </c>
      <c r="I102" s="6">
        <v>1030030</v>
      </c>
      <c r="K102" s="4" t="str">
        <f>PROPER(TEXT(Tabla8[[#This Row],[FECHA]],"mmm"))</f>
        <v>Abr</v>
      </c>
      <c r="L102" s="5">
        <v>46118</v>
      </c>
      <c r="M102" s="3" t="s">
        <v>23</v>
      </c>
      <c r="N102" s="3" t="s">
        <v>1337</v>
      </c>
      <c r="O102" s="8" t="s">
        <v>1338</v>
      </c>
      <c r="P102" s="3" t="s">
        <v>24</v>
      </c>
      <c r="Q102" s="3" t="s">
        <v>884</v>
      </c>
      <c r="R102" s="6">
        <v>3015000</v>
      </c>
      <c r="S102" s="3" t="s">
        <v>29</v>
      </c>
      <c r="T102" s="6"/>
    </row>
    <row r="103" spans="2:20" x14ac:dyDescent="0.2">
      <c r="B103" s="4" t="str">
        <f>PROPER(TEXT(Tabla7[[#This Row],[FECHA]],"mmm"))</f>
        <v>Feb</v>
      </c>
      <c r="C103" s="5">
        <v>46058</v>
      </c>
      <c r="D103" s="3" t="s">
        <v>20</v>
      </c>
      <c r="E103" s="3" t="s">
        <v>626</v>
      </c>
      <c r="F103" s="3" t="s">
        <v>21</v>
      </c>
      <c r="G103" s="6">
        <v>575000</v>
      </c>
      <c r="H103" s="6" t="s">
        <v>22</v>
      </c>
      <c r="I103" s="6">
        <v>575000</v>
      </c>
      <c r="K103" s="4" t="str">
        <f>PROPER(TEXT(Tabla8[[#This Row],[FECHA]],"mmm"))</f>
        <v>Abr</v>
      </c>
      <c r="L103" s="5">
        <v>46118</v>
      </c>
      <c r="M103" s="3" t="s">
        <v>23</v>
      </c>
      <c r="N103" s="3" t="s">
        <v>1326</v>
      </c>
      <c r="O103" s="8" t="s">
        <v>21</v>
      </c>
      <c r="P103" s="3" t="s">
        <v>411</v>
      </c>
      <c r="Q103" s="3" t="s">
        <v>1327</v>
      </c>
      <c r="R103" s="6">
        <v>3466</v>
      </c>
      <c r="S103" s="3" t="s">
        <v>29</v>
      </c>
      <c r="T103" s="6"/>
    </row>
    <row r="104" spans="2:20" x14ac:dyDescent="0.2">
      <c r="B104" s="4" t="str">
        <f>PROPER(TEXT(Tabla7[[#This Row],[FECHA]],"mmm"))</f>
        <v>Feb</v>
      </c>
      <c r="C104" s="5">
        <v>46058</v>
      </c>
      <c r="D104" s="3" t="s">
        <v>29</v>
      </c>
      <c r="E104" s="3" t="s">
        <v>701</v>
      </c>
      <c r="F104" s="3" t="s">
        <v>21</v>
      </c>
      <c r="G104" s="6">
        <v>963900</v>
      </c>
      <c r="H104" s="6" t="s">
        <v>22</v>
      </c>
      <c r="I104" s="6">
        <v>963900</v>
      </c>
      <c r="K104" s="4" t="str">
        <f>PROPER(TEXT(Tabla8[[#This Row],[FECHA]],"mmm"))</f>
        <v>Abr</v>
      </c>
      <c r="L104" s="5">
        <v>46118</v>
      </c>
      <c r="M104" s="3" t="s">
        <v>49</v>
      </c>
      <c r="N104" s="3" t="s">
        <v>1299</v>
      </c>
      <c r="O104" s="8" t="s">
        <v>21</v>
      </c>
      <c r="P104" s="3" t="s">
        <v>411</v>
      </c>
      <c r="Q104" s="3" t="s">
        <v>507</v>
      </c>
      <c r="R104" s="6">
        <v>2000000</v>
      </c>
      <c r="S104" s="3" t="s">
        <v>29</v>
      </c>
    </row>
    <row r="105" spans="2:20" x14ac:dyDescent="0.2">
      <c r="B105" s="4" t="str">
        <f>PROPER(TEXT(Tabla7[[#This Row],[FECHA]],"mmm"))</f>
        <v>Feb</v>
      </c>
      <c r="C105" s="5">
        <v>46057</v>
      </c>
      <c r="D105" s="3" t="s">
        <v>25</v>
      </c>
      <c r="E105" s="3" t="s">
        <v>419</v>
      </c>
      <c r="F105" s="3" t="s">
        <v>1164</v>
      </c>
      <c r="G105" s="6">
        <v>1524760</v>
      </c>
      <c r="H105" s="6" t="s">
        <v>22</v>
      </c>
      <c r="I105" s="6">
        <v>1524760</v>
      </c>
      <c r="K105" s="4" t="str">
        <f>PROPER(TEXT(Tabla8[[#This Row],[FECHA]],"mmm"))</f>
        <v>Abr</v>
      </c>
      <c r="L105" s="5">
        <v>46113</v>
      </c>
      <c r="M105" s="3" t="s">
        <v>539</v>
      </c>
      <c r="N105" s="3" t="s">
        <v>1277</v>
      </c>
      <c r="O105" s="8" t="s">
        <v>1278</v>
      </c>
      <c r="P105" s="3" t="s">
        <v>24</v>
      </c>
      <c r="Q105" s="3" t="s">
        <v>1279</v>
      </c>
      <c r="R105" s="6">
        <v>30000</v>
      </c>
      <c r="S105" s="3" t="s">
        <v>20</v>
      </c>
    </row>
    <row r="106" spans="2:20" x14ac:dyDescent="0.2">
      <c r="B106" s="4" t="str">
        <f>PROPER(TEXT(Tabla7[[#This Row],[FECHA]],"mmm"))</f>
        <v>Feb</v>
      </c>
      <c r="C106" s="5">
        <v>46057</v>
      </c>
      <c r="D106" s="3" t="s">
        <v>20</v>
      </c>
      <c r="E106" s="3" t="s">
        <v>424</v>
      </c>
      <c r="F106" s="3" t="s">
        <v>21</v>
      </c>
      <c r="G106" s="6">
        <v>27000</v>
      </c>
      <c r="H106" s="6" t="s">
        <v>22</v>
      </c>
      <c r="I106" s="6">
        <v>27000</v>
      </c>
      <c r="K106" s="4" t="str">
        <f>PROPER(TEXT(Tabla8[[#This Row],[FECHA]],"mmm"))</f>
        <v>Mar</v>
      </c>
      <c r="L106" s="5">
        <v>46112</v>
      </c>
      <c r="M106" s="3" t="s">
        <v>51</v>
      </c>
      <c r="N106" s="3" t="s">
        <v>1294</v>
      </c>
      <c r="O106" s="8" t="s">
        <v>1284</v>
      </c>
      <c r="P106" s="3" t="s">
        <v>22</v>
      </c>
      <c r="Q106" s="3" t="s">
        <v>412</v>
      </c>
      <c r="R106" s="6">
        <v>450000</v>
      </c>
      <c r="S106" s="3" t="s">
        <v>20</v>
      </c>
    </row>
    <row r="107" spans="2:20" x14ac:dyDescent="0.2">
      <c r="B107" s="4" t="str">
        <f>PROPER(TEXT(Tabla7[[#This Row],[FECHA]],"mmm"))</f>
        <v>Feb</v>
      </c>
      <c r="C107" s="5">
        <v>46056</v>
      </c>
      <c r="D107" s="3" t="s">
        <v>29</v>
      </c>
      <c r="E107" s="3" t="s">
        <v>1295</v>
      </c>
      <c r="F107" s="3" t="s">
        <v>1296</v>
      </c>
      <c r="G107" s="6">
        <v>226100</v>
      </c>
      <c r="H107" s="6" t="s">
        <v>24</v>
      </c>
      <c r="I107" s="6">
        <v>226100</v>
      </c>
      <c r="K107" s="4" t="str">
        <f>PROPER(TEXT(Tabla8[[#This Row],[FECHA]],"mmm"))</f>
        <v>Mar</v>
      </c>
      <c r="L107" s="5">
        <v>46112</v>
      </c>
      <c r="M107" s="3" t="s">
        <v>51</v>
      </c>
      <c r="N107" s="3" t="s">
        <v>1293</v>
      </c>
      <c r="O107" s="8" t="s">
        <v>1284</v>
      </c>
      <c r="P107" s="3" t="s">
        <v>411</v>
      </c>
      <c r="Q107" s="3" t="s">
        <v>888</v>
      </c>
      <c r="R107" s="6">
        <v>590000</v>
      </c>
      <c r="S107" s="3" t="s">
        <v>20</v>
      </c>
    </row>
    <row r="108" spans="2:20" x14ac:dyDescent="0.2">
      <c r="B108" s="4" t="str">
        <f>PROPER(TEXT(Tabla7[[#This Row],[FECHA]],"mmm"))</f>
        <v>Feb</v>
      </c>
      <c r="C108" s="5">
        <v>46056</v>
      </c>
      <c r="D108" s="3" t="s">
        <v>29</v>
      </c>
      <c r="E108" s="3" t="s">
        <v>704</v>
      </c>
      <c r="F108" s="3" t="s">
        <v>21</v>
      </c>
      <c r="G108" s="6">
        <v>130000</v>
      </c>
      <c r="H108" s="6" t="s">
        <v>22</v>
      </c>
      <c r="I108" s="6">
        <v>130000</v>
      </c>
      <c r="K108" s="4" t="str">
        <f>PROPER(TEXT(Tabla8[[#This Row],[FECHA]],"mmm"))</f>
        <v>Mar</v>
      </c>
      <c r="L108" s="5">
        <v>46112</v>
      </c>
      <c r="M108" s="3" t="s">
        <v>39</v>
      </c>
      <c r="N108" s="3" t="s">
        <v>294</v>
      </c>
      <c r="O108" s="8" t="s">
        <v>1292</v>
      </c>
      <c r="P108" s="3" t="s">
        <v>411</v>
      </c>
      <c r="Q108" s="3" t="s">
        <v>433</v>
      </c>
      <c r="R108" s="6">
        <v>200000</v>
      </c>
      <c r="S108" s="3" t="s">
        <v>20</v>
      </c>
    </row>
    <row r="109" spans="2:20" x14ac:dyDescent="0.2">
      <c r="B109" s="4" t="str">
        <f>PROPER(TEXT(Tabla7[[#This Row],[FECHA]],"mmm"))</f>
        <v>Feb</v>
      </c>
      <c r="C109" s="5">
        <v>46056</v>
      </c>
      <c r="D109" s="3" t="s">
        <v>29</v>
      </c>
      <c r="E109" s="3" t="s">
        <v>704</v>
      </c>
      <c r="F109" s="3" t="s">
        <v>21</v>
      </c>
      <c r="G109" s="6">
        <v>90000</v>
      </c>
      <c r="H109" s="6" t="s">
        <v>22</v>
      </c>
      <c r="I109" s="6">
        <v>90000</v>
      </c>
      <c r="K109" s="4" t="str">
        <f>PROPER(TEXT(Tabla8[[#This Row],[FECHA]],"mmm"))</f>
        <v>Mar</v>
      </c>
      <c r="L109" s="5">
        <v>46112</v>
      </c>
      <c r="M109" s="3" t="s">
        <v>39</v>
      </c>
      <c r="N109" s="3" t="s">
        <v>284</v>
      </c>
      <c r="O109" s="8" t="s">
        <v>1291</v>
      </c>
      <c r="P109" s="3" t="s">
        <v>411</v>
      </c>
      <c r="Q109" s="3" t="s">
        <v>412</v>
      </c>
      <c r="R109" s="6">
        <v>100000</v>
      </c>
      <c r="S109" s="3" t="s">
        <v>20</v>
      </c>
    </row>
    <row r="110" spans="2:20" x14ac:dyDescent="0.2">
      <c r="B110" s="4" t="str">
        <f>PROPER(TEXT(Tabla7[[#This Row],[FECHA]],"mmm"))</f>
        <v>Feb</v>
      </c>
      <c r="C110" s="5">
        <v>46056</v>
      </c>
      <c r="D110" s="3" t="s">
        <v>25</v>
      </c>
      <c r="E110" s="3" t="s">
        <v>419</v>
      </c>
      <c r="F110" s="3" t="s">
        <v>820</v>
      </c>
      <c r="G110" s="6">
        <v>441180</v>
      </c>
      <c r="H110" s="6" t="s">
        <v>22</v>
      </c>
      <c r="I110" s="6">
        <v>441180</v>
      </c>
      <c r="K110" s="4" t="str">
        <f>PROPER(TEXT(Tabla8[[#This Row],[FECHA]],"mmm"))</f>
        <v>Mar</v>
      </c>
      <c r="L110" s="5">
        <v>46112</v>
      </c>
      <c r="M110" s="3" t="s">
        <v>51</v>
      </c>
      <c r="N110" s="3" t="s">
        <v>1290</v>
      </c>
      <c r="O110" s="8" t="s">
        <v>1284</v>
      </c>
      <c r="P110" s="3" t="s">
        <v>411</v>
      </c>
      <c r="Q110" s="3" t="s">
        <v>433</v>
      </c>
      <c r="R110" s="6">
        <v>3000</v>
      </c>
      <c r="S110" s="3" t="s">
        <v>20</v>
      </c>
    </row>
    <row r="111" spans="2:20" x14ac:dyDescent="0.2">
      <c r="B111" s="4" t="str">
        <f>PROPER(TEXT(Tabla7[[#This Row],[FECHA]],"mmm"))</f>
        <v>Feb</v>
      </c>
      <c r="C111" s="5">
        <v>46056</v>
      </c>
      <c r="D111" s="3" t="s">
        <v>20</v>
      </c>
      <c r="E111" s="3" t="s">
        <v>424</v>
      </c>
      <c r="F111" s="3" t="s">
        <v>820</v>
      </c>
      <c r="G111" s="6">
        <v>272000</v>
      </c>
      <c r="H111" s="6" t="s">
        <v>22</v>
      </c>
      <c r="I111" s="6">
        <v>272000</v>
      </c>
      <c r="K111" s="4" t="str">
        <f>PROPER(TEXT(Tabla8[[#This Row],[FECHA]],"mmm"))</f>
        <v>Mar</v>
      </c>
      <c r="L111" s="5">
        <v>46112</v>
      </c>
      <c r="M111" s="3" t="s">
        <v>51</v>
      </c>
      <c r="N111" s="3" t="s">
        <v>1290</v>
      </c>
      <c r="O111" s="8" t="s">
        <v>1284</v>
      </c>
      <c r="P111" s="3" t="s">
        <v>411</v>
      </c>
      <c r="Q111" s="3" t="s">
        <v>433</v>
      </c>
      <c r="R111" s="6">
        <v>250000</v>
      </c>
      <c r="S111" s="3" t="s">
        <v>29</v>
      </c>
    </row>
    <row r="112" spans="2:20" x14ac:dyDescent="0.2">
      <c r="B112" s="4" t="str">
        <f>PROPER(TEXT(Tabla7[[#This Row],[FECHA]],"mmm"))</f>
        <v>Feb</v>
      </c>
      <c r="C112" s="5">
        <v>46055</v>
      </c>
      <c r="D112" s="3" t="s">
        <v>29</v>
      </c>
      <c r="E112" s="3" t="s">
        <v>704</v>
      </c>
      <c r="F112" s="3" t="s">
        <v>21</v>
      </c>
      <c r="G112" s="6">
        <v>220000</v>
      </c>
      <c r="H112" s="6" t="s">
        <v>22</v>
      </c>
      <c r="I112" s="6">
        <v>220000</v>
      </c>
      <c r="K112" s="4" t="str">
        <f>PROPER(TEXT(Tabla8[[#This Row],[FECHA]],"mmm"))</f>
        <v>Mar</v>
      </c>
      <c r="L112" s="5">
        <v>46112</v>
      </c>
      <c r="M112" s="3" t="s">
        <v>51</v>
      </c>
      <c r="N112" s="3" t="s">
        <v>1289</v>
      </c>
      <c r="O112" s="8" t="s">
        <v>1284</v>
      </c>
      <c r="P112" s="3" t="s">
        <v>411</v>
      </c>
      <c r="Q112" s="3" t="s">
        <v>582</v>
      </c>
      <c r="R112" s="6">
        <v>615000</v>
      </c>
      <c r="S112" s="3" t="s">
        <v>20</v>
      </c>
    </row>
    <row r="113" spans="2:19" x14ac:dyDescent="0.2">
      <c r="B113" s="4" t="str">
        <f>PROPER(TEXT(Tabla7[[#This Row],[FECHA]],"mmm"))</f>
        <v>Feb</v>
      </c>
      <c r="C113" s="5">
        <v>46055</v>
      </c>
      <c r="D113" s="3" t="s">
        <v>29</v>
      </c>
      <c r="E113" s="3" t="s">
        <v>1071</v>
      </c>
      <c r="F113" s="3" t="s">
        <v>21</v>
      </c>
      <c r="G113" s="6">
        <v>300000</v>
      </c>
      <c r="H113" s="6" t="s">
        <v>22</v>
      </c>
      <c r="I113" s="6">
        <v>300000</v>
      </c>
      <c r="K113" s="4" t="str">
        <f>PROPER(TEXT(Tabla8[[#This Row],[FECHA]],"mmm"))</f>
        <v>Mar</v>
      </c>
      <c r="L113" s="5">
        <v>46112</v>
      </c>
      <c r="M113" s="3" t="s">
        <v>51</v>
      </c>
      <c r="N113" s="3" t="s">
        <v>1288</v>
      </c>
      <c r="O113" s="8" t="s">
        <v>1284</v>
      </c>
      <c r="P113" s="3" t="s">
        <v>411</v>
      </c>
      <c r="Q113" s="3" t="s">
        <v>1288</v>
      </c>
      <c r="R113" s="6">
        <v>200000</v>
      </c>
      <c r="S113" s="3" t="s">
        <v>29</v>
      </c>
    </row>
    <row r="114" spans="2:19" x14ac:dyDescent="0.2">
      <c r="B114" s="4" t="str">
        <f>PROPER(TEXT(Tabla7[[#This Row],[FECHA]],"mmm"))</f>
        <v>Feb</v>
      </c>
      <c r="C114" s="5">
        <v>46055</v>
      </c>
      <c r="D114" s="3" t="s">
        <v>25</v>
      </c>
      <c r="E114" s="3" t="s">
        <v>419</v>
      </c>
      <c r="F114" s="3" t="s">
        <v>680</v>
      </c>
      <c r="G114" s="6">
        <v>992020</v>
      </c>
      <c r="H114" s="6" t="s">
        <v>22</v>
      </c>
      <c r="I114" s="6">
        <v>992020</v>
      </c>
      <c r="K114" s="4" t="str">
        <f>PROPER(TEXT(Tabla8[[#This Row],[FECHA]],"mmm"))</f>
        <v>Mar</v>
      </c>
      <c r="L114" s="5">
        <v>46112</v>
      </c>
      <c r="M114" s="3" t="s">
        <v>51</v>
      </c>
      <c r="N114" s="3" t="s">
        <v>1287</v>
      </c>
      <c r="O114" s="8" t="s">
        <v>1284</v>
      </c>
      <c r="P114" s="3" t="s">
        <v>411</v>
      </c>
      <c r="Q114" s="3" t="s">
        <v>62</v>
      </c>
      <c r="R114" s="6">
        <v>303000</v>
      </c>
      <c r="S114" s="3" t="s">
        <v>20</v>
      </c>
    </row>
    <row r="115" spans="2:19" x14ac:dyDescent="0.2">
      <c r="B115" s="4" t="str">
        <f>PROPER(TEXT(Tabla7[[#This Row],[FECHA]],"mmm"))</f>
        <v>Feb</v>
      </c>
      <c r="C115" s="5">
        <v>46055</v>
      </c>
      <c r="D115" s="3" t="s">
        <v>20</v>
      </c>
      <c r="E115" s="3" t="s">
        <v>424</v>
      </c>
      <c r="F115" s="3" t="s">
        <v>680</v>
      </c>
      <c r="G115" s="6">
        <v>130000</v>
      </c>
      <c r="H115" s="6" t="s">
        <v>22</v>
      </c>
      <c r="I115" s="6">
        <v>130000</v>
      </c>
      <c r="K115" s="4" t="str">
        <f>PROPER(TEXT(Tabla8[[#This Row],[FECHA]],"mmm"))</f>
        <v>Mar</v>
      </c>
      <c r="L115" s="5">
        <v>46112</v>
      </c>
      <c r="M115" s="3" t="s">
        <v>51</v>
      </c>
      <c r="N115" s="3" t="s">
        <v>1022</v>
      </c>
      <c r="O115" s="8" t="s">
        <v>1284</v>
      </c>
      <c r="P115" s="3" t="s">
        <v>411</v>
      </c>
      <c r="Q115" s="3" t="s">
        <v>860</v>
      </c>
      <c r="R115" s="6">
        <v>1400000</v>
      </c>
      <c r="S115" s="3" t="s">
        <v>29</v>
      </c>
    </row>
    <row r="116" spans="2:19" x14ac:dyDescent="0.2">
      <c r="B116" s="4" t="str">
        <f>PROPER(TEXT(Tabla7[[#This Row],[FECHA]],"mmm"))</f>
        <v>Ene</v>
      </c>
      <c r="C116" s="5">
        <v>46053</v>
      </c>
      <c r="D116" s="3" t="s">
        <v>25</v>
      </c>
      <c r="E116" s="3" t="s">
        <v>419</v>
      </c>
      <c r="F116" s="3" t="s">
        <v>681</v>
      </c>
      <c r="G116" s="6">
        <v>1000000</v>
      </c>
      <c r="H116" s="6" t="s">
        <v>22</v>
      </c>
      <c r="I116" s="6">
        <v>1000000</v>
      </c>
      <c r="K116" s="4" t="str">
        <f>PROPER(TEXT(Tabla8[[#This Row],[FECHA]],"mmm"))</f>
        <v>Mar</v>
      </c>
      <c r="L116" s="5">
        <v>46112</v>
      </c>
      <c r="M116" s="3" t="s">
        <v>51</v>
      </c>
      <c r="N116" s="3" t="s">
        <v>1286</v>
      </c>
      <c r="O116" s="8" t="s">
        <v>1284</v>
      </c>
      <c r="P116" s="3" t="s">
        <v>411</v>
      </c>
      <c r="Q116" s="3" t="s">
        <v>834</v>
      </c>
      <c r="R116" s="6">
        <v>271500</v>
      </c>
      <c r="S116" s="3" t="s">
        <v>29</v>
      </c>
    </row>
    <row r="117" spans="2:19" x14ac:dyDescent="0.2">
      <c r="B117" s="4" t="str">
        <f>PROPER(TEXT(Tabla7[[#This Row],[FECHA]],"mmm"))</f>
        <v>Ene</v>
      </c>
      <c r="C117" s="5">
        <v>46052</v>
      </c>
      <c r="D117" s="3" t="s">
        <v>29</v>
      </c>
      <c r="E117" s="3" t="s">
        <v>704</v>
      </c>
      <c r="F117" s="3" t="s">
        <v>21</v>
      </c>
      <c r="G117" s="6">
        <v>60000</v>
      </c>
      <c r="H117" s="6" t="s">
        <v>22</v>
      </c>
      <c r="I117" s="6">
        <v>60000</v>
      </c>
      <c r="K117" s="4" t="str">
        <f>PROPER(TEXT(Tabla8[[#This Row],[FECHA]],"mmm"))</f>
        <v>Mar</v>
      </c>
      <c r="L117" s="5">
        <v>46112</v>
      </c>
      <c r="M117" s="3" t="s">
        <v>51</v>
      </c>
      <c r="N117" s="3" t="s">
        <v>677</v>
      </c>
      <c r="O117" s="8" t="s">
        <v>1284</v>
      </c>
      <c r="P117" s="3" t="s">
        <v>411</v>
      </c>
      <c r="Q117" s="3" t="s">
        <v>452</v>
      </c>
      <c r="R117" s="6">
        <v>800000</v>
      </c>
      <c r="S117" s="3" t="s">
        <v>29</v>
      </c>
    </row>
    <row r="118" spans="2:19" x14ac:dyDescent="0.2">
      <c r="B118" s="4" t="str">
        <f>PROPER(TEXT(Tabla7[[#This Row],[FECHA]],"mmm"))</f>
        <v>Ene</v>
      </c>
      <c r="C118" s="5">
        <v>46052</v>
      </c>
      <c r="D118" s="3" t="s">
        <v>25</v>
      </c>
      <c r="E118" s="3" t="s">
        <v>419</v>
      </c>
      <c r="F118" s="3" t="s">
        <v>676</v>
      </c>
      <c r="G118" s="6">
        <v>2536000</v>
      </c>
      <c r="H118" s="6" t="s">
        <v>22</v>
      </c>
      <c r="I118" s="6">
        <v>2536000</v>
      </c>
      <c r="K118" s="4" t="str">
        <f>PROPER(TEXT(Tabla8[[#This Row],[FECHA]],"mmm"))</f>
        <v>Mar</v>
      </c>
      <c r="L118" s="5">
        <v>46112</v>
      </c>
      <c r="M118" s="3" t="s">
        <v>51</v>
      </c>
      <c r="N118" s="3" t="s">
        <v>1285</v>
      </c>
      <c r="O118" s="8" t="s">
        <v>1284</v>
      </c>
      <c r="P118" s="3" t="s">
        <v>411</v>
      </c>
      <c r="Q118" s="3" t="s">
        <v>452</v>
      </c>
      <c r="R118" s="6">
        <v>97000</v>
      </c>
      <c r="S118" s="3" t="s">
        <v>20</v>
      </c>
    </row>
    <row r="119" spans="2:19" x14ac:dyDescent="0.2">
      <c r="B119" s="4" t="str">
        <f>PROPER(TEXT(Tabla7[[#This Row],[FECHA]],"mmm"))</f>
        <v>Ene</v>
      </c>
      <c r="C119" s="5">
        <v>46051</v>
      </c>
      <c r="D119" s="3" t="s">
        <v>25</v>
      </c>
      <c r="E119" s="3" t="s">
        <v>419</v>
      </c>
      <c r="F119" s="3" t="s">
        <v>686</v>
      </c>
      <c r="G119" s="6">
        <v>392459</v>
      </c>
      <c r="H119" s="6" t="s">
        <v>22</v>
      </c>
      <c r="I119" s="6">
        <v>392459</v>
      </c>
      <c r="K119" s="4" t="str">
        <f>PROPER(TEXT(Tabla8[[#This Row],[FECHA]],"mmm"))</f>
        <v>Mar</v>
      </c>
      <c r="L119" s="5">
        <v>46112</v>
      </c>
      <c r="M119" s="3" t="s">
        <v>51</v>
      </c>
      <c r="N119" s="3" t="s">
        <v>678</v>
      </c>
      <c r="O119" s="8" t="s">
        <v>1284</v>
      </c>
      <c r="P119" s="3" t="s">
        <v>411</v>
      </c>
      <c r="Q119" s="3" t="s">
        <v>679</v>
      </c>
      <c r="R119" s="6">
        <v>1000000</v>
      </c>
      <c r="S119" s="3" t="s">
        <v>29</v>
      </c>
    </row>
    <row r="120" spans="2:19" x14ac:dyDescent="0.2">
      <c r="B120" s="4" t="str">
        <f>PROPER(TEXT(Tabla7[[#This Row],[FECHA]],"mmm"))</f>
        <v>Ene</v>
      </c>
      <c r="C120" s="5">
        <v>46051</v>
      </c>
      <c r="D120" s="3" t="s">
        <v>20</v>
      </c>
      <c r="E120" s="3" t="s">
        <v>424</v>
      </c>
      <c r="F120" s="3">
        <v>29012026</v>
      </c>
      <c r="G120" s="6">
        <v>171000</v>
      </c>
      <c r="H120" s="6" t="s">
        <v>22</v>
      </c>
      <c r="I120" s="6">
        <v>171000</v>
      </c>
      <c r="K120" s="4" t="str">
        <f>PROPER(TEXT(Tabla8[[#This Row],[FECHA]],"mmm"))</f>
        <v>Mar</v>
      </c>
      <c r="L120" s="5">
        <v>46112</v>
      </c>
      <c r="M120" s="3" t="s">
        <v>51</v>
      </c>
      <c r="N120" s="3" t="s">
        <v>1283</v>
      </c>
      <c r="O120" s="8" t="s">
        <v>1284</v>
      </c>
      <c r="P120" s="3" t="s">
        <v>411</v>
      </c>
      <c r="Q120" s="3" t="s">
        <v>895</v>
      </c>
      <c r="R120" s="6">
        <v>770000</v>
      </c>
      <c r="S120" s="3" t="s">
        <v>29</v>
      </c>
    </row>
    <row r="121" spans="2:19" x14ac:dyDescent="0.2">
      <c r="B121" s="4" t="str">
        <f>PROPER(TEXT(Tabla7[[#This Row],[FECHA]],"mmm"))</f>
        <v>Ene</v>
      </c>
      <c r="C121" s="5">
        <v>46050</v>
      </c>
      <c r="D121" s="3" t="s">
        <v>29</v>
      </c>
      <c r="E121" s="3" t="s">
        <v>756</v>
      </c>
      <c r="F121" s="3" t="s">
        <v>414</v>
      </c>
      <c r="G121" s="6">
        <v>225900</v>
      </c>
      <c r="H121" s="6" t="s">
        <v>24</v>
      </c>
      <c r="I121" s="6">
        <v>225900</v>
      </c>
      <c r="K121" s="4" t="str">
        <f>PROPER(TEXT(Tabla8[[#This Row],[FECHA]],"mmm"))</f>
        <v>Mar</v>
      </c>
      <c r="L121" s="5">
        <v>46112</v>
      </c>
      <c r="M121" s="3" t="s">
        <v>23</v>
      </c>
      <c r="N121" s="3" t="s">
        <v>1270</v>
      </c>
      <c r="O121" s="8" t="s">
        <v>1271</v>
      </c>
      <c r="P121" s="3" t="s">
        <v>24</v>
      </c>
      <c r="Q121" s="3" t="s">
        <v>1268</v>
      </c>
      <c r="R121" s="6">
        <v>40000</v>
      </c>
      <c r="S121" s="3" t="s">
        <v>25</v>
      </c>
    </row>
    <row r="122" spans="2:19" x14ac:dyDescent="0.2">
      <c r="B122" s="4" t="str">
        <f>PROPER(TEXT(Tabla7[[#This Row],[FECHA]],"mmm"))</f>
        <v>Ene</v>
      </c>
      <c r="C122" s="5">
        <v>46050</v>
      </c>
      <c r="D122" s="3" t="s">
        <v>29</v>
      </c>
      <c r="E122" s="3" t="s">
        <v>1023</v>
      </c>
      <c r="F122" s="3" t="s">
        <v>21</v>
      </c>
      <c r="G122" s="6">
        <v>90000</v>
      </c>
      <c r="H122" s="6" t="s">
        <v>22</v>
      </c>
      <c r="I122" s="6">
        <v>90000</v>
      </c>
      <c r="K122" s="4" t="str">
        <f>PROPER(TEXT(Tabla8[[#This Row],[FECHA]],"mmm"))</f>
        <v>Mar</v>
      </c>
      <c r="L122" s="5">
        <v>46112</v>
      </c>
      <c r="M122" s="3" t="s">
        <v>23</v>
      </c>
      <c r="N122" s="3" t="s">
        <v>429</v>
      </c>
      <c r="O122" s="8" t="s">
        <v>1269</v>
      </c>
      <c r="P122" s="3" t="s">
        <v>24</v>
      </c>
      <c r="Q122" s="3" t="s">
        <v>1067</v>
      </c>
      <c r="R122" s="6">
        <v>44808</v>
      </c>
      <c r="S122" s="3" t="s">
        <v>25</v>
      </c>
    </row>
    <row r="123" spans="2:19" x14ac:dyDescent="0.2">
      <c r="B123" s="4" t="str">
        <f>PROPER(TEXT(Tabla7[[#This Row],[FECHA]],"mmm"))</f>
        <v>Ene</v>
      </c>
      <c r="C123" s="5">
        <v>46050</v>
      </c>
      <c r="D123" s="3" t="s">
        <v>25</v>
      </c>
      <c r="E123" s="3" t="s">
        <v>419</v>
      </c>
      <c r="F123" s="3" t="s">
        <v>685</v>
      </c>
      <c r="G123" s="6">
        <v>1090500</v>
      </c>
      <c r="H123" s="6" t="s">
        <v>22</v>
      </c>
      <c r="I123" s="6">
        <v>1090500</v>
      </c>
      <c r="K123" s="4" t="str">
        <f>PROPER(TEXT(Tabla8[[#This Row],[FECHA]],"mmm"))</f>
        <v>Mar</v>
      </c>
      <c r="L123" s="5">
        <v>46112</v>
      </c>
      <c r="M123" s="3" t="s">
        <v>23</v>
      </c>
      <c r="N123" s="3" t="s">
        <v>1266</v>
      </c>
      <c r="O123" s="8" t="s">
        <v>1267</v>
      </c>
      <c r="P123" s="3" t="s">
        <v>24</v>
      </c>
      <c r="Q123" s="3" t="s">
        <v>1268</v>
      </c>
      <c r="R123" s="6">
        <v>390000</v>
      </c>
      <c r="S123" s="3" t="s">
        <v>25</v>
      </c>
    </row>
    <row r="124" spans="2:19" x14ac:dyDescent="0.2">
      <c r="B124" s="4" t="str">
        <f>PROPER(TEXT(Tabla7[[#This Row],[FECHA]],"mmm"))</f>
        <v>Ene</v>
      </c>
      <c r="C124" s="5">
        <v>46049</v>
      </c>
      <c r="D124" s="3" t="s">
        <v>29</v>
      </c>
      <c r="E124" s="3" t="s">
        <v>755</v>
      </c>
      <c r="F124" s="3" t="s">
        <v>414</v>
      </c>
      <c r="G124" s="6">
        <v>500000</v>
      </c>
      <c r="H124" s="6" t="s">
        <v>24</v>
      </c>
      <c r="I124" s="6">
        <v>500000</v>
      </c>
      <c r="K124" s="4" t="str">
        <f>PROPER(TEXT(Tabla8[[#This Row],[FECHA]],"mmm"))</f>
        <v>Mar</v>
      </c>
      <c r="L124" s="5">
        <v>46112</v>
      </c>
      <c r="M124" s="3" t="s">
        <v>23</v>
      </c>
      <c r="N124" s="3" t="s">
        <v>1247</v>
      </c>
      <c r="O124" s="8" t="s">
        <v>1248</v>
      </c>
      <c r="P124" s="3" t="s">
        <v>411</v>
      </c>
      <c r="Q124" s="3" t="s">
        <v>1249</v>
      </c>
      <c r="R124" s="6">
        <v>1700000</v>
      </c>
      <c r="S124" s="3" t="s">
        <v>29</v>
      </c>
    </row>
    <row r="125" spans="2:19" x14ac:dyDescent="0.2">
      <c r="B125" s="4" t="str">
        <f>PROPER(TEXT(Tabla7[[#This Row],[FECHA]],"mmm"))</f>
        <v>Ene</v>
      </c>
      <c r="C125" s="5">
        <v>46049</v>
      </c>
      <c r="D125" s="3" t="s">
        <v>25</v>
      </c>
      <c r="E125" s="3" t="s">
        <v>419</v>
      </c>
      <c r="F125" s="3" t="s">
        <v>684</v>
      </c>
      <c r="G125" s="6">
        <v>2048592</v>
      </c>
      <c r="H125" s="6" t="s">
        <v>22</v>
      </c>
      <c r="I125" s="6">
        <v>2048592</v>
      </c>
      <c r="K125" s="4" t="str">
        <f>PROPER(TEXT(Tabla8[[#This Row],[FECHA]],"mmm"))</f>
        <v>Mar</v>
      </c>
      <c r="L125" s="5">
        <v>46112</v>
      </c>
      <c r="M125" s="3" t="s">
        <v>49</v>
      </c>
      <c r="N125" s="3" t="s">
        <v>1245</v>
      </c>
      <c r="O125" s="8" t="s">
        <v>1246</v>
      </c>
      <c r="P125" s="3" t="s">
        <v>411</v>
      </c>
      <c r="Q125" s="3" t="s">
        <v>507</v>
      </c>
      <c r="R125" s="6">
        <v>300000</v>
      </c>
      <c r="S125" s="3" t="s">
        <v>29</v>
      </c>
    </row>
    <row r="126" spans="2:19" x14ac:dyDescent="0.2">
      <c r="B126" s="4" t="str">
        <f>PROPER(TEXT(Tabla7[[#This Row],[FECHA]],"mmm"))</f>
        <v>Ene</v>
      </c>
      <c r="C126" s="5">
        <v>46049</v>
      </c>
      <c r="D126" s="3" t="s">
        <v>20</v>
      </c>
      <c r="E126" s="3" t="s">
        <v>424</v>
      </c>
      <c r="F126" s="3">
        <v>27012026</v>
      </c>
      <c r="G126" s="6">
        <v>163000</v>
      </c>
      <c r="H126" s="6" t="s">
        <v>22</v>
      </c>
      <c r="I126" s="6">
        <v>163000</v>
      </c>
      <c r="K126" s="4" t="str">
        <f>PROPER(TEXT(Tabla8[[#This Row],[FECHA]],"mmm"))</f>
        <v>Mar</v>
      </c>
      <c r="L126" s="5">
        <v>46111</v>
      </c>
      <c r="M126" s="3" t="s">
        <v>57</v>
      </c>
      <c r="N126" s="3" t="s">
        <v>1527</v>
      </c>
      <c r="O126" s="8" t="s">
        <v>1528</v>
      </c>
      <c r="P126" s="3" t="s">
        <v>411</v>
      </c>
      <c r="Q126" s="3" t="s">
        <v>805</v>
      </c>
      <c r="R126" s="6">
        <v>8655306</v>
      </c>
      <c r="S126" s="3" t="s">
        <v>29</v>
      </c>
    </row>
    <row r="127" spans="2:19" x14ac:dyDescent="0.2">
      <c r="B127" s="4" t="str">
        <f>PROPER(TEXT(Tabla7[[#This Row],[FECHA]],"mmm"))</f>
        <v>Ene</v>
      </c>
      <c r="C127" s="5">
        <v>46048</v>
      </c>
      <c r="D127" s="3" t="s">
        <v>25</v>
      </c>
      <c r="E127" s="3" t="s">
        <v>683</v>
      </c>
      <c r="F127" s="3" t="s">
        <v>627</v>
      </c>
      <c r="G127" s="6">
        <v>1647300</v>
      </c>
      <c r="H127" s="6" t="s">
        <v>22</v>
      </c>
      <c r="I127" s="6">
        <v>1647300</v>
      </c>
      <c r="K127" s="4" t="str">
        <f>PROPER(TEXT(Tabla8[[#This Row],[FECHA]],"mmm"))</f>
        <v>Mar</v>
      </c>
      <c r="L127" s="5">
        <v>46111</v>
      </c>
      <c r="M127" s="3" t="s">
        <v>23</v>
      </c>
      <c r="N127" s="3" t="s">
        <v>1256</v>
      </c>
      <c r="O127" s="8" t="s">
        <v>21</v>
      </c>
      <c r="P127" s="3" t="s">
        <v>22</v>
      </c>
      <c r="Q127" s="3" t="s">
        <v>1257</v>
      </c>
      <c r="R127" s="6">
        <v>250000</v>
      </c>
      <c r="S127" s="3" t="s">
        <v>29</v>
      </c>
    </row>
    <row r="128" spans="2:19" x14ac:dyDescent="0.2">
      <c r="B128" s="4" t="str">
        <f>PROPER(TEXT(Tabla7[[#This Row],[FECHA]],"mmm"))</f>
        <v>Ene</v>
      </c>
      <c r="C128" s="5">
        <v>46048</v>
      </c>
      <c r="D128" s="3" t="s">
        <v>20</v>
      </c>
      <c r="E128" s="3" t="s">
        <v>626</v>
      </c>
      <c r="F128" s="3" t="s">
        <v>627</v>
      </c>
      <c r="G128" s="6">
        <v>324900</v>
      </c>
      <c r="H128" s="6" t="s">
        <v>22</v>
      </c>
      <c r="I128" s="6">
        <v>324900</v>
      </c>
      <c r="K128" s="4" t="str">
        <f>PROPER(TEXT(Tabla8[[#This Row],[FECHA]],"mmm"))</f>
        <v>Mar</v>
      </c>
      <c r="L128" s="5">
        <v>46111</v>
      </c>
      <c r="M128" s="3" t="s">
        <v>23</v>
      </c>
      <c r="N128" s="3" t="s">
        <v>1162</v>
      </c>
      <c r="O128" s="8" t="s">
        <v>1252</v>
      </c>
      <c r="P128" s="3" t="s">
        <v>24</v>
      </c>
      <c r="Q128" s="3" t="s">
        <v>481</v>
      </c>
      <c r="R128" s="6">
        <v>10000</v>
      </c>
      <c r="S128" s="3" t="s">
        <v>20</v>
      </c>
    </row>
    <row r="129" spans="2:19" x14ac:dyDescent="0.2">
      <c r="B129" s="4" t="str">
        <f>PROPER(TEXT(Tabla7[[#This Row],[FECHA]],"mmm"))</f>
        <v>Ene</v>
      </c>
      <c r="C129" s="5">
        <v>46046</v>
      </c>
      <c r="D129" s="3" t="s">
        <v>29</v>
      </c>
      <c r="E129" s="3" t="s">
        <v>753</v>
      </c>
      <c r="F129" s="3" t="s">
        <v>754</v>
      </c>
      <c r="G129" s="6">
        <v>345100</v>
      </c>
      <c r="H129" s="6" t="s">
        <v>24</v>
      </c>
      <c r="I129" s="6">
        <v>345100</v>
      </c>
      <c r="K129" s="4" t="str">
        <f>PROPER(TEXT(Tabla8[[#This Row],[FECHA]],"mmm"))</f>
        <v>Mar</v>
      </c>
      <c r="L129" s="5">
        <v>46111</v>
      </c>
      <c r="M129" s="3" t="s">
        <v>23</v>
      </c>
      <c r="N129" s="3" t="s">
        <v>1250</v>
      </c>
      <c r="O129" s="8" t="s">
        <v>414</v>
      </c>
      <c r="P129" s="3" t="s">
        <v>24</v>
      </c>
      <c r="Q129" s="3" t="s">
        <v>523</v>
      </c>
      <c r="R129" s="6">
        <v>27321</v>
      </c>
      <c r="S129" s="3" t="s">
        <v>29</v>
      </c>
    </row>
    <row r="130" spans="2:19" x14ac:dyDescent="0.2">
      <c r="B130" s="4" t="str">
        <f>PROPER(TEXT(Tabla7[[#This Row],[FECHA]],"mmm"))</f>
        <v>Ene</v>
      </c>
      <c r="C130" s="5">
        <v>46046</v>
      </c>
      <c r="D130" s="3" t="s">
        <v>25</v>
      </c>
      <c r="E130" s="3" t="s">
        <v>419</v>
      </c>
      <c r="F130" s="3" t="s">
        <v>682</v>
      </c>
      <c r="G130" s="6">
        <v>310000</v>
      </c>
      <c r="H130" s="6" t="s">
        <v>22</v>
      </c>
      <c r="I130" s="6">
        <v>310000</v>
      </c>
      <c r="K130" s="4" t="str">
        <f>PROPER(TEXT(Tabla8[[#This Row],[FECHA]],"mmm"))</f>
        <v>Mar</v>
      </c>
      <c r="L130" s="5">
        <v>46108</v>
      </c>
      <c r="M130" s="3" t="s">
        <v>35</v>
      </c>
      <c r="N130" s="3" t="s">
        <v>1229</v>
      </c>
      <c r="O130" s="8" t="s">
        <v>1230</v>
      </c>
      <c r="P130" s="3" t="s">
        <v>24</v>
      </c>
      <c r="Q130" s="3" t="s">
        <v>1231</v>
      </c>
      <c r="R130" s="6">
        <v>1270000</v>
      </c>
      <c r="S130" s="3" t="s">
        <v>29</v>
      </c>
    </row>
    <row r="131" spans="2:19" x14ac:dyDescent="0.2">
      <c r="B131" s="4" t="str">
        <f>PROPER(TEXT(Tabla7[[#This Row],[FECHA]],"mmm"))</f>
        <v>Ene</v>
      </c>
      <c r="C131" s="5">
        <v>46045</v>
      </c>
      <c r="D131" s="3" t="s">
        <v>29</v>
      </c>
      <c r="E131" s="3" t="s">
        <v>732</v>
      </c>
      <c r="F131" s="3" t="s">
        <v>733</v>
      </c>
      <c r="G131" s="6">
        <v>856800</v>
      </c>
      <c r="H131" s="6" t="s">
        <v>24</v>
      </c>
      <c r="I131" s="6">
        <v>856800</v>
      </c>
      <c r="K131" s="4" t="str">
        <f>PROPER(TEXT(Tabla8[[#This Row],[FECHA]],"mmm"))</f>
        <v>Mar</v>
      </c>
      <c r="L131" s="5">
        <v>46107</v>
      </c>
      <c r="M131" s="3" t="s">
        <v>23</v>
      </c>
      <c r="N131" s="3" t="s">
        <v>1228</v>
      </c>
      <c r="O131" s="8" t="s">
        <v>21</v>
      </c>
      <c r="P131" s="3" t="s">
        <v>22</v>
      </c>
      <c r="Q131" s="3" t="s">
        <v>1228</v>
      </c>
      <c r="R131" s="6">
        <v>12000</v>
      </c>
      <c r="S131" s="3" t="s">
        <v>20</v>
      </c>
    </row>
    <row r="132" spans="2:19" x14ac:dyDescent="0.2">
      <c r="B132" s="4" t="str">
        <f>PROPER(TEXT(Tabla7[[#This Row],[FECHA]],"mmm"))</f>
        <v>Ene</v>
      </c>
      <c r="C132" s="5">
        <v>46045</v>
      </c>
      <c r="D132" s="3" t="s">
        <v>29</v>
      </c>
      <c r="E132" s="3" t="s">
        <v>720</v>
      </c>
      <c r="F132" s="3" t="s">
        <v>721</v>
      </c>
      <c r="G132" s="6">
        <v>853500</v>
      </c>
      <c r="H132" s="6" t="s">
        <v>24</v>
      </c>
      <c r="I132" s="6">
        <v>853500</v>
      </c>
      <c r="K132" s="4" t="str">
        <f>PROPER(TEXT(Tabla8[[#This Row],[FECHA]],"mmm"))</f>
        <v>Mar</v>
      </c>
      <c r="L132" s="5">
        <v>46106</v>
      </c>
      <c r="M132" s="3" t="s">
        <v>37</v>
      </c>
      <c r="N132" s="3" t="s">
        <v>697</v>
      </c>
      <c r="O132" s="8" t="s">
        <v>1273</v>
      </c>
      <c r="P132" s="3" t="s">
        <v>24</v>
      </c>
      <c r="Q132" s="3" t="s">
        <v>639</v>
      </c>
      <c r="R132" s="6">
        <v>659260</v>
      </c>
      <c r="S132" s="3" t="s">
        <v>29</v>
      </c>
    </row>
    <row r="133" spans="2:19" x14ac:dyDescent="0.2">
      <c r="B133" s="4" t="str">
        <f>PROPER(TEXT(Tabla7[[#This Row],[FECHA]],"mmm"))</f>
        <v>Ene</v>
      </c>
      <c r="C133" s="5">
        <v>46045</v>
      </c>
      <c r="D133" s="3" t="s">
        <v>29</v>
      </c>
      <c r="E133" s="3" t="s">
        <v>730</v>
      </c>
      <c r="F133" s="3" t="s">
        <v>21</v>
      </c>
      <c r="G133" s="6">
        <v>90000</v>
      </c>
      <c r="H133" s="6" t="s">
        <v>22</v>
      </c>
      <c r="I133" s="6">
        <v>90000</v>
      </c>
      <c r="K133" s="4" t="str">
        <f>PROPER(TEXT(Tabla8[[#This Row],[FECHA]],"mmm"))</f>
        <v>Mar</v>
      </c>
      <c r="L133" s="5">
        <v>46106</v>
      </c>
      <c r="M133" s="3" t="s">
        <v>37</v>
      </c>
      <c r="N133" s="3" t="s">
        <v>799</v>
      </c>
      <c r="O133" s="8" t="s">
        <v>1272</v>
      </c>
      <c r="P133" s="3" t="s">
        <v>411</v>
      </c>
      <c r="Q133" s="3" t="s">
        <v>478</v>
      </c>
      <c r="R133" s="6">
        <v>72391</v>
      </c>
      <c r="S133" s="3" t="s">
        <v>29</v>
      </c>
    </row>
    <row r="134" spans="2:19" x14ac:dyDescent="0.2">
      <c r="B134" s="4" t="str">
        <f>PROPER(TEXT(Tabla7[[#This Row],[FECHA]],"mmm"))</f>
        <v>Ene</v>
      </c>
      <c r="C134" s="5">
        <v>46045</v>
      </c>
      <c r="D134" s="3" t="s">
        <v>29</v>
      </c>
      <c r="E134" s="3" t="s">
        <v>729</v>
      </c>
      <c r="F134" s="3" t="s">
        <v>21</v>
      </c>
      <c r="G134" s="6">
        <v>50000</v>
      </c>
      <c r="H134" s="6" t="s">
        <v>22</v>
      </c>
      <c r="I134" s="6">
        <v>50000</v>
      </c>
      <c r="K134" s="4" t="str">
        <f>PROPER(TEXT(Tabla8[[#This Row],[FECHA]],"mmm"))</f>
        <v>Mar</v>
      </c>
      <c r="L134" s="5">
        <v>46106</v>
      </c>
      <c r="M134" s="3" t="s">
        <v>23</v>
      </c>
      <c r="N134" s="3" t="s">
        <v>595</v>
      </c>
      <c r="O134" s="8" t="s">
        <v>21</v>
      </c>
      <c r="P134" s="3" t="s">
        <v>22</v>
      </c>
      <c r="Q134" s="3" t="s">
        <v>54</v>
      </c>
      <c r="R134" s="6">
        <v>3000</v>
      </c>
      <c r="S134" s="3" t="s">
        <v>20</v>
      </c>
    </row>
    <row r="135" spans="2:19" x14ac:dyDescent="0.2">
      <c r="B135" s="4" t="str">
        <f>PROPER(TEXT(Tabla7[[#This Row],[FECHA]],"mmm"))</f>
        <v>Ene</v>
      </c>
      <c r="C135" s="5">
        <v>46045</v>
      </c>
      <c r="D135" s="3" t="s">
        <v>25</v>
      </c>
      <c r="E135" s="3" t="s">
        <v>419</v>
      </c>
      <c r="F135" s="3" t="s">
        <v>597</v>
      </c>
      <c r="G135" s="6">
        <v>1292600</v>
      </c>
      <c r="H135" s="6" t="s">
        <v>22</v>
      </c>
      <c r="I135" s="6">
        <v>1292600</v>
      </c>
      <c r="K135" s="4" t="str">
        <f>PROPER(TEXT(Tabla8[[#This Row],[FECHA]],"mmm"))</f>
        <v>Mar</v>
      </c>
      <c r="L135" s="5">
        <v>46106</v>
      </c>
      <c r="M135" s="3" t="s">
        <v>39</v>
      </c>
      <c r="N135" s="3" t="s">
        <v>1202</v>
      </c>
      <c r="O135" s="8" t="s">
        <v>1226</v>
      </c>
      <c r="P135" s="3" t="s">
        <v>411</v>
      </c>
      <c r="Q135" s="3" t="s">
        <v>1204</v>
      </c>
      <c r="R135" s="6">
        <v>50000</v>
      </c>
      <c r="S135" s="3" t="s">
        <v>20</v>
      </c>
    </row>
    <row r="136" spans="2:19" x14ac:dyDescent="0.2">
      <c r="B136" s="4" t="str">
        <f>PROPER(TEXT(Tabla7[[#This Row],[FECHA]],"mmm"))</f>
        <v>Ene</v>
      </c>
      <c r="C136" s="5">
        <v>46044</v>
      </c>
      <c r="D136" s="3" t="s">
        <v>29</v>
      </c>
      <c r="E136" s="3" t="s">
        <v>728</v>
      </c>
      <c r="F136" s="3" t="s">
        <v>727</v>
      </c>
      <c r="G136" s="6">
        <v>576674</v>
      </c>
      <c r="H136" s="6" t="s">
        <v>24</v>
      </c>
      <c r="I136" s="6">
        <v>576674</v>
      </c>
      <c r="K136" s="4" t="str">
        <f>PROPER(TEXT(Tabla8[[#This Row],[FECHA]],"mmm"))</f>
        <v>Mar</v>
      </c>
      <c r="L136" s="5">
        <v>46105</v>
      </c>
      <c r="M136" s="3" t="s">
        <v>539</v>
      </c>
      <c r="N136" s="3" t="s">
        <v>540</v>
      </c>
      <c r="O136" s="8" t="s">
        <v>1232</v>
      </c>
      <c r="P136" s="3" t="s">
        <v>24</v>
      </c>
      <c r="Q136" s="3" t="s">
        <v>542</v>
      </c>
      <c r="R136" s="6">
        <v>63708</v>
      </c>
      <c r="S136" s="3" t="s">
        <v>25</v>
      </c>
    </row>
    <row r="137" spans="2:19" x14ac:dyDescent="0.2">
      <c r="B137" s="4" t="str">
        <f>PROPER(TEXT(Tabla7[[#This Row],[FECHA]],"mmm"))</f>
        <v>Ene</v>
      </c>
      <c r="C137" s="5">
        <v>46044</v>
      </c>
      <c r="D137" s="3" t="s">
        <v>29</v>
      </c>
      <c r="E137" s="3" t="s">
        <v>1021</v>
      </c>
      <c r="F137" s="3" t="s">
        <v>21</v>
      </c>
      <c r="G137" s="6">
        <v>140000</v>
      </c>
      <c r="H137" s="6" t="s">
        <v>22</v>
      </c>
      <c r="I137" s="6">
        <v>140000</v>
      </c>
      <c r="K137" s="4" t="str">
        <f>PROPER(TEXT(Tabla8[[#This Row],[FECHA]],"mmm"))</f>
        <v>Mar</v>
      </c>
      <c r="L137" s="5">
        <v>46104</v>
      </c>
      <c r="M137" s="3" t="s">
        <v>539</v>
      </c>
      <c r="N137" s="3" t="s">
        <v>1235</v>
      </c>
      <c r="O137" s="8" t="s">
        <v>1236</v>
      </c>
      <c r="P137" s="3" t="s">
        <v>24</v>
      </c>
      <c r="Q137" s="3" t="s">
        <v>542</v>
      </c>
      <c r="R137" s="6">
        <v>20000</v>
      </c>
      <c r="S137" s="3" t="s">
        <v>25</v>
      </c>
    </row>
    <row r="138" spans="2:19" x14ac:dyDescent="0.2">
      <c r="B138" s="4" t="str">
        <f>PROPER(TEXT(Tabla7[[#This Row],[FECHA]],"mmm"))</f>
        <v>Ene</v>
      </c>
      <c r="C138" s="5">
        <v>46044</v>
      </c>
      <c r="D138" s="3" t="s">
        <v>29</v>
      </c>
      <c r="E138" s="3" t="s">
        <v>546</v>
      </c>
      <c r="F138" s="3" t="s">
        <v>414</v>
      </c>
      <c r="G138" s="6">
        <v>6045200</v>
      </c>
      <c r="H138" s="6" t="s">
        <v>22</v>
      </c>
      <c r="I138" s="6">
        <v>6045200</v>
      </c>
      <c r="K138" s="4" t="str">
        <f>PROPER(TEXT(Tabla8[[#This Row],[FECHA]],"mmm"))</f>
        <v>Mar</v>
      </c>
      <c r="L138" s="5">
        <v>46104</v>
      </c>
      <c r="M138" s="3" t="s">
        <v>37</v>
      </c>
      <c r="N138" s="3" t="s">
        <v>1233</v>
      </c>
      <c r="O138" s="8" t="s">
        <v>1234</v>
      </c>
      <c r="P138" s="3" t="s">
        <v>411</v>
      </c>
      <c r="Q138" s="3" t="s">
        <v>418</v>
      </c>
      <c r="R138" s="6">
        <v>14760</v>
      </c>
      <c r="S138" s="3" t="s">
        <v>25</v>
      </c>
    </row>
    <row r="139" spans="2:19" x14ac:dyDescent="0.2">
      <c r="B139" s="4" t="str">
        <f>PROPER(TEXT(Tabla7[[#This Row],[FECHA]],"mmm"))</f>
        <v>Ene</v>
      </c>
      <c r="C139" s="5">
        <v>46044</v>
      </c>
      <c r="D139" s="3" t="s">
        <v>29</v>
      </c>
      <c r="E139" s="3" t="s">
        <v>726</v>
      </c>
      <c r="F139" s="3" t="s">
        <v>21</v>
      </c>
      <c r="G139" s="6">
        <v>100000</v>
      </c>
      <c r="H139" s="6" t="s">
        <v>22</v>
      </c>
      <c r="I139" s="6">
        <v>100000</v>
      </c>
      <c r="K139" s="4" t="str">
        <f>PROPER(TEXT(Tabla8[[#This Row],[FECHA]],"mmm"))</f>
        <v>Mar</v>
      </c>
      <c r="L139" s="5">
        <v>46104</v>
      </c>
      <c r="M139" s="3" t="s">
        <v>23</v>
      </c>
      <c r="N139" s="3" t="s">
        <v>422</v>
      </c>
      <c r="O139" s="8" t="s">
        <v>21</v>
      </c>
      <c r="P139" s="3" t="s">
        <v>411</v>
      </c>
      <c r="Q139" s="3" t="s">
        <v>54</v>
      </c>
      <c r="R139" s="6">
        <v>9000</v>
      </c>
      <c r="S139" s="3" t="s">
        <v>20</v>
      </c>
    </row>
    <row r="140" spans="2:19" x14ac:dyDescent="0.2">
      <c r="B140" s="4" t="str">
        <f>PROPER(TEXT(Tabla7[[#This Row],[FECHA]],"mmm"))</f>
        <v>Ene</v>
      </c>
      <c r="C140" s="5">
        <v>46044</v>
      </c>
      <c r="D140" s="3" t="s">
        <v>20</v>
      </c>
      <c r="E140" s="3" t="s">
        <v>424</v>
      </c>
      <c r="F140" s="3" t="s">
        <v>21</v>
      </c>
      <c r="G140" s="6">
        <v>251000</v>
      </c>
      <c r="H140" s="6" t="s">
        <v>22</v>
      </c>
      <c r="I140" s="6">
        <v>251000</v>
      </c>
      <c r="K140" s="4" t="str">
        <f>PROPER(TEXT(Tabla8[[#This Row],[FECHA]],"mmm"))</f>
        <v>Mar</v>
      </c>
      <c r="L140" s="5">
        <v>46104</v>
      </c>
      <c r="M140" s="3" t="s">
        <v>39</v>
      </c>
      <c r="N140" s="3" t="s">
        <v>1202</v>
      </c>
      <c r="O140" s="8" t="s">
        <v>1203</v>
      </c>
      <c r="P140" s="3" t="s">
        <v>411</v>
      </c>
      <c r="Q140" s="3" t="s">
        <v>1204</v>
      </c>
      <c r="R140" s="6">
        <v>40000</v>
      </c>
      <c r="S140" s="3" t="s">
        <v>20</v>
      </c>
    </row>
    <row r="141" spans="2:19" x14ac:dyDescent="0.2">
      <c r="B141" s="4" t="str">
        <f>PROPER(TEXT(Tabla7[[#This Row],[FECHA]],"mmm"))</f>
        <v>Ene</v>
      </c>
      <c r="C141" s="5">
        <v>46043</v>
      </c>
      <c r="D141" s="3" t="s">
        <v>29</v>
      </c>
      <c r="E141" s="3" t="s">
        <v>725</v>
      </c>
      <c r="F141" s="3" t="s">
        <v>724</v>
      </c>
      <c r="G141" s="6">
        <v>166362</v>
      </c>
      <c r="H141" s="6" t="s">
        <v>24</v>
      </c>
      <c r="I141" s="6">
        <v>166362</v>
      </c>
      <c r="K141" s="4" t="str">
        <f>PROPER(TEXT(Tabla8[[#This Row],[FECHA]],"mmm"))</f>
        <v>Mar</v>
      </c>
      <c r="L141" s="5">
        <v>46104</v>
      </c>
      <c r="M141" s="3" t="s">
        <v>39</v>
      </c>
      <c r="N141" s="3" t="s">
        <v>448</v>
      </c>
      <c r="O141" s="8" t="s">
        <v>1201</v>
      </c>
      <c r="P141" s="3" t="s">
        <v>411</v>
      </c>
      <c r="Q141" s="3" t="s">
        <v>412</v>
      </c>
      <c r="R141" s="6">
        <v>20000</v>
      </c>
      <c r="S141" s="3" t="s">
        <v>20</v>
      </c>
    </row>
    <row r="142" spans="2:19" x14ac:dyDescent="0.2">
      <c r="B142" s="4" t="str">
        <f>PROPER(TEXT(Tabla7[[#This Row],[FECHA]],"mmm"))</f>
        <v>Ene</v>
      </c>
      <c r="C142" s="5">
        <v>46043</v>
      </c>
      <c r="D142" s="3" t="s">
        <v>25</v>
      </c>
      <c r="E142" s="3" t="s">
        <v>698</v>
      </c>
      <c r="F142" s="3" t="s">
        <v>699</v>
      </c>
      <c r="G142" s="6">
        <v>334747</v>
      </c>
      <c r="H142" s="6" t="s">
        <v>24</v>
      </c>
      <c r="I142" s="6">
        <v>334747</v>
      </c>
      <c r="K142" s="4" t="str">
        <f>PROPER(TEXT(Tabla8[[#This Row],[FECHA]],"mmm"))</f>
        <v>Mar</v>
      </c>
      <c r="L142" s="5">
        <v>46104</v>
      </c>
      <c r="M142" s="3" t="s">
        <v>23</v>
      </c>
      <c r="N142" s="3" t="s">
        <v>1195</v>
      </c>
      <c r="O142" s="8" t="s">
        <v>1196</v>
      </c>
      <c r="P142" s="3" t="s">
        <v>24</v>
      </c>
      <c r="Q142" s="3" t="s">
        <v>1197</v>
      </c>
      <c r="R142" s="6">
        <v>20000</v>
      </c>
      <c r="S142" s="3" t="s">
        <v>20</v>
      </c>
    </row>
    <row r="143" spans="2:19" x14ac:dyDescent="0.2">
      <c r="B143" s="4" t="str">
        <f>PROPER(TEXT(Tabla7[[#This Row],[FECHA]],"mmm"))</f>
        <v>Ene</v>
      </c>
      <c r="C143" s="5">
        <v>46043</v>
      </c>
      <c r="D143" s="3" t="s">
        <v>25</v>
      </c>
      <c r="E143" s="3" t="s">
        <v>419</v>
      </c>
      <c r="F143" s="3" t="s">
        <v>688</v>
      </c>
      <c r="G143" s="6">
        <v>1121444</v>
      </c>
      <c r="H143" s="6" t="s">
        <v>22</v>
      </c>
      <c r="I143" s="6">
        <v>1121444</v>
      </c>
      <c r="K143" s="4" t="str">
        <f>PROPER(TEXT(Tabla8[[#This Row],[FECHA]],"mmm"))</f>
        <v>Mar</v>
      </c>
      <c r="L143" s="5">
        <v>46101</v>
      </c>
      <c r="M143" s="3" t="s">
        <v>23</v>
      </c>
      <c r="N143" s="3" t="s">
        <v>1237</v>
      </c>
      <c r="O143" s="8" t="s">
        <v>1238</v>
      </c>
      <c r="P143" s="3" t="s">
        <v>24</v>
      </c>
      <c r="Q143" s="3" t="s">
        <v>1239</v>
      </c>
      <c r="R143" s="6">
        <v>8490</v>
      </c>
      <c r="S143" s="3" t="s">
        <v>25</v>
      </c>
    </row>
    <row r="144" spans="2:19" x14ac:dyDescent="0.2">
      <c r="B144" s="4" t="str">
        <f>PROPER(TEXT(Tabla7[[#This Row],[FECHA]],"mmm"))</f>
        <v>Ene</v>
      </c>
      <c r="C144" s="5">
        <v>46043</v>
      </c>
      <c r="D144" s="3" t="s">
        <v>20</v>
      </c>
      <c r="E144" s="3" t="s">
        <v>424</v>
      </c>
      <c r="F144" s="3" t="s">
        <v>21</v>
      </c>
      <c r="G144" s="6">
        <v>26000</v>
      </c>
      <c r="H144" s="6" t="s">
        <v>22</v>
      </c>
      <c r="I144" s="6">
        <v>26000</v>
      </c>
      <c r="K144" s="4" t="str">
        <f>PROPER(TEXT(Tabla8[[#This Row],[FECHA]],"mmm"))</f>
        <v>Mar</v>
      </c>
      <c r="L144" s="5">
        <v>46101</v>
      </c>
      <c r="M144" s="3" t="s">
        <v>39</v>
      </c>
      <c r="N144" s="3" t="s">
        <v>1193</v>
      </c>
      <c r="O144" s="8" t="s">
        <v>1192</v>
      </c>
      <c r="P144" s="3" t="s">
        <v>411</v>
      </c>
      <c r="Q144" s="3" t="s">
        <v>452</v>
      </c>
      <c r="R144" s="6">
        <v>80000</v>
      </c>
      <c r="S144" s="3" t="s">
        <v>29</v>
      </c>
    </row>
    <row r="145" spans="2:19" x14ac:dyDescent="0.2">
      <c r="B145" s="4" t="str">
        <f>PROPER(TEXT(Tabla7[[#This Row],[FECHA]],"mmm"))</f>
        <v>Ene</v>
      </c>
      <c r="C145" s="5">
        <v>46042</v>
      </c>
      <c r="D145" s="3" t="s">
        <v>29</v>
      </c>
      <c r="E145" s="3" t="s">
        <v>1222</v>
      </c>
      <c r="F145" s="3" t="s">
        <v>1223</v>
      </c>
      <c r="G145" s="6">
        <v>57358</v>
      </c>
      <c r="H145" s="6" t="s">
        <v>24</v>
      </c>
      <c r="I145" s="6">
        <v>57358</v>
      </c>
      <c r="K145" s="4" t="str">
        <f>PROPER(TEXT(Tabla8[[#This Row],[FECHA]],"mmm"))</f>
        <v>Mar</v>
      </c>
      <c r="L145" s="5">
        <v>46101</v>
      </c>
      <c r="M145" s="3" t="s">
        <v>39</v>
      </c>
      <c r="N145" s="3" t="s">
        <v>451</v>
      </c>
      <c r="O145" s="8" t="s">
        <v>1192</v>
      </c>
      <c r="P145" s="3" t="s">
        <v>411</v>
      </c>
      <c r="Q145" s="3" t="s">
        <v>452</v>
      </c>
      <c r="R145" s="6">
        <v>20000</v>
      </c>
      <c r="S145" s="3" t="s">
        <v>20</v>
      </c>
    </row>
    <row r="146" spans="2:19" x14ac:dyDescent="0.2">
      <c r="B146" s="4" t="str">
        <f>PROPER(TEXT(Tabla7[[#This Row],[FECHA]],"mmm"))</f>
        <v>Ene</v>
      </c>
      <c r="C146" s="5">
        <v>46042</v>
      </c>
      <c r="D146" s="3" t="s">
        <v>29</v>
      </c>
      <c r="E146" s="3" t="s">
        <v>722</v>
      </c>
      <c r="F146" s="3" t="s">
        <v>723</v>
      </c>
      <c r="G146" s="6">
        <v>767550</v>
      </c>
      <c r="H146" s="6" t="s">
        <v>24</v>
      </c>
      <c r="I146" s="6">
        <v>767550</v>
      </c>
      <c r="K146" s="4" t="str">
        <f>PROPER(TEXT(Tabla8[[#This Row],[FECHA]],"mmm"))</f>
        <v>Mar</v>
      </c>
      <c r="L146" s="5">
        <v>46100</v>
      </c>
      <c r="M146" s="3" t="s">
        <v>35</v>
      </c>
      <c r="N146" s="3" t="s">
        <v>1186</v>
      </c>
      <c r="O146" s="8" t="s">
        <v>1187</v>
      </c>
      <c r="P146" s="3" t="s">
        <v>24</v>
      </c>
      <c r="Q146" s="3" t="s">
        <v>937</v>
      </c>
      <c r="R146" s="6">
        <v>2034542</v>
      </c>
      <c r="S146" s="3" t="s">
        <v>29</v>
      </c>
    </row>
    <row r="147" spans="2:19" x14ac:dyDescent="0.2">
      <c r="B147" s="4" t="str">
        <f>PROPER(TEXT(Tabla7[[#This Row],[FECHA]],"mmm"))</f>
        <v>Ene</v>
      </c>
      <c r="C147" s="5">
        <v>46042</v>
      </c>
      <c r="D147" s="3" t="s">
        <v>29</v>
      </c>
      <c r="E147" s="3" t="s">
        <v>717</v>
      </c>
      <c r="F147" s="3" t="s">
        <v>718</v>
      </c>
      <c r="G147" s="6">
        <v>108528</v>
      </c>
      <c r="H147" s="6" t="s">
        <v>24</v>
      </c>
      <c r="I147" s="6">
        <v>108528</v>
      </c>
      <c r="K147" s="4" t="str">
        <f>PROPER(TEXT(Tabla8[[#This Row],[FECHA]],"mmm"))</f>
        <v>Mar</v>
      </c>
      <c r="L147" s="5">
        <v>46100</v>
      </c>
      <c r="M147" s="3" t="s">
        <v>23</v>
      </c>
      <c r="N147" s="3" t="s">
        <v>1184</v>
      </c>
      <c r="O147" s="8" t="s">
        <v>1185</v>
      </c>
      <c r="P147" s="3" t="s">
        <v>24</v>
      </c>
      <c r="Q147" s="3" t="s">
        <v>487</v>
      </c>
      <c r="R147" s="6">
        <v>1050</v>
      </c>
      <c r="S147" s="3" t="s">
        <v>25</v>
      </c>
    </row>
    <row r="148" spans="2:19" x14ac:dyDescent="0.2">
      <c r="B148" s="4" t="str">
        <f>PROPER(TEXT(Tabla7[[#This Row],[FECHA]],"mmm"))</f>
        <v>Ene</v>
      </c>
      <c r="C148" s="5">
        <v>46042</v>
      </c>
      <c r="D148" s="3" t="s">
        <v>29</v>
      </c>
      <c r="E148" s="3" t="s">
        <v>719</v>
      </c>
      <c r="F148" s="3" t="s">
        <v>21</v>
      </c>
      <c r="G148" s="6">
        <v>74137</v>
      </c>
      <c r="H148" s="6" t="s">
        <v>22</v>
      </c>
      <c r="I148" s="6">
        <v>74137</v>
      </c>
      <c r="K148" s="4" t="str">
        <f>PROPER(TEXT(Tabla8[[#This Row],[FECHA]],"mmm"))</f>
        <v>Mar</v>
      </c>
      <c r="L148" s="5">
        <v>46099</v>
      </c>
      <c r="M148" s="3" t="s">
        <v>23</v>
      </c>
      <c r="N148" s="3" t="s">
        <v>1190</v>
      </c>
      <c r="O148" s="8" t="s">
        <v>1191</v>
      </c>
      <c r="P148" s="3" t="s">
        <v>24</v>
      </c>
      <c r="Q148" s="3" t="s">
        <v>937</v>
      </c>
      <c r="R148" s="6">
        <v>320705</v>
      </c>
      <c r="S148" s="3" t="s">
        <v>29</v>
      </c>
    </row>
    <row r="149" spans="2:19" x14ac:dyDescent="0.2">
      <c r="B149" s="4" t="str">
        <f>PROPER(TEXT(Tabla7[[#This Row],[FECHA]],"mmm"))</f>
        <v>Ene</v>
      </c>
      <c r="C149" s="5">
        <v>46042</v>
      </c>
      <c r="D149" s="3" t="s">
        <v>29</v>
      </c>
      <c r="E149" s="3" t="s">
        <v>716</v>
      </c>
      <c r="F149" s="3" t="s">
        <v>80</v>
      </c>
      <c r="G149" s="6">
        <v>154700</v>
      </c>
      <c r="H149" s="6" t="s">
        <v>22</v>
      </c>
      <c r="I149" s="6">
        <v>154700</v>
      </c>
      <c r="K149" s="4" t="str">
        <f>PROPER(TEXT(Tabla8[[#This Row],[FECHA]],"mmm"))</f>
        <v>Mar</v>
      </c>
      <c r="L149" s="5">
        <v>46099</v>
      </c>
      <c r="M149" s="3" t="s">
        <v>35</v>
      </c>
      <c r="N149" s="3" t="s">
        <v>1188</v>
      </c>
      <c r="O149" s="8" t="s">
        <v>1189</v>
      </c>
      <c r="P149" s="3" t="s">
        <v>24</v>
      </c>
      <c r="Q149" s="3" t="s">
        <v>937</v>
      </c>
      <c r="R149" s="6">
        <v>2357171</v>
      </c>
      <c r="S149" s="3" t="s">
        <v>29</v>
      </c>
    </row>
    <row r="150" spans="2:19" x14ac:dyDescent="0.2">
      <c r="B150" s="4" t="str">
        <f>PROPER(TEXT(Tabla7[[#This Row],[FECHA]],"mmm"))</f>
        <v>Ene</v>
      </c>
      <c r="C150" s="5">
        <v>46042</v>
      </c>
      <c r="D150" s="3" t="s">
        <v>25</v>
      </c>
      <c r="E150" s="3" t="s">
        <v>419</v>
      </c>
      <c r="F150" s="3" t="s">
        <v>602</v>
      </c>
      <c r="G150" s="6">
        <v>705100</v>
      </c>
      <c r="H150" s="6" t="s">
        <v>22</v>
      </c>
      <c r="I150" s="6">
        <v>705100</v>
      </c>
      <c r="K150" s="4" t="str">
        <f>PROPER(TEXT(Tabla8[[#This Row],[FECHA]],"mmm"))</f>
        <v>Mar</v>
      </c>
      <c r="L150" s="5">
        <v>46099</v>
      </c>
      <c r="M150" s="3" t="s">
        <v>23</v>
      </c>
      <c r="N150" s="3" t="s">
        <v>1180</v>
      </c>
      <c r="O150" s="8" t="s">
        <v>1181</v>
      </c>
      <c r="P150" s="3" t="s">
        <v>24</v>
      </c>
      <c r="Q150" s="3" t="s">
        <v>1182</v>
      </c>
      <c r="R150" s="6">
        <v>28000</v>
      </c>
      <c r="S150" s="3" t="s">
        <v>20</v>
      </c>
    </row>
    <row r="151" spans="2:19" x14ac:dyDescent="0.2">
      <c r="B151" s="4" t="str">
        <f>PROPER(TEXT(Tabla7[[#This Row],[FECHA]],"mmm"))</f>
        <v>Ene</v>
      </c>
      <c r="C151" s="5">
        <v>46041</v>
      </c>
      <c r="D151" s="3" t="s">
        <v>25</v>
      </c>
      <c r="E151" s="3" t="s">
        <v>715</v>
      </c>
      <c r="F151" s="3" t="s">
        <v>21</v>
      </c>
      <c r="G151" s="6">
        <v>35000</v>
      </c>
      <c r="H151" s="6" t="s">
        <v>22</v>
      </c>
      <c r="I151" s="6">
        <v>35000</v>
      </c>
      <c r="K151" s="4" t="str">
        <f>PROPER(TEXT(Tabla8[[#This Row],[FECHA]],"mmm"))</f>
        <v>Mar</v>
      </c>
      <c r="L151" s="5">
        <v>46099</v>
      </c>
      <c r="M151" s="3" t="s">
        <v>23</v>
      </c>
      <c r="N151" s="3" t="s">
        <v>1178</v>
      </c>
      <c r="O151" s="8" t="s">
        <v>1183</v>
      </c>
      <c r="P151" s="3" t="s">
        <v>24</v>
      </c>
      <c r="Q151" s="3" t="s">
        <v>1179</v>
      </c>
      <c r="R151" s="6">
        <v>20000</v>
      </c>
      <c r="S151" s="3" t="s">
        <v>20</v>
      </c>
    </row>
    <row r="152" spans="2:19" x14ac:dyDescent="0.2">
      <c r="B152" s="4" t="str">
        <f>PROPER(TEXT(Tabla7[[#This Row],[FECHA]],"mmm"))</f>
        <v>Ene</v>
      </c>
      <c r="C152" s="5">
        <v>46041</v>
      </c>
      <c r="D152" s="3" t="s">
        <v>29</v>
      </c>
      <c r="E152" s="3" t="s">
        <v>714</v>
      </c>
      <c r="F152" s="3" t="s">
        <v>21</v>
      </c>
      <c r="G152" s="6">
        <v>35000</v>
      </c>
      <c r="H152" s="6" t="s">
        <v>22</v>
      </c>
      <c r="I152" s="6">
        <v>35000</v>
      </c>
      <c r="K152" s="4" t="str">
        <f>PROPER(TEXT(Tabla8[[#This Row],[FECHA]],"mmm"))</f>
        <v>Mar</v>
      </c>
      <c r="L152" s="5">
        <v>46099</v>
      </c>
      <c r="M152" s="3" t="s">
        <v>23</v>
      </c>
      <c r="N152" s="3" t="s">
        <v>422</v>
      </c>
      <c r="O152" s="8" t="s">
        <v>21</v>
      </c>
      <c r="P152" s="3" t="s">
        <v>22</v>
      </c>
      <c r="Q152" s="3" t="s">
        <v>54</v>
      </c>
      <c r="R152" s="6">
        <v>3000</v>
      </c>
      <c r="S152" s="3" t="s">
        <v>20</v>
      </c>
    </row>
    <row r="153" spans="2:19" x14ac:dyDescent="0.2">
      <c r="B153" s="4" t="str">
        <f>PROPER(TEXT(Tabla7[[#This Row],[FECHA]],"mmm"))</f>
        <v>Ene</v>
      </c>
      <c r="C153" s="5">
        <v>46041</v>
      </c>
      <c r="D153" s="3" t="s">
        <v>29</v>
      </c>
      <c r="E153" s="3" t="s">
        <v>713</v>
      </c>
      <c r="F153" s="3" t="s">
        <v>21</v>
      </c>
      <c r="G153" s="6">
        <v>150000</v>
      </c>
      <c r="H153" s="6" t="s">
        <v>22</v>
      </c>
      <c r="I153" s="6">
        <v>150000</v>
      </c>
      <c r="K153" s="4" t="str">
        <f>PROPER(TEXT(Tabla8[[#This Row],[FECHA]],"mmm"))</f>
        <v>Mar</v>
      </c>
      <c r="L153" s="5">
        <v>46099</v>
      </c>
      <c r="M153" s="3" t="s">
        <v>46</v>
      </c>
      <c r="N153" s="3" t="s">
        <v>1176</v>
      </c>
      <c r="O153" s="8" t="s">
        <v>1177</v>
      </c>
      <c r="P153" s="3" t="s">
        <v>24</v>
      </c>
      <c r="Q153" s="3" t="s">
        <v>911</v>
      </c>
      <c r="R153" s="6">
        <v>16290</v>
      </c>
      <c r="S153" s="3" t="s">
        <v>25</v>
      </c>
    </row>
    <row r="154" spans="2:19" x14ac:dyDescent="0.2">
      <c r="B154" s="4" t="str">
        <f>PROPER(TEXT(Tabla7[[#This Row],[FECHA]],"mmm"))</f>
        <v>Ene</v>
      </c>
      <c r="C154" s="5">
        <v>46041</v>
      </c>
      <c r="D154" s="3" t="s">
        <v>29</v>
      </c>
      <c r="E154" s="3" t="s">
        <v>712</v>
      </c>
      <c r="F154" s="3" t="s">
        <v>21</v>
      </c>
      <c r="G154" s="6">
        <v>140000</v>
      </c>
      <c r="H154" s="6" t="s">
        <v>22</v>
      </c>
      <c r="I154" s="6">
        <v>140000</v>
      </c>
      <c r="K154" s="4" t="str">
        <f>PROPER(TEXT(Tabla8[[#This Row],[FECHA]],"mmm"))</f>
        <v>Mar</v>
      </c>
      <c r="L154" s="5">
        <v>46098</v>
      </c>
      <c r="M154" s="3" t="s">
        <v>23</v>
      </c>
      <c r="N154" s="3" t="s">
        <v>1174</v>
      </c>
      <c r="O154" s="8" t="s">
        <v>1175</v>
      </c>
      <c r="P154" s="3" t="s">
        <v>592</v>
      </c>
      <c r="Q154" s="3" t="s">
        <v>632</v>
      </c>
      <c r="R154" s="6">
        <v>77970</v>
      </c>
      <c r="S154" s="3" t="s">
        <v>25</v>
      </c>
    </row>
    <row r="155" spans="2:19" x14ac:dyDescent="0.2">
      <c r="B155" s="4" t="str">
        <f>PROPER(TEXT(Tabla7[[#This Row],[FECHA]],"mmm"))</f>
        <v>Ene</v>
      </c>
      <c r="C155" s="5">
        <v>46041</v>
      </c>
      <c r="D155" s="3" t="s">
        <v>25</v>
      </c>
      <c r="E155" s="3" t="s">
        <v>419</v>
      </c>
      <c r="F155" s="3" t="s">
        <v>601</v>
      </c>
      <c r="G155" s="6">
        <v>1578075</v>
      </c>
      <c r="H155" s="6" t="s">
        <v>22</v>
      </c>
      <c r="I155" s="6">
        <v>1578075</v>
      </c>
      <c r="K155" s="4" t="str">
        <f>PROPER(TEXT(Tabla8[[#This Row],[FECHA]],"mmm"))</f>
        <v>Mar</v>
      </c>
      <c r="L155" s="5">
        <v>46097</v>
      </c>
      <c r="M155" s="3" t="s">
        <v>23</v>
      </c>
      <c r="N155" s="3" t="s">
        <v>1162</v>
      </c>
      <c r="O155" s="8" t="s">
        <v>1163</v>
      </c>
      <c r="P155" s="3" t="s">
        <v>24</v>
      </c>
      <c r="Q155" s="3" t="s">
        <v>481</v>
      </c>
      <c r="R155" s="6">
        <v>5000</v>
      </c>
      <c r="S155" s="3" t="s">
        <v>20</v>
      </c>
    </row>
    <row r="156" spans="2:19" x14ac:dyDescent="0.2">
      <c r="B156" s="4" t="str">
        <f>PROPER(TEXT(Tabla7[[#This Row],[FECHA]],"mmm"))</f>
        <v>Ene</v>
      </c>
      <c r="C156" s="5">
        <v>46041</v>
      </c>
      <c r="D156" s="3" t="s">
        <v>20</v>
      </c>
      <c r="E156" s="3" t="s">
        <v>424</v>
      </c>
      <c r="F156" s="3" t="s">
        <v>21</v>
      </c>
      <c r="G156" s="6">
        <v>152340</v>
      </c>
      <c r="H156" s="6" t="s">
        <v>22</v>
      </c>
      <c r="I156" s="6">
        <v>152340</v>
      </c>
      <c r="K156" s="4" t="str">
        <f>PROPER(TEXT(Tabla8[[#This Row],[FECHA]],"mmm"))</f>
        <v>Mar</v>
      </c>
      <c r="L156" s="5">
        <v>46097</v>
      </c>
      <c r="M156" s="3" t="s">
        <v>23</v>
      </c>
      <c r="N156" s="3" t="s">
        <v>1160</v>
      </c>
      <c r="O156" s="8" t="s">
        <v>1161</v>
      </c>
      <c r="P156" s="3" t="s">
        <v>592</v>
      </c>
      <c r="Q156" s="3" t="s">
        <v>1132</v>
      </c>
      <c r="R156" s="6">
        <v>20000</v>
      </c>
      <c r="S156" s="3" t="s">
        <v>20</v>
      </c>
    </row>
    <row r="157" spans="2:19" x14ac:dyDescent="0.2">
      <c r="B157" s="4" t="str">
        <f>PROPER(TEXT(Tabla7[[#This Row],[FECHA]],"mmm"))</f>
        <v>Ene</v>
      </c>
      <c r="C157" s="5">
        <v>46039</v>
      </c>
      <c r="D157" s="3" t="s">
        <v>29</v>
      </c>
      <c r="E157" s="3" t="s">
        <v>711</v>
      </c>
      <c r="F157" s="3" t="s">
        <v>21</v>
      </c>
      <c r="G157" s="6">
        <v>40000</v>
      </c>
      <c r="H157" s="6" t="s">
        <v>22</v>
      </c>
      <c r="I157" s="6">
        <v>40000</v>
      </c>
      <c r="K157" s="4" t="str">
        <f>PROPER(TEXT(Tabla8[[#This Row],[FECHA]],"mmm"))</f>
        <v>Mar</v>
      </c>
      <c r="L157" s="5">
        <v>46097</v>
      </c>
      <c r="M157" s="3" t="s">
        <v>282</v>
      </c>
      <c r="N157" s="3" t="s">
        <v>67</v>
      </c>
      <c r="O157" s="8" t="s">
        <v>21</v>
      </c>
      <c r="P157" s="3" t="s">
        <v>22</v>
      </c>
      <c r="Q157" s="3" t="s">
        <v>574</v>
      </c>
      <c r="R157" s="6">
        <v>200000</v>
      </c>
      <c r="S157" s="3" t="s">
        <v>20</v>
      </c>
    </row>
    <row r="158" spans="2:19" x14ac:dyDescent="0.2">
      <c r="B158" s="4" t="str">
        <f>PROPER(TEXT(Tabla7[[#This Row],[FECHA]],"mmm"))</f>
        <v>Ene</v>
      </c>
      <c r="C158" s="5">
        <v>46039</v>
      </c>
      <c r="D158" s="3" t="s">
        <v>25</v>
      </c>
      <c r="E158" s="3" t="s">
        <v>419</v>
      </c>
      <c r="F158" s="3" t="s">
        <v>600</v>
      </c>
      <c r="G158" s="6">
        <v>606500</v>
      </c>
      <c r="H158" s="6" t="s">
        <v>22</v>
      </c>
      <c r="I158" s="6">
        <v>606500</v>
      </c>
      <c r="K158" s="4" t="str">
        <f>PROPER(TEXT(Tabla8[[#This Row],[FECHA]],"mmm"))</f>
        <v>Mar</v>
      </c>
      <c r="L158" s="5">
        <v>46097</v>
      </c>
      <c r="M158" s="3" t="s">
        <v>37</v>
      </c>
      <c r="N158" s="3" t="s">
        <v>605</v>
      </c>
      <c r="O158" s="8" t="s">
        <v>1156</v>
      </c>
      <c r="P158" s="3" t="s">
        <v>24</v>
      </c>
      <c r="Q158" s="3" t="s">
        <v>418</v>
      </c>
      <c r="R158" s="6">
        <v>67730</v>
      </c>
      <c r="S158" s="3" t="s">
        <v>25</v>
      </c>
    </row>
    <row r="159" spans="2:19" x14ac:dyDescent="0.2">
      <c r="B159" s="4" t="str">
        <f>PROPER(TEXT(Tabla7[[#This Row],[FECHA]],"mmm"))</f>
        <v>Ene</v>
      </c>
      <c r="C159" s="5">
        <v>46038</v>
      </c>
      <c r="D159" s="3" t="s">
        <v>29</v>
      </c>
      <c r="E159" s="3" t="s">
        <v>709</v>
      </c>
      <c r="F159" s="3" t="s">
        <v>710</v>
      </c>
      <c r="G159" s="6">
        <v>261800</v>
      </c>
      <c r="H159" s="6" t="s">
        <v>24</v>
      </c>
      <c r="I159" s="6">
        <v>261800</v>
      </c>
      <c r="K159" s="4" t="str">
        <f>PROPER(TEXT(Tabla8[[#This Row],[FECHA]],"mmm"))</f>
        <v>Mar</v>
      </c>
      <c r="L159" s="5">
        <v>46094</v>
      </c>
      <c r="M159" s="3" t="s">
        <v>23</v>
      </c>
      <c r="N159" s="3" t="s">
        <v>1149</v>
      </c>
      <c r="O159" s="8" t="s">
        <v>1150</v>
      </c>
      <c r="P159" s="3" t="s">
        <v>24</v>
      </c>
      <c r="Q159" s="3" t="s">
        <v>695</v>
      </c>
      <c r="R159" s="6">
        <v>82967</v>
      </c>
      <c r="S159" s="3" t="s">
        <v>25</v>
      </c>
    </row>
    <row r="160" spans="2:19" x14ac:dyDescent="0.2">
      <c r="B160" s="4" t="str">
        <f>PROPER(TEXT(Tabla7[[#This Row],[FECHA]],"mmm"))</f>
        <v>Ene</v>
      </c>
      <c r="C160" s="5">
        <v>46038</v>
      </c>
      <c r="D160" s="3" t="s">
        <v>25</v>
      </c>
      <c r="E160" s="3" t="s">
        <v>419</v>
      </c>
      <c r="F160" s="3" t="s">
        <v>599</v>
      </c>
      <c r="G160" s="6">
        <v>1172000</v>
      </c>
      <c r="H160" s="6" t="s">
        <v>22</v>
      </c>
      <c r="I160" s="6">
        <v>1172000</v>
      </c>
      <c r="K160" s="4" t="str">
        <f>PROPER(TEXT(Tabla8[[#This Row],[FECHA]],"mmm"))</f>
        <v>Mar</v>
      </c>
      <c r="L160" s="5">
        <v>46094</v>
      </c>
      <c r="M160" s="3" t="s">
        <v>23</v>
      </c>
      <c r="N160" s="3" t="s">
        <v>1147</v>
      </c>
      <c r="O160" s="8" t="s">
        <v>1148</v>
      </c>
      <c r="P160" s="3" t="s">
        <v>24</v>
      </c>
      <c r="Q160" s="3" t="s">
        <v>1067</v>
      </c>
      <c r="R160" s="6">
        <v>25000</v>
      </c>
      <c r="S160" s="3" t="s">
        <v>20</v>
      </c>
    </row>
    <row r="161" spans="2:19" x14ac:dyDescent="0.2">
      <c r="B161" s="4" t="str">
        <f>PROPER(TEXT(Tabla7[[#This Row],[FECHA]],"mmm"))</f>
        <v>Ene</v>
      </c>
      <c r="C161" s="5">
        <v>46038</v>
      </c>
      <c r="D161" s="3" t="s">
        <v>20</v>
      </c>
      <c r="E161" s="3" t="s">
        <v>424</v>
      </c>
      <c r="F161" s="3" t="s">
        <v>21</v>
      </c>
      <c r="G161" s="6">
        <v>342000</v>
      </c>
      <c r="H161" s="6" t="s">
        <v>22</v>
      </c>
      <c r="I161" s="6">
        <v>342000</v>
      </c>
      <c r="K161" s="4" t="str">
        <f>PROPER(TEXT(Tabla8[[#This Row],[FECHA]],"mmm"))</f>
        <v>Mar</v>
      </c>
      <c r="L161" s="5">
        <v>46094</v>
      </c>
      <c r="M161" s="3" t="s">
        <v>39</v>
      </c>
      <c r="N161" s="3" t="s">
        <v>973</v>
      </c>
      <c r="O161" s="8" t="s">
        <v>1146</v>
      </c>
      <c r="P161" s="3" t="s">
        <v>411</v>
      </c>
      <c r="Q161" s="3" t="s">
        <v>508</v>
      </c>
      <c r="R161" s="6">
        <v>40000</v>
      </c>
      <c r="S161" s="3" t="s">
        <v>20</v>
      </c>
    </row>
    <row r="162" spans="2:19" x14ac:dyDescent="0.2">
      <c r="B162" s="4" t="str">
        <f>PROPER(TEXT(Tabla7[[#This Row],[FECHA]],"mmm"))</f>
        <v>Ene</v>
      </c>
      <c r="C162" s="5">
        <v>46037</v>
      </c>
      <c r="D162" s="3" t="s">
        <v>29</v>
      </c>
      <c r="E162" s="3" t="s">
        <v>706</v>
      </c>
      <c r="F162" s="3" t="s">
        <v>707</v>
      </c>
      <c r="G162" s="6">
        <v>1044029</v>
      </c>
      <c r="H162" s="6" t="s">
        <v>24</v>
      </c>
      <c r="I162" s="6">
        <v>1044029</v>
      </c>
      <c r="K162" s="4" t="str">
        <f>PROPER(TEXT(Tabla8[[#This Row],[FECHA]],"mmm"))</f>
        <v>Mar</v>
      </c>
      <c r="L162" s="5">
        <v>46094</v>
      </c>
      <c r="M162" s="3" t="s">
        <v>47</v>
      </c>
      <c r="N162" s="3" t="s">
        <v>1144</v>
      </c>
      <c r="O162" s="8" t="s">
        <v>21</v>
      </c>
      <c r="P162" s="3" t="s">
        <v>22</v>
      </c>
      <c r="Q162" s="3" t="s">
        <v>1078</v>
      </c>
      <c r="R162" s="6">
        <v>200000</v>
      </c>
      <c r="S162" s="3" t="s">
        <v>20</v>
      </c>
    </row>
    <row r="163" spans="2:19" x14ac:dyDescent="0.2">
      <c r="B163" s="4" t="str">
        <f>PROPER(TEXT(Tabla7[[#This Row],[FECHA]],"mmm"))</f>
        <v>Ene</v>
      </c>
      <c r="C163" s="5">
        <v>46037</v>
      </c>
      <c r="D163" s="3" t="s">
        <v>29</v>
      </c>
      <c r="E163" s="3" t="s">
        <v>708</v>
      </c>
      <c r="F163" s="3" t="s">
        <v>21</v>
      </c>
      <c r="G163" s="6">
        <v>150000</v>
      </c>
      <c r="H163" s="6" t="s">
        <v>22</v>
      </c>
      <c r="I163" s="6">
        <v>150000</v>
      </c>
      <c r="K163" s="4" t="str">
        <f>PROPER(TEXT(Tabla8[[#This Row],[FECHA]],"mmm"))</f>
        <v>Mar</v>
      </c>
      <c r="L163" s="5">
        <v>46094</v>
      </c>
      <c r="M163" s="3" t="s">
        <v>37</v>
      </c>
      <c r="N163" s="3" t="s">
        <v>476</v>
      </c>
      <c r="O163" s="8" t="s">
        <v>1143</v>
      </c>
      <c r="P163" s="3" t="s">
        <v>411</v>
      </c>
      <c r="Q163" s="3" t="s">
        <v>478</v>
      </c>
      <c r="R163" s="6">
        <v>2718175</v>
      </c>
      <c r="S163" s="3" t="s">
        <v>29</v>
      </c>
    </row>
    <row r="164" spans="2:19" x14ac:dyDescent="0.2">
      <c r="B164" s="4" t="str">
        <f>PROPER(TEXT(Tabla7[[#This Row],[FECHA]],"mmm"))</f>
        <v>Ene</v>
      </c>
      <c r="C164" s="5">
        <v>46037</v>
      </c>
      <c r="D164" s="3" t="s">
        <v>25</v>
      </c>
      <c r="E164" s="3" t="s">
        <v>419</v>
      </c>
      <c r="F164" s="3" t="s">
        <v>598</v>
      </c>
      <c r="G164" s="6">
        <v>1630000</v>
      </c>
      <c r="H164" s="6" t="s">
        <v>22</v>
      </c>
      <c r="I164" s="6">
        <v>1630000</v>
      </c>
      <c r="K164" s="4" t="str">
        <f>PROPER(TEXT(Tabla8[[#This Row],[FECHA]],"mmm"))</f>
        <v>Mar</v>
      </c>
      <c r="L164" s="5">
        <v>46093</v>
      </c>
      <c r="M164" s="3" t="s">
        <v>37</v>
      </c>
      <c r="N164" s="3" t="s">
        <v>1276</v>
      </c>
      <c r="O164" s="8" t="s">
        <v>1275</v>
      </c>
      <c r="P164" s="3" t="s">
        <v>411</v>
      </c>
      <c r="Q164" s="3" t="s">
        <v>478</v>
      </c>
      <c r="R164" s="6">
        <v>17929</v>
      </c>
      <c r="S164" s="3" t="s">
        <v>29</v>
      </c>
    </row>
    <row r="165" spans="2:19" x14ac:dyDescent="0.2">
      <c r="B165" s="4" t="str">
        <f>PROPER(TEXT(Tabla7[[#This Row],[FECHA]],"mmm"))</f>
        <v>Ene</v>
      </c>
      <c r="C165" s="5">
        <v>46037</v>
      </c>
      <c r="D165" s="3" t="s">
        <v>20</v>
      </c>
      <c r="E165" s="3" t="s">
        <v>424</v>
      </c>
      <c r="F165" s="3" t="s">
        <v>21</v>
      </c>
      <c r="G165" s="6">
        <v>227000</v>
      </c>
      <c r="H165" s="6" t="s">
        <v>22</v>
      </c>
      <c r="I165" s="6">
        <v>227000</v>
      </c>
      <c r="K165" s="4" t="str">
        <f>PROPER(TEXT(Tabla8[[#This Row],[FECHA]],"mmm"))</f>
        <v>Mar</v>
      </c>
      <c r="L165" s="5">
        <v>46093</v>
      </c>
      <c r="M165" s="3" t="s">
        <v>37</v>
      </c>
      <c r="N165" s="3" t="s">
        <v>766</v>
      </c>
      <c r="O165" s="8" t="s">
        <v>1157</v>
      </c>
      <c r="P165" s="3" t="s">
        <v>411</v>
      </c>
      <c r="Q165" s="3" t="s">
        <v>744</v>
      </c>
      <c r="R165" s="6">
        <v>12630</v>
      </c>
      <c r="S165" s="3" t="s">
        <v>25</v>
      </c>
    </row>
    <row r="166" spans="2:19" x14ac:dyDescent="0.2">
      <c r="B166" s="4" t="str">
        <f>PROPER(TEXT(Tabla7[[#This Row],[FECHA]],"mmm"))</f>
        <v>Ene</v>
      </c>
      <c r="C166" s="5">
        <v>46037</v>
      </c>
      <c r="D166" s="3" t="s">
        <v>20</v>
      </c>
      <c r="E166" s="3" t="s">
        <v>571</v>
      </c>
      <c r="F166" s="3" t="s">
        <v>21</v>
      </c>
      <c r="G166" s="6">
        <v>700000</v>
      </c>
      <c r="H166" s="6" t="s">
        <v>22</v>
      </c>
      <c r="I166" s="6">
        <v>700000</v>
      </c>
      <c r="K166" s="4" t="str">
        <f>PROPER(TEXT(Tabla8[[#This Row],[FECHA]],"mmm"))</f>
        <v>Mar</v>
      </c>
      <c r="L166" s="5">
        <v>46093</v>
      </c>
      <c r="M166" s="3" t="s">
        <v>39</v>
      </c>
      <c r="N166" s="3" t="s">
        <v>1140</v>
      </c>
      <c r="O166" s="8" t="s">
        <v>1141</v>
      </c>
      <c r="P166" s="3" t="s">
        <v>411</v>
      </c>
      <c r="Q166" s="3" t="s">
        <v>888</v>
      </c>
      <c r="R166" s="6">
        <v>100000</v>
      </c>
      <c r="S166" s="3" t="s">
        <v>20</v>
      </c>
    </row>
    <row r="167" spans="2:19" x14ac:dyDescent="0.2">
      <c r="B167" s="4" t="str">
        <f>PROPER(TEXT(Tabla7[[#This Row],[FECHA]],"mmm"))</f>
        <v>Ene</v>
      </c>
      <c r="C167" s="5">
        <v>46036</v>
      </c>
      <c r="D167" s="3" t="s">
        <v>29</v>
      </c>
      <c r="E167" s="3" t="s">
        <v>998</v>
      </c>
      <c r="F167" s="3" t="s">
        <v>999</v>
      </c>
      <c r="G167" s="6">
        <v>798320</v>
      </c>
      <c r="H167" s="6" t="s">
        <v>24</v>
      </c>
      <c r="I167" s="6">
        <v>798320</v>
      </c>
      <c r="K167" s="4" t="str">
        <f>PROPER(TEXT(Tabla8[[#This Row],[FECHA]],"mmm"))</f>
        <v>Mar</v>
      </c>
      <c r="L167" s="5">
        <v>46093</v>
      </c>
      <c r="M167" s="3" t="s">
        <v>23</v>
      </c>
      <c r="N167" s="3" t="s">
        <v>1130</v>
      </c>
      <c r="O167" s="8" t="s">
        <v>1131</v>
      </c>
      <c r="P167" s="3" t="s">
        <v>24</v>
      </c>
      <c r="Q167" s="3" t="s">
        <v>1132</v>
      </c>
      <c r="R167" s="6">
        <v>26000</v>
      </c>
      <c r="S167" s="3" t="s">
        <v>25</v>
      </c>
    </row>
    <row r="168" spans="2:19" x14ac:dyDescent="0.2">
      <c r="B168" s="4" t="str">
        <f>PROPER(TEXT(Tabla7[[#This Row],[FECHA]],"mmm"))</f>
        <v>Ene</v>
      </c>
      <c r="C168" s="5">
        <v>46036</v>
      </c>
      <c r="D168" s="3" t="s">
        <v>25</v>
      </c>
      <c r="E168" s="3" t="s">
        <v>419</v>
      </c>
      <c r="F168" s="3" t="s">
        <v>567</v>
      </c>
      <c r="G168" s="6">
        <v>888050</v>
      </c>
      <c r="H168" s="6" t="s">
        <v>22</v>
      </c>
      <c r="I168" s="6">
        <v>888050</v>
      </c>
      <c r="K168" s="4" t="str">
        <f>PROPER(TEXT(Tabla8[[#This Row],[FECHA]],"mmm"))</f>
        <v>Mar</v>
      </c>
      <c r="L168" s="5">
        <v>46093</v>
      </c>
      <c r="M168" s="3" t="s">
        <v>23</v>
      </c>
      <c r="N168" s="3" t="s">
        <v>1128</v>
      </c>
      <c r="O168" s="8" t="s">
        <v>21</v>
      </c>
      <c r="P168" s="3" t="s">
        <v>22</v>
      </c>
      <c r="Q168" s="3" t="s">
        <v>1129</v>
      </c>
      <c r="R168" s="6">
        <v>4000</v>
      </c>
      <c r="S168" s="3" t="s">
        <v>20</v>
      </c>
    </row>
    <row r="169" spans="2:19" x14ac:dyDescent="0.2">
      <c r="B169" s="4" t="str">
        <f>PROPER(TEXT(Tabla7[[#This Row],[FECHA]],"mmm"))</f>
        <v>Ene</v>
      </c>
      <c r="C169" s="5">
        <v>46036</v>
      </c>
      <c r="D169" s="3" t="s">
        <v>29</v>
      </c>
      <c r="E169" s="3" t="s">
        <v>568</v>
      </c>
      <c r="F169" s="3" t="s">
        <v>21</v>
      </c>
      <c r="G169" s="6">
        <v>160000</v>
      </c>
      <c r="H169" s="6" t="s">
        <v>22</v>
      </c>
      <c r="I169" s="6">
        <v>160000</v>
      </c>
      <c r="K169" s="4" t="str">
        <f>PROPER(TEXT(Tabla8[[#This Row],[FECHA]],"mmm"))</f>
        <v>Mar</v>
      </c>
      <c r="L169" s="5">
        <v>46093</v>
      </c>
      <c r="M169" s="3" t="s">
        <v>45</v>
      </c>
      <c r="N169" s="3" t="s">
        <v>474</v>
      </c>
      <c r="O169" s="8" t="s">
        <v>1127</v>
      </c>
      <c r="P169" s="3" t="s">
        <v>592</v>
      </c>
      <c r="Q169" s="3" t="s">
        <v>1090</v>
      </c>
      <c r="R169" s="6">
        <v>4000</v>
      </c>
      <c r="S169" s="3" t="s">
        <v>20</v>
      </c>
    </row>
    <row r="170" spans="2:19" x14ac:dyDescent="0.2">
      <c r="B170" s="4" t="str">
        <f>PROPER(TEXT(Tabla7[[#This Row],[FECHA]],"mmm"))</f>
        <v>Ene</v>
      </c>
      <c r="C170" s="5">
        <v>46036</v>
      </c>
      <c r="D170" s="3" t="s">
        <v>20</v>
      </c>
      <c r="E170" s="3" t="s">
        <v>424</v>
      </c>
      <c r="F170" s="3" t="s">
        <v>567</v>
      </c>
      <c r="G170" s="6">
        <v>186000</v>
      </c>
      <c r="H170" s="6" t="s">
        <v>22</v>
      </c>
      <c r="I170" s="6">
        <v>186000</v>
      </c>
      <c r="K170" s="4" t="str">
        <f>PROPER(TEXT(Tabla8[[#This Row],[FECHA]],"mmm"))</f>
        <v>Mar</v>
      </c>
      <c r="L170" s="5">
        <v>46092</v>
      </c>
      <c r="M170" s="3" t="s">
        <v>539</v>
      </c>
      <c r="N170" s="3" t="s">
        <v>1277</v>
      </c>
      <c r="O170" s="8" t="s">
        <v>1282</v>
      </c>
      <c r="P170" s="3" t="s">
        <v>24</v>
      </c>
      <c r="Q170" s="3" t="s">
        <v>542</v>
      </c>
      <c r="R170" s="6">
        <v>40000</v>
      </c>
      <c r="S170" s="3" t="s">
        <v>25</v>
      </c>
    </row>
    <row r="171" spans="2:19" x14ac:dyDescent="0.2">
      <c r="B171" s="4" t="str">
        <f>PROPER(TEXT(Tabla7[[#This Row],[FECHA]],"mmm"))</f>
        <v>Ene</v>
      </c>
      <c r="C171" s="5">
        <v>46035</v>
      </c>
      <c r="D171" s="3" t="s">
        <v>29</v>
      </c>
      <c r="E171" s="3" t="s">
        <v>702</v>
      </c>
      <c r="F171" s="3" t="s">
        <v>703</v>
      </c>
      <c r="G171" s="6">
        <v>1088755</v>
      </c>
      <c r="H171" s="6" t="s">
        <v>24</v>
      </c>
      <c r="I171" s="6">
        <v>1088755</v>
      </c>
      <c r="K171" s="4" t="str">
        <f>PROPER(TEXT(Tabla8[[#This Row],[FECHA]],"mmm"))</f>
        <v>Mar</v>
      </c>
      <c r="L171" s="5">
        <v>46092</v>
      </c>
      <c r="M171" s="3" t="s">
        <v>55</v>
      </c>
      <c r="N171" s="3" t="s">
        <v>762</v>
      </c>
      <c r="O171" s="8" t="s">
        <v>1142</v>
      </c>
      <c r="P171" s="3" t="s">
        <v>24</v>
      </c>
      <c r="Q171" s="3" t="s">
        <v>483</v>
      </c>
      <c r="R171" s="6">
        <v>2718175</v>
      </c>
      <c r="S171" s="3" t="s">
        <v>29</v>
      </c>
    </row>
    <row r="172" spans="2:19" x14ac:dyDescent="0.2">
      <c r="B172" s="4" t="str">
        <f>PROPER(TEXT(Tabla7[[#This Row],[FECHA]],"mmm"))</f>
        <v>Ene</v>
      </c>
      <c r="C172" s="5">
        <v>46035</v>
      </c>
      <c r="D172" s="3" t="s">
        <v>29</v>
      </c>
      <c r="E172" s="3" t="s">
        <v>705</v>
      </c>
      <c r="F172" s="3" t="s">
        <v>21</v>
      </c>
      <c r="G172" s="6">
        <v>23562</v>
      </c>
      <c r="H172" s="6" t="s">
        <v>22</v>
      </c>
      <c r="I172" s="6">
        <v>23562</v>
      </c>
      <c r="K172" s="4" t="str">
        <f>PROPER(TEXT(Tabla8[[#This Row],[FECHA]],"mmm"))</f>
        <v>Mar</v>
      </c>
      <c r="L172" s="5">
        <v>46092</v>
      </c>
      <c r="M172" s="3" t="s">
        <v>37</v>
      </c>
      <c r="N172" s="3" t="s">
        <v>799</v>
      </c>
      <c r="O172" s="8" t="s">
        <v>1133</v>
      </c>
      <c r="P172" s="3" t="s">
        <v>411</v>
      </c>
      <c r="Q172" s="3" t="s">
        <v>478</v>
      </c>
      <c r="R172" s="6">
        <v>93146</v>
      </c>
      <c r="S172" s="3" t="s">
        <v>29</v>
      </c>
    </row>
    <row r="173" spans="2:19" x14ac:dyDescent="0.2">
      <c r="B173" s="4" t="str">
        <f>PROPER(TEXT(Tabla7[[#This Row],[FECHA]],"mmm"))</f>
        <v>Ene</v>
      </c>
      <c r="C173" s="5">
        <v>46035</v>
      </c>
      <c r="D173" s="3" t="s">
        <v>29</v>
      </c>
      <c r="E173" s="3" t="s">
        <v>704</v>
      </c>
      <c r="F173" s="3" t="s">
        <v>21</v>
      </c>
      <c r="G173" s="6">
        <v>60000</v>
      </c>
      <c r="H173" s="6" t="s">
        <v>22</v>
      </c>
      <c r="I173" s="6">
        <v>60000</v>
      </c>
      <c r="K173" s="4" t="str">
        <f>PROPER(TEXT(Tabla8[[#This Row],[FECHA]],"mmm"))</f>
        <v>Mar</v>
      </c>
      <c r="L173" s="5">
        <v>46092</v>
      </c>
      <c r="M173" s="3" t="s">
        <v>23</v>
      </c>
      <c r="N173" s="3" t="s">
        <v>1125</v>
      </c>
      <c r="O173" s="8" t="s">
        <v>21</v>
      </c>
      <c r="P173" s="3" t="s">
        <v>22</v>
      </c>
      <c r="Q173" s="3" t="s">
        <v>399</v>
      </c>
      <c r="R173" s="6">
        <v>14000</v>
      </c>
      <c r="S173" s="3" t="s">
        <v>20</v>
      </c>
    </row>
    <row r="174" spans="2:19" x14ac:dyDescent="0.2">
      <c r="B174" s="4" t="str">
        <f>PROPER(TEXT(Tabla7[[#This Row],[FECHA]],"mmm"))</f>
        <v>Ene</v>
      </c>
      <c r="C174" s="5">
        <v>46035</v>
      </c>
      <c r="D174" s="3" t="s">
        <v>25</v>
      </c>
      <c r="E174" s="3" t="s">
        <v>419</v>
      </c>
      <c r="F174" s="3" t="s">
        <v>566</v>
      </c>
      <c r="G174" s="6">
        <v>1115831</v>
      </c>
      <c r="H174" s="6" t="s">
        <v>22</v>
      </c>
      <c r="I174" s="6">
        <v>1115831</v>
      </c>
      <c r="K174" s="4" t="str">
        <f>PROPER(TEXT(Tabla8[[#This Row],[FECHA]],"mmm"))</f>
        <v>Mar</v>
      </c>
      <c r="L174" s="5">
        <v>46091</v>
      </c>
      <c r="M174" s="3" t="s">
        <v>23</v>
      </c>
      <c r="N174" s="3" t="s">
        <v>1138</v>
      </c>
      <c r="O174" s="8" t="s">
        <v>1139</v>
      </c>
      <c r="P174" s="3" t="s">
        <v>24</v>
      </c>
      <c r="Q174" s="3" t="s">
        <v>617</v>
      </c>
      <c r="R174" s="6">
        <v>16000</v>
      </c>
      <c r="S174" s="3" t="s">
        <v>25</v>
      </c>
    </row>
    <row r="175" spans="2:19" x14ac:dyDescent="0.2">
      <c r="B175" s="4" t="str">
        <f>PROPER(TEXT(Tabla7[[#This Row],[FECHA]],"mmm"))</f>
        <v>Ene</v>
      </c>
      <c r="C175" s="5">
        <v>46035</v>
      </c>
      <c r="D175" s="3" t="s">
        <v>20</v>
      </c>
      <c r="E175" s="3" t="s">
        <v>424</v>
      </c>
      <c r="F175" s="3" t="s">
        <v>21</v>
      </c>
      <c r="G175" s="6">
        <v>228400</v>
      </c>
      <c r="H175" s="6" t="s">
        <v>22</v>
      </c>
      <c r="I175" s="6">
        <v>228400</v>
      </c>
      <c r="K175" s="4" t="str">
        <f>PROPER(TEXT(Tabla8[[#This Row],[FECHA]],"mmm"))</f>
        <v>Mar</v>
      </c>
      <c r="L175" s="5">
        <v>46091</v>
      </c>
      <c r="M175" s="3" t="s">
        <v>35</v>
      </c>
      <c r="N175" s="3" t="s">
        <v>1136</v>
      </c>
      <c r="O175" s="8" t="s">
        <v>1137</v>
      </c>
      <c r="P175" s="3" t="s">
        <v>24</v>
      </c>
      <c r="Q175" s="3" t="s">
        <v>639</v>
      </c>
      <c r="R175" s="6">
        <v>1159774</v>
      </c>
      <c r="S175" s="3" t="s">
        <v>29</v>
      </c>
    </row>
    <row r="176" spans="2:19" x14ac:dyDescent="0.2">
      <c r="B176" s="4" t="str">
        <f>PROPER(TEXT(Tabla7[[#This Row],[FECHA]],"mmm"))</f>
        <v>Ene</v>
      </c>
      <c r="C176" s="5">
        <v>46034</v>
      </c>
      <c r="D176" s="3" t="s">
        <v>29</v>
      </c>
      <c r="E176" s="3" t="s">
        <v>547</v>
      </c>
      <c r="F176" s="3" t="s">
        <v>997</v>
      </c>
      <c r="G176" s="6">
        <v>2500000</v>
      </c>
      <c r="H176" s="6" t="s">
        <v>24</v>
      </c>
      <c r="I176" s="6">
        <v>2500000</v>
      </c>
      <c r="K176" s="4" t="str">
        <f>PROPER(TEXT(Tabla8[[#This Row],[FECHA]],"mmm"))</f>
        <v>Mar</v>
      </c>
      <c r="L176" s="5">
        <v>46091</v>
      </c>
      <c r="M176" s="3" t="s">
        <v>282</v>
      </c>
      <c r="N176" s="3" t="s">
        <v>1134</v>
      </c>
      <c r="O176" s="8" t="s">
        <v>1135</v>
      </c>
      <c r="P176" s="3" t="s">
        <v>24</v>
      </c>
      <c r="Q176" s="3" t="s">
        <v>639</v>
      </c>
      <c r="R176" s="6">
        <v>474810</v>
      </c>
      <c r="S176" s="3" t="s">
        <v>29</v>
      </c>
    </row>
    <row r="177" spans="2:19" x14ac:dyDescent="0.2">
      <c r="B177" s="4" t="str">
        <f>PROPER(TEXT(Tabla7[[#This Row],[FECHA]],"mmm"))</f>
        <v>Ene</v>
      </c>
      <c r="C177" s="5">
        <v>46034</v>
      </c>
      <c r="D177" s="3" t="s">
        <v>29</v>
      </c>
      <c r="E177" s="3" t="s">
        <v>700</v>
      </c>
      <c r="F177" s="3" t="s">
        <v>21</v>
      </c>
      <c r="G177" s="6">
        <v>100000</v>
      </c>
      <c r="H177" s="6" t="s">
        <v>22</v>
      </c>
      <c r="I177" s="6">
        <v>100000</v>
      </c>
      <c r="K177" s="4" t="str">
        <f>PROPER(TEXT(Tabla8[[#This Row],[FECHA]],"mmm"))</f>
        <v>Mar</v>
      </c>
      <c r="L177" s="5">
        <v>46091</v>
      </c>
      <c r="M177" s="3" t="s">
        <v>74</v>
      </c>
      <c r="N177" s="3" t="s">
        <v>1121</v>
      </c>
      <c r="O177" s="8" t="s">
        <v>21</v>
      </c>
      <c r="P177" s="3" t="s">
        <v>22</v>
      </c>
      <c r="Q177" s="3" t="s">
        <v>1122</v>
      </c>
      <c r="R177" s="6">
        <v>34000</v>
      </c>
      <c r="S177" s="3" t="s">
        <v>20</v>
      </c>
    </row>
    <row r="178" spans="2:19" x14ac:dyDescent="0.2">
      <c r="B178" s="4" t="str">
        <f>PROPER(TEXT(Tabla7[[#This Row],[FECHA]],"mmm"))</f>
        <v>Ene</v>
      </c>
      <c r="C178" s="5">
        <v>46034</v>
      </c>
      <c r="D178" s="3" t="s">
        <v>25</v>
      </c>
      <c r="E178" s="3" t="s">
        <v>419</v>
      </c>
      <c r="F178" s="3" t="s">
        <v>494</v>
      </c>
      <c r="G178" s="6">
        <v>1832316</v>
      </c>
      <c r="H178" s="6" t="s">
        <v>22</v>
      </c>
      <c r="I178" s="6">
        <v>1832316</v>
      </c>
      <c r="K178" s="4" t="str">
        <f>PROPER(TEXT(Tabla8[[#This Row],[FECHA]],"mmm"))</f>
        <v>Mar</v>
      </c>
      <c r="L178" s="5">
        <v>46091</v>
      </c>
      <c r="M178" s="3" t="s">
        <v>23</v>
      </c>
      <c r="N178" s="3" t="s">
        <v>595</v>
      </c>
      <c r="O178" s="8" t="s">
        <v>21</v>
      </c>
      <c r="P178" s="3" t="s">
        <v>22</v>
      </c>
      <c r="Q178" s="3" t="s">
        <v>54</v>
      </c>
      <c r="R178" s="6">
        <v>4000</v>
      </c>
      <c r="S178" s="3" t="s">
        <v>20</v>
      </c>
    </row>
    <row r="179" spans="2:19" x14ac:dyDescent="0.2">
      <c r="B179" s="4" t="str">
        <f>PROPER(TEXT(Tabla7[[#This Row],[FECHA]],"mmm"))</f>
        <v>Ene</v>
      </c>
      <c r="C179" s="5">
        <v>46034</v>
      </c>
      <c r="D179" s="3" t="s">
        <v>20</v>
      </c>
      <c r="E179" s="3" t="s">
        <v>424</v>
      </c>
      <c r="F179" s="3">
        <v>12012026</v>
      </c>
      <c r="G179" s="6">
        <v>65500</v>
      </c>
      <c r="H179" s="6" t="s">
        <v>22</v>
      </c>
      <c r="I179" s="6">
        <v>65500</v>
      </c>
      <c r="K179" s="4" t="str">
        <f>PROPER(TEXT(Tabla8[[#This Row],[FECHA]],"mmm"))</f>
        <v>Mar</v>
      </c>
      <c r="L179" s="5">
        <v>46091</v>
      </c>
      <c r="M179" s="3" t="s">
        <v>37</v>
      </c>
      <c r="N179" s="3" t="s">
        <v>435</v>
      </c>
      <c r="O179" s="8" t="s">
        <v>1120</v>
      </c>
      <c r="P179" s="3" t="s">
        <v>24</v>
      </c>
      <c r="Q179" s="3" t="s">
        <v>418</v>
      </c>
      <c r="R179" s="6">
        <v>23240</v>
      </c>
      <c r="S179" s="3" t="s">
        <v>25</v>
      </c>
    </row>
    <row r="180" spans="2:19" x14ac:dyDescent="0.2">
      <c r="B180" s="4" t="str">
        <f>PROPER(TEXT(Tabla7[[#This Row],[FECHA]],"mmm"))</f>
        <v>Ene</v>
      </c>
      <c r="C180" s="5">
        <v>46032</v>
      </c>
      <c r="D180" s="3" t="s">
        <v>25</v>
      </c>
      <c r="E180" s="3" t="s">
        <v>419</v>
      </c>
      <c r="F180" s="3" t="s">
        <v>493</v>
      </c>
      <c r="G180" s="6">
        <v>297500</v>
      </c>
      <c r="H180" s="6" t="s">
        <v>22</v>
      </c>
      <c r="I180" s="6">
        <v>297500</v>
      </c>
      <c r="K180" s="4" t="str">
        <f>PROPER(TEXT(Tabla8[[#This Row],[FECHA]],"mmm"))</f>
        <v>Mar</v>
      </c>
      <c r="L180" s="5">
        <v>46091</v>
      </c>
      <c r="M180" s="3" t="s">
        <v>31</v>
      </c>
      <c r="N180" s="3" t="s">
        <v>485</v>
      </c>
      <c r="O180" s="8" t="s">
        <v>1119</v>
      </c>
      <c r="P180" s="3" t="s">
        <v>24</v>
      </c>
      <c r="Q180" s="3" t="s">
        <v>1090</v>
      </c>
      <c r="R180" s="6">
        <v>8000</v>
      </c>
      <c r="S180" s="3" t="s">
        <v>25</v>
      </c>
    </row>
    <row r="181" spans="2:19" x14ac:dyDescent="0.2">
      <c r="B181" s="4" t="str">
        <f>PROPER(TEXT(Tabla7[[#This Row],[FECHA]],"mmm"))</f>
        <v>Ene</v>
      </c>
      <c r="C181" s="5">
        <v>46032</v>
      </c>
      <c r="D181" s="3" t="s">
        <v>20</v>
      </c>
      <c r="E181" s="3" t="s">
        <v>444</v>
      </c>
      <c r="F181" s="3">
        <v>10012026</v>
      </c>
      <c r="G181" s="6">
        <v>9000</v>
      </c>
      <c r="H181" s="6" t="s">
        <v>22</v>
      </c>
      <c r="I181" s="6">
        <v>9000</v>
      </c>
      <c r="K181" s="4" t="str">
        <f>PROPER(TEXT(Tabla8[[#This Row],[FECHA]],"mmm"))</f>
        <v>Mar</v>
      </c>
      <c r="L181" s="5">
        <v>46091</v>
      </c>
      <c r="M181" s="3" t="s">
        <v>23</v>
      </c>
      <c r="N181" s="3" t="s">
        <v>1116</v>
      </c>
      <c r="O181" s="8" t="s">
        <v>1117</v>
      </c>
      <c r="P181" s="3" t="s">
        <v>24</v>
      </c>
      <c r="Q181" s="3" t="s">
        <v>1118</v>
      </c>
      <c r="R181" s="6">
        <v>100742</v>
      </c>
      <c r="S181" s="3" t="s">
        <v>29</v>
      </c>
    </row>
    <row r="182" spans="2:19" x14ac:dyDescent="0.2">
      <c r="B182" s="4" t="str">
        <f>PROPER(TEXT(Tabla7[[#This Row],[FECHA]],"mmm"))</f>
        <v>Ene</v>
      </c>
      <c r="C182" s="5">
        <v>46031</v>
      </c>
      <c r="D182" s="3" t="s">
        <v>29</v>
      </c>
      <c r="E182" s="3" t="s">
        <v>564</v>
      </c>
      <c r="F182" s="3" t="s">
        <v>565</v>
      </c>
      <c r="G182" s="6">
        <v>1248667</v>
      </c>
      <c r="H182" s="6" t="s">
        <v>24</v>
      </c>
      <c r="I182" s="6">
        <v>1248667</v>
      </c>
      <c r="K182" s="4" t="str">
        <f>PROPER(TEXT(Tabla8[[#This Row],[FECHA]],"mmm"))</f>
        <v>Mar</v>
      </c>
      <c r="L182" s="5">
        <v>46091</v>
      </c>
      <c r="M182" s="3" t="s">
        <v>23</v>
      </c>
      <c r="N182" s="3" t="s">
        <v>1114</v>
      </c>
      <c r="O182" s="8" t="s">
        <v>21</v>
      </c>
      <c r="P182" s="3" t="s">
        <v>22</v>
      </c>
      <c r="Q182" s="3" t="s">
        <v>1115</v>
      </c>
      <c r="R182" s="6">
        <v>50000</v>
      </c>
      <c r="S182" s="3" t="s">
        <v>20</v>
      </c>
    </row>
    <row r="183" spans="2:19" x14ac:dyDescent="0.2">
      <c r="B183" s="4" t="str">
        <f>PROPER(TEXT(Tabla7[[#This Row],[FECHA]],"mmm"))</f>
        <v>Ene</v>
      </c>
      <c r="C183" s="5">
        <v>46031</v>
      </c>
      <c r="D183" s="3" t="s">
        <v>29</v>
      </c>
      <c r="E183" s="3" t="s">
        <v>562</v>
      </c>
      <c r="F183" s="3" t="s">
        <v>563</v>
      </c>
      <c r="G183" s="6">
        <v>33915</v>
      </c>
      <c r="H183" s="6" t="s">
        <v>24</v>
      </c>
      <c r="I183" s="6">
        <v>33915</v>
      </c>
      <c r="K183" s="4" t="str">
        <f>PROPER(TEXT(Tabla8[[#This Row],[FECHA]],"mmm"))</f>
        <v>Mar</v>
      </c>
      <c r="L183" s="5">
        <v>46091</v>
      </c>
      <c r="M183" s="3" t="s">
        <v>23</v>
      </c>
      <c r="N183" s="3" t="s">
        <v>1112</v>
      </c>
      <c r="O183" s="8" t="s">
        <v>1113</v>
      </c>
      <c r="P183" s="3" t="s">
        <v>592</v>
      </c>
      <c r="Q183" s="3" t="s">
        <v>542</v>
      </c>
      <c r="R183" s="6">
        <v>10000</v>
      </c>
      <c r="S183" s="3" t="s">
        <v>20</v>
      </c>
    </row>
    <row r="184" spans="2:19" x14ac:dyDescent="0.2">
      <c r="B184" s="4" t="str">
        <f>PROPER(TEXT(Tabla7[[#This Row],[FECHA]],"mmm"))</f>
        <v>Ene</v>
      </c>
      <c r="C184" s="5">
        <v>46031</v>
      </c>
      <c r="D184" s="3" t="s">
        <v>29</v>
      </c>
      <c r="E184" s="3" t="s">
        <v>439</v>
      </c>
      <c r="F184" s="3" t="s">
        <v>440</v>
      </c>
      <c r="G184" s="6">
        <v>1618400</v>
      </c>
      <c r="H184" s="6" t="s">
        <v>24</v>
      </c>
      <c r="I184" s="6">
        <v>1618400</v>
      </c>
      <c r="K184" s="4" t="str">
        <f>PROPER(TEXT(Tabla8[[#This Row],[FECHA]],"mmm"))</f>
        <v>Mar</v>
      </c>
      <c r="L184" s="5">
        <v>46091</v>
      </c>
      <c r="M184" s="3" t="s">
        <v>23</v>
      </c>
      <c r="N184" s="3" t="s">
        <v>485</v>
      </c>
      <c r="O184" s="8" t="s">
        <v>1110</v>
      </c>
      <c r="P184" s="3" t="s">
        <v>24</v>
      </c>
      <c r="Q184" s="3" t="s">
        <v>1111</v>
      </c>
      <c r="R184" s="6">
        <v>94560</v>
      </c>
      <c r="S184" s="3" t="s">
        <v>25</v>
      </c>
    </row>
    <row r="185" spans="2:19" x14ac:dyDescent="0.2">
      <c r="B185" s="4" t="str">
        <f>PROPER(TEXT(Tabla7[[#This Row],[FECHA]],"mmm"))</f>
        <v>Ene</v>
      </c>
      <c r="C185" s="5">
        <v>46031</v>
      </c>
      <c r="D185" s="3" t="s">
        <v>29</v>
      </c>
      <c r="E185" s="3" t="s">
        <v>697</v>
      </c>
      <c r="F185" s="3" t="s">
        <v>21</v>
      </c>
      <c r="G185" s="6">
        <v>25000</v>
      </c>
      <c r="H185" s="6" t="s">
        <v>22</v>
      </c>
      <c r="I185" s="6">
        <v>25000</v>
      </c>
      <c r="K185" s="4" t="str">
        <f>PROPER(TEXT(Tabla8[[#This Row],[FECHA]],"mmm"))</f>
        <v>Mar</v>
      </c>
      <c r="L185" s="5">
        <v>46091</v>
      </c>
      <c r="M185" s="3" t="s">
        <v>31</v>
      </c>
      <c r="N185" s="3" t="s">
        <v>1104</v>
      </c>
      <c r="O185" s="8" t="s">
        <v>1105</v>
      </c>
      <c r="P185" s="3" t="s">
        <v>24</v>
      </c>
      <c r="Q185" s="3" t="s">
        <v>828</v>
      </c>
      <c r="R185" s="6">
        <v>95200</v>
      </c>
      <c r="S185" s="3" t="s">
        <v>25</v>
      </c>
    </row>
    <row r="186" spans="2:19" x14ac:dyDescent="0.2">
      <c r="B186" s="4" t="str">
        <f>PROPER(TEXT(Tabla7[[#This Row],[FECHA]],"mmm"))</f>
        <v>Ene</v>
      </c>
      <c r="C186" s="5">
        <v>46031</v>
      </c>
      <c r="D186" s="3" t="s">
        <v>25</v>
      </c>
      <c r="E186" s="3" t="s">
        <v>419</v>
      </c>
      <c r="F186" s="3" t="s">
        <v>21</v>
      </c>
      <c r="G186" s="6">
        <v>1425354</v>
      </c>
      <c r="H186" s="6" t="s">
        <v>22</v>
      </c>
      <c r="I186" s="6">
        <v>1425354</v>
      </c>
      <c r="K186" s="4" t="str">
        <f>PROPER(TEXT(Tabla8[[#This Row],[FECHA]],"mmm"))</f>
        <v>Mar</v>
      </c>
      <c r="L186" s="5">
        <v>46090</v>
      </c>
      <c r="M186" s="3" t="s">
        <v>37</v>
      </c>
      <c r="N186" s="3" t="s">
        <v>1108</v>
      </c>
      <c r="O186" s="8" t="s">
        <v>1109</v>
      </c>
      <c r="P186" s="3" t="s">
        <v>411</v>
      </c>
      <c r="Q186" s="3" t="s">
        <v>478</v>
      </c>
      <c r="R186" s="6">
        <v>42386</v>
      </c>
      <c r="S186" s="3" t="s">
        <v>29</v>
      </c>
    </row>
    <row r="187" spans="2:19" x14ac:dyDescent="0.2">
      <c r="B187" s="4" t="str">
        <f>PROPER(TEXT(Tabla7[[#This Row],[FECHA]],"mmm"))</f>
        <v>Ene</v>
      </c>
      <c r="C187" s="5">
        <v>46031</v>
      </c>
      <c r="D187" s="3" t="s">
        <v>20</v>
      </c>
      <c r="E187" s="3" t="s">
        <v>424</v>
      </c>
      <c r="F187" s="3">
        <v>9012026</v>
      </c>
      <c r="G187" s="6">
        <v>74000</v>
      </c>
      <c r="H187" s="6" t="s">
        <v>22</v>
      </c>
      <c r="I187" s="6">
        <v>74000</v>
      </c>
      <c r="K187" s="4" t="str">
        <f>PROPER(TEXT(Tabla8[[#This Row],[FECHA]],"mmm"))</f>
        <v>Mar</v>
      </c>
      <c r="L187" s="5">
        <v>46090</v>
      </c>
      <c r="M187" s="3" t="s">
        <v>39</v>
      </c>
      <c r="N187" s="3" t="s">
        <v>1101</v>
      </c>
      <c r="O187" s="8" t="s">
        <v>1102</v>
      </c>
      <c r="P187" s="3" t="s">
        <v>411</v>
      </c>
      <c r="Q187" s="3" t="s">
        <v>1103</v>
      </c>
      <c r="R187" s="6">
        <v>100000</v>
      </c>
      <c r="S187" s="3" t="s">
        <v>20</v>
      </c>
    </row>
    <row r="188" spans="2:19" x14ac:dyDescent="0.2">
      <c r="B188" s="4" t="str">
        <f>PROPER(TEXT(Tabla7[[#This Row],[FECHA]],"mmm"))</f>
        <v>Ene</v>
      </c>
      <c r="C188" s="5">
        <v>46030</v>
      </c>
      <c r="D188" s="3" t="s">
        <v>29</v>
      </c>
      <c r="E188" s="3" t="s">
        <v>561</v>
      </c>
      <c r="F188" s="3" t="s">
        <v>414</v>
      </c>
      <c r="G188" s="6">
        <v>495833</v>
      </c>
      <c r="H188" s="6" t="s">
        <v>22</v>
      </c>
      <c r="I188" s="6">
        <v>495833</v>
      </c>
      <c r="K188" s="4" t="str">
        <f>PROPER(TEXT(Tabla8[[#This Row],[FECHA]],"mmm"))</f>
        <v>Mar</v>
      </c>
      <c r="L188" s="5">
        <v>46090</v>
      </c>
      <c r="M188" s="3" t="s">
        <v>39</v>
      </c>
      <c r="N188" s="3" t="s">
        <v>973</v>
      </c>
      <c r="O188" s="8" t="s">
        <v>1100</v>
      </c>
      <c r="P188" s="3" t="s">
        <v>411</v>
      </c>
      <c r="Q188" s="3" t="s">
        <v>508</v>
      </c>
      <c r="R188" s="6">
        <v>200000</v>
      </c>
      <c r="S188" s="3" t="s">
        <v>20</v>
      </c>
    </row>
    <row r="189" spans="2:19" x14ac:dyDescent="0.2">
      <c r="B189" s="4" t="str">
        <f>PROPER(TEXT(Tabla7[[#This Row],[FECHA]],"mmm"))</f>
        <v>Ene</v>
      </c>
      <c r="C189" s="5">
        <v>46030</v>
      </c>
      <c r="D189" s="3" t="s">
        <v>29</v>
      </c>
      <c r="E189" s="3" t="s">
        <v>557</v>
      </c>
      <c r="F189" s="3" t="s">
        <v>21</v>
      </c>
      <c r="G189" s="6">
        <v>3000000</v>
      </c>
      <c r="H189" s="6" t="s">
        <v>22</v>
      </c>
      <c r="I189" s="6">
        <v>3000000</v>
      </c>
      <c r="K189" s="4" t="str">
        <f>PROPER(TEXT(Tabla8[[#This Row],[FECHA]],"mmm"))</f>
        <v>Mar</v>
      </c>
      <c r="L189" s="5">
        <v>46090</v>
      </c>
      <c r="M189" s="3" t="s">
        <v>23</v>
      </c>
      <c r="N189" s="3" t="s">
        <v>1080</v>
      </c>
      <c r="O189" s="8" t="s">
        <v>1081</v>
      </c>
      <c r="P189" s="3" t="s">
        <v>24</v>
      </c>
      <c r="Q189" s="3" t="s">
        <v>617</v>
      </c>
      <c r="R189" s="6">
        <v>45000</v>
      </c>
      <c r="S189" s="3" t="s">
        <v>20</v>
      </c>
    </row>
    <row r="190" spans="2:19" x14ac:dyDescent="0.2">
      <c r="B190" s="4" t="str">
        <f>PROPER(TEXT(Tabla7[[#This Row],[FECHA]],"mmm"))</f>
        <v>Ene</v>
      </c>
      <c r="C190" s="5">
        <v>46030</v>
      </c>
      <c r="D190" s="3" t="s">
        <v>25</v>
      </c>
      <c r="E190" s="3" t="s">
        <v>419</v>
      </c>
      <c r="F190" s="3" t="s">
        <v>492</v>
      </c>
      <c r="G190" s="6">
        <v>789500</v>
      </c>
      <c r="H190" s="6" t="s">
        <v>22</v>
      </c>
      <c r="I190" s="6">
        <v>789500</v>
      </c>
      <c r="K190" s="4" t="str">
        <f>PROPER(TEXT(Tabla8[[#This Row],[FECHA]],"mmm"))</f>
        <v>Mar</v>
      </c>
      <c r="L190" s="5">
        <v>46090</v>
      </c>
      <c r="M190" s="3" t="s">
        <v>47</v>
      </c>
      <c r="N190" s="3" t="s">
        <v>1077</v>
      </c>
      <c r="O190" s="8" t="s">
        <v>21</v>
      </c>
      <c r="P190" s="3" t="s">
        <v>411</v>
      </c>
      <c r="Q190" s="3" t="s">
        <v>1078</v>
      </c>
      <c r="R190" s="6">
        <v>300000</v>
      </c>
      <c r="S190" s="3" t="s">
        <v>20</v>
      </c>
    </row>
    <row r="191" spans="2:19" x14ac:dyDescent="0.2">
      <c r="B191" s="4" t="str">
        <f>PROPER(TEXT(Tabla7[[#This Row],[FECHA]],"mmm"))</f>
        <v>Ene</v>
      </c>
      <c r="C191" s="5">
        <v>46030</v>
      </c>
      <c r="D191" s="3" t="s">
        <v>20</v>
      </c>
      <c r="E191" s="3" t="s">
        <v>424</v>
      </c>
      <c r="F191" s="3">
        <v>8012026</v>
      </c>
      <c r="G191" s="6">
        <v>50000</v>
      </c>
      <c r="H191" s="6" t="s">
        <v>22</v>
      </c>
      <c r="I191" s="6">
        <v>50000</v>
      </c>
      <c r="K191" s="4" t="str">
        <f>PROPER(TEXT(Tabla8[[#This Row],[FECHA]],"mmm"))</f>
        <v>Mar</v>
      </c>
      <c r="L191" s="5">
        <v>46088</v>
      </c>
      <c r="M191" s="3" t="s">
        <v>37</v>
      </c>
      <c r="N191" s="3" t="s">
        <v>605</v>
      </c>
      <c r="O191" s="8" t="s">
        <v>1240</v>
      </c>
      <c r="P191" s="3" t="s">
        <v>411</v>
      </c>
      <c r="Q191" s="3" t="s">
        <v>418</v>
      </c>
      <c r="R191" s="6">
        <v>36030</v>
      </c>
      <c r="S191" s="3" t="s">
        <v>25</v>
      </c>
    </row>
    <row r="192" spans="2:19" x14ac:dyDescent="0.2">
      <c r="B192" s="4" t="str">
        <f>PROPER(TEXT(Tabla7[[#This Row],[FECHA]],"mmm"))</f>
        <v>Ene</v>
      </c>
      <c r="C192" s="5">
        <v>46029</v>
      </c>
      <c r="D192" s="3" t="s">
        <v>29</v>
      </c>
      <c r="E192" s="3" t="s">
        <v>534</v>
      </c>
      <c r="F192" s="3" t="s">
        <v>21</v>
      </c>
      <c r="G192" s="6">
        <v>30000</v>
      </c>
      <c r="H192" s="6" t="s">
        <v>22</v>
      </c>
      <c r="I192" s="6">
        <v>30000</v>
      </c>
      <c r="K192" s="4" t="str">
        <f>PROPER(TEXT(Tabla8[[#This Row],[FECHA]],"mmm"))</f>
        <v>Mar</v>
      </c>
      <c r="L192" s="5">
        <v>46087</v>
      </c>
      <c r="M192" s="3" t="s">
        <v>39</v>
      </c>
      <c r="N192" s="3" t="s">
        <v>1302</v>
      </c>
      <c r="O192" s="8" t="s">
        <v>21</v>
      </c>
      <c r="P192" s="3" t="s">
        <v>411</v>
      </c>
      <c r="Q192" s="3" t="s">
        <v>508</v>
      </c>
      <c r="R192" s="6">
        <v>370000</v>
      </c>
      <c r="S192" s="3" t="s">
        <v>29</v>
      </c>
    </row>
    <row r="193" spans="2:19" x14ac:dyDescent="0.2">
      <c r="B193" s="4" t="str">
        <f>PROPER(TEXT(Tabla7[[#This Row],[FECHA]],"mmm"))</f>
        <v>Ene</v>
      </c>
      <c r="C193" s="5">
        <v>46029</v>
      </c>
      <c r="D193" s="3" t="s">
        <v>25</v>
      </c>
      <c r="E193" s="3" t="s">
        <v>419</v>
      </c>
      <c r="F193" s="3" t="s">
        <v>491</v>
      </c>
      <c r="G193" s="6">
        <v>946000</v>
      </c>
      <c r="H193" s="6" t="s">
        <v>22</v>
      </c>
      <c r="I193" s="6">
        <v>946000</v>
      </c>
      <c r="K193" s="4" t="str">
        <f>PROPER(TEXT(Tabla8[[#This Row],[FECHA]],"mmm"))</f>
        <v>Mar</v>
      </c>
      <c r="L193" s="5">
        <v>46087</v>
      </c>
      <c r="M193" s="3" t="s">
        <v>35</v>
      </c>
      <c r="N193" s="3" t="s">
        <v>697</v>
      </c>
      <c r="O193" s="8" t="s">
        <v>1106</v>
      </c>
      <c r="P193" s="3" t="s">
        <v>24</v>
      </c>
      <c r="Q193" s="3" t="s">
        <v>1107</v>
      </c>
      <c r="R193" s="6">
        <v>978180</v>
      </c>
      <c r="S193" s="3" t="s">
        <v>29</v>
      </c>
    </row>
    <row r="194" spans="2:19" x14ac:dyDescent="0.2">
      <c r="B194" s="4" t="str">
        <f>PROPER(TEXT(Tabla7[[#This Row],[FECHA]],"mmm"))</f>
        <v>Ene</v>
      </c>
      <c r="C194" s="5">
        <v>46029</v>
      </c>
      <c r="D194" s="3" t="s">
        <v>20</v>
      </c>
      <c r="E194" s="3" t="s">
        <v>48</v>
      </c>
      <c r="F194" s="3" t="s">
        <v>21</v>
      </c>
      <c r="G194" s="6">
        <v>2000</v>
      </c>
      <c r="H194" s="6" t="s">
        <v>22</v>
      </c>
      <c r="I194" s="6">
        <v>2000</v>
      </c>
      <c r="K194" s="4" t="str">
        <f>PROPER(TEXT(Tabla8[[#This Row],[FECHA]],"mmm"))</f>
        <v>Mar</v>
      </c>
      <c r="L194" s="5">
        <v>46087</v>
      </c>
      <c r="M194" s="3" t="s">
        <v>23</v>
      </c>
      <c r="N194" s="3" t="s">
        <v>1082</v>
      </c>
      <c r="O194" s="8" t="s">
        <v>1083</v>
      </c>
      <c r="P194" s="3" t="s">
        <v>24</v>
      </c>
      <c r="Q194" s="3" t="s">
        <v>811</v>
      </c>
      <c r="R194" s="6">
        <v>69380</v>
      </c>
      <c r="S194" s="3" t="s">
        <v>25</v>
      </c>
    </row>
    <row r="195" spans="2:19" x14ac:dyDescent="0.2">
      <c r="B195" s="4" t="str">
        <f>PROPER(TEXT(Tabla7[[#This Row],[FECHA]],"mmm"))</f>
        <v>Ene</v>
      </c>
      <c r="C195" s="5">
        <v>46029</v>
      </c>
      <c r="D195" s="3" t="s">
        <v>20</v>
      </c>
      <c r="E195" s="3" t="s">
        <v>427</v>
      </c>
      <c r="F195" s="3" t="s">
        <v>21</v>
      </c>
      <c r="G195" s="6">
        <v>20000</v>
      </c>
      <c r="H195" s="6" t="s">
        <v>22</v>
      </c>
      <c r="I195" s="6">
        <v>20000</v>
      </c>
      <c r="K195" s="4" t="str">
        <f>PROPER(TEXT(Tabla8[[#This Row],[FECHA]],"mmm"))</f>
        <v>Mar</v>
      </c>
      <c r="L195" s="5">
        <v>46087</v>
      </c>
      <c r="M195" s="3" t="s">
        <v>23</v>
      </c>
      <c r="N195" s="3" t="s">
        <v>1075</v>
      </c>
      <c r="O195" s="8" t="s">
        <v>1076</v>
      </c>
      <c r="P195" s="3" t="s">
        <v>24</v>
      </c>
      <c r="Q195" s="3" t="s">
        <v>1075</v>
      </c>
      <c r="R195" s="6">
        <v>80000</v>
      </c>
      <c r="S195" s="3" t="s">
        <v>20</v>
      </c>
    </row>
    <row r="196" spans="2:19" x14ac:dyDescent="0.2">
      <c r="B196" s="4" t="str">
        <f>PROPER(TEXT(Tabla7[[#This Row],[FECHA]],"mmm"))</f>
        <v>Ene</v>
      </c>
      <c r="C196" s="5">
        <v>46028</v>
      </c>
      <c r="D196" s="3" t="s">
        <v>29</v>
      </c>
      <c r="E196" s="3" t="s">
        <v>547</v>
      </c>
      <c r="F196" s="3" t="s">
        <v>997</v>
      </c>
      <c r="G196" s="6">
        <v>1500000</v>
      </c>
      <c r="H196" s="6" t="s">
        <v>24</v>
      </c>
      <c r="I196" s="6">
        <v>1500000</v>
      </c>
      <c r="K196" s="4" t="str">
        <f>PROPER(TEXT(Tabla8[[#This Row],[FECHA]],"mmm"))</f>
        <v>Mar</v>
      </c>
      <c r="L196" s="5">
        <v>46086</v>
      </c>
      <c r="M196" s="3" t="s">
        <v>35</v>
      </c>
      <c r="N196" s="3" t="s">
        <v>304</v>
      </c>
      <c r="O196" s="8" t="s">
        <v>1097</v>
      </c>
      <c r="P196" s="3" t="s">
        <v>24</v>
      </c>
      <c r="Q196" s="3" t="s">
        <v>937</v>
      </c>
      <c r="R196" s="6">
        <v>320229</v>
      </c>
      <c r="S196" s="3" t="s">
        <v>29</v>
      </c>
    </row>
    <row r="197" spans="2:19" x14ac:dyDescent="0.2">
      <c r="B197" s="4" t="str">
        <f>PROPER(TEXT(Tabla7[[#This Row],[FECHA]],"mmm"))</f>
        <v>Ene</v>
      </c>
      <c r="C197" s="5">
        <v>46028</v>
      </c>
      <c r="D197" s="3" t="s">
        <v>29</v>
      </c>
      <c r="E197" s="3" t="s">
        <v>535</v>
      </c>
      <c r="F197" s="3" t="s">
        <v>536</v>
      </c>
      <c r="G197" s="6">
        <v>193700</v>
      </c>
      <c r="H197" s="6" t="s">
        <v>24</v>
      </c>
      <c r="I197" s="6">
        <v>193700</v>
      </c>
      <c r="K197" s="4" t="str">
        <f>PROPER(TEXT(Tabla8[[#This Row],[FECHA]],"mmm"))</f>
        <v>Mar</v>
      </c>
      <c r="L197" s="5">
        <v>46086</v>
      </c>
      <c r="M197" s="3" t="s">
        <v>23</v>
      </c>
      <c r="N197" s="3" t="s">
        <v>1093</v>
      </c>
      <c r="O197" s="8" t="s">
        <v>1094</v>
      </c>
      <c r="P197" s="3" t="s">
        <v>24</v>
      </c>
      <c r="Q197" s="3" t="s">
        <v>473</v>
      </c>
      <c r="R197" s="6">
        <v>527679</v>
      </c>
      <c r="S197" s="3" t="s">
        <v>25</v>
      </c>
    </row>
    <row r="198" spans="2:19" x14ac:dyDescent="0.2">
      <c r="B198" s="4" t="str">
        <f>PROPER(TEXT(Tabla7[[#This Row],[FECHA]],"mmm"))</f>
        <v>Ene</v>
      </c>
      <c r="C198" s="5">
        <v>46028</v>
      </c>
      <c r="D198" s="3" t="s">
        <v>29</v>
      </c>
      <c r="E198" s="3" t="s">
        <v>530</v>
      </c>
      <c r="F198" s="3" t="s">
        <v>414</v>
      </c>
      <c r="G198" s="6">
        <v>4500100</v>
      </c>
      <c r="H198" s="6" t="s">
        <v>24</v>
      </c>
      <c r="I198" s="6">
        <v>4500100</v>
      </c>
      <c r="K198" s="4" t="str">
        <f>PROPER(TEXT(Tabla8[[#This Row],[FECHA]],"mmm"))</f>
        <v>Mar</v>
      </c>
      <c r="L198" s="5">
        <v>46086</v>
      </c>
      <c r="M198" s="3" t="s">
        <v>539</v>
      </c>
      <c r="N198" s="3" t="s">
        <v>540</v>
      </c>
      <c r="O198" s="8" t="s">
        <v>1091</v>
      </c>
      <c r="P198" s="3" t="s">
        <v>24</v>
      </c>
      <c r="Q198" s="3" t="s">
        <v>1092</v>
      </c>
      <c r="R198" s="6">
        <v>41944</v>
      </c>
      <c r="S198" s="3" t="s">
        <v>25</v>
      </c>
    </row>
    <row r="199" spans="2:19" x14ac:dyDescent="0.2">
      <c r="B199" s="4" t="str">
        <f>PROPER(TEXT(Tabla7[[#This Row],[FECHA]],"mmm"))</f>
        <v>Ene</v>
      </c>
      <c r="C199" s="5">
        <v>46028</v>
      </c>
      <c r="D199" s="3" t="s">
        <v>29</v>
      </c>
      <c r="E199" s="3" t="s">
        <v>515</v>
      </c>
      <c r="F199" s="3" t="s">
        <v>516</v>
      </c>
      <c r="G199" s="6">
        <v>910350</v>
      </c>
      <c r="H199" s="6" t="s">
        <v>24</v>
      </c>
      <c r="I199" s="6">
        <v>910350</v>
      </c>
      <c r="K199" s="4" t="str">
        <f>PROPER(TEXT(Tabla8[[#This Row],[FECHA]],"mmm"))</f>
        <v>Mar</v>
      </c>
      <c r="L199" s="5">
        <v>46086</v>
      </c>
      <c r="M199" s="3" t="s">
        <v>23</v>
      </c>
      <c r="N199" s="3" t="s">
        <v>485</v>
      </c>
      <c r="O199" s="8" t="s">
        <v>1089</v>
      </c>
      <c r="P199" s="3" t="s">
        <v>24</v>
      </c>
      <c r="Q199" s="3" t="s">
        <v>1090</v>
      </c>
      <c r="R199" s="6">
        <v>80000</v>
      </c>
      <c r="S199" s="3" t="s">
        <v>25</v>
      </c>
    </row>
    <row r="200" spans="2:19" x14ac:dyDescent="0.2">
      <c r="B200" s="4" t="str">
        <f>PROPER(TEXT(Tabla7[[#This Row],[FECHA]],"mmm"))</f>
        <v>Ene</v>
      </c>
      <c r="C200" s="5">
        <v>46028</v>
      </c>
      <c r="D200" s="3" t="s">
        <v>29</v>
      </c>
      <c r="E200" s="3" t="s">
        <v>520</v>
      </c>
      <c r="F200" s="3" t="s">
        <v>521</v>
      </c>
      <c r="G200" s="6">
        <v>590000</v>
      </c>
      <c r="H200" s="6" t="s">
        <v>22</v>
      </c>
      <c r="I200" s="6">
        <v>590000</v>
      </c>
      <c r="K200" s="4" t="str">
        <f>PROPER(TEXT(Tabla8[[#This Row],[FECHA]],"mmm"))</f>
        <v>Mar</v>
      </c>
      <c r="L200" s="5">
        <v>46086</v>
      </c>
      <c r="M200" s="3" t="s">
        <v>23</v>
      </c>
      <c r="N200" s="3" t="s">
        <v>1086</v>
      </c>
      <c r="O200" s="8" t="s">
        <v>1087</v>
      </c>
      <c r="P200" s="3" t="s">
        <v>24</v>
      </c>
      <c r="Q200" s="3" t="s">
        <v>1088</v>
      </c>
      <c r="R200" s="6">
        <v>250000</v>
      </c>
      <c r="S200" s="3" t="s">
        <v>25</v>
      </c>
    </row>
    <row r="201" spans="2:19" x14ac:dyDescent="0.2">
      <c r="B201" s="4" t="str">
        <f>PROPER(TEXT(Tabla7[[#This Row],[FECHA]],"mmm"))</f>
        <v>Ene</v>
      </c>
      <c r="C201" s="5">
        <v>46028</v>
      </c>
      <c r="D201" s="3" t="s">
        <v>25</v>
      </c>
      <c r="E201" s="3" t="s">
        <v>419</v>
      </c>
      <c r="F201" s="3" t="s">
        <v>490</v>
      </c>
      <c r="G201" s="6">
        <v>942360</v>
      </c>
      <c r="H201" s="6" t="s">
        <v>22</v>
      </c>
      <c r="I201" s="6">
        <v>942360</v>
      </c>
      <c r="K201" s="4" t="str">
        <f>PROPER(TEXT(Tabla8[[#This Row],[FECHA]],"mmm"))</f>
        <v>Mar</v>
      </c>
      <c r="L201" s="5">
        <v>46085</v>
      </c>
      <c r="M201" s="3" t="s">
        <v>539</v>
      </c>
      <c r="N201" s="3" t="s">
        <v>1277</v>
      </c>
      <c r="O201" s="8" t="s">
        <v>1280</v>
      </c>
      <c r="P201" s="3" t="s">
        <v>24</v>
      </c>
      <c r="Q201" s="3" t="s">
        <v>1281</v>
      </c>
      <c r="R201" s="6">
        <v>38010</v>
      </c>
      <c r="S201" s="3" t="s">
        <v>25</v>
      </c>
    </row>
    <row r="202" spans="2:19" x14ac:dyDescent="0.2">
      <c r="B202" s="4" t="str">
        <f>PROPER(TEXT(Tabla7[[#This Row],[FECHA]],"mmm"))</f>
        <v>Ene</v>
      </c>
      <c r="C202" s="5">
        <v>46028</v>
      </c>
      <c r="D202" s="3" t="s">
        <v>20</v>
      </c>
      <c r="E202" s="3" t="s">
        <v>424</v>
      </c>
      <c r="F202" s="3" t="s">
        <v>425</v>
      </c>
      <c r="G202" s="6">
        <v>72000</v>
      </c>
      <c r="H202" s="6" t="s">
        <v>22</v>
      </c>
      <c r="I202" s="6">
        <v>72000</v>
      </c>
      <c r="K202" s="4" t="str">
        <f>PROPER(TEXT(Tabla8[[#This Row],[FECHA]],"mmm"))</f>
        <v>Mar</v>
      </c>
      <c r="L202" s="5">
        <v>46085</v>
      </c>
      <c r="M202" s="3" t="s">
        <v>23</v>
      </c>
      <c r="N202" s="3" t="s">
        <v>1095</v>
      </c>
      <c r="O202" s="8" t="s">
        <v>1096</v>
      </c>
      <c r="P202" s="3" t="s">
        <v>24</v>
      </c>
      <c r="Q202" s="3" t="s">
        <v>924</v>
      </c>
      <c r="R202" s="6">
        <v>5000</v>
      </c>
      <c r="S202" s="3" t="s">
        <v>20</v>
      </c>
    </row>
    <row r="203" spans="2:19" x14ac:dyDescent="0.2">
      <c r="B203" s="4" t="str">
        <f>PROPER(TEXT(Tabla7[[#This Row],[FECHA]],"mmm"))</f>
        <v>Ene</v>
      </c>
      <c r="C203" s="5">
        <v>46027</v>
      </c>
      <c r="D203" s="3" t="s">
        <v>29</v>
      </c>
      <c r="E203" s="3" t="s">
        <v>547</v>
      </c>
      <c r="F203" s="3" t="s">
        <v>997</v>
      </c>
      <c r="G203" s="6">
        <v>1000000</v>
      </c>
      <c r="H203" s="6" t="s">
        <v>24</v>
      </c>
      <c r="I203" s="6">
        <v>1000000</v>
      </c>
      <c r="K203" s="4" t="str">
        <f>PROPER(TEXT(Tabla8[[#This Row],[FECHA]],"mmm"))</f>
        <v>Mar</v>
      </c>
      <c r="L203" s="5">
        <v>46085</v>
      </c>
      <c r="M203" s="3" t="s">
        <v>23</v>
      </c>
      <c r="N203" s="3" t="s">
        <v>1084</v>
      </c>
      <c r="O203" s="8" t="s">
        <v>1085</v>
      </c>
      <c r="P203" s="3" t="s">
        <v>24</v>
      </c>
      <c r="Q203" s="3" t="s">
        <v>1034</v>
      </c>
      <c r="R203" s="6">
        <v>70000</v>
      </c>
      <c r="S203" s="3" t="s">
        <v>25</v>
      </c>
    </row>
    <row r="204" spans="2:19" x14ac:dyDescent="0.2">
      <c r="B204" s="4" t="str">
        <f>PROPER(TEXT(Tabla7[[#This Row],[FECHA]],"mmm"))</f>
        <v>Ene</v>
      </c>
      <c r="C204" s="5">
        <v>46027</v>
      </c>
      <c r="D204" s="3" t="s">
        <v>29</v>
      </c>
      <c r="E204" s="3" t="s">
        <v>502</v>
      </c>
      <c r="F204" s="3" t="s">
        <v>503</v>
      </c>
      <c r="G204" s="6">
        <v>142800</v>
      </c>
      <c r="H204" s="6" t="s">
        <v>24</v>
      </c>
      <c r="I204" s="6">
        <v>142800</v>
      </c>
      <c r="K204" s="4" t="str">
        <f>PROPER(TEXT(Tabla8[[#This Row],[FECHA]],"mmm"))</f>
        <v>Mar</v>
      </c>
      <c r="L204" s="5">
        <v>46085</v>
      </c>
      <c r="M204" s="3" t="s">
        <v>39</v>
      </c>
      <c r="N204" s="3" t="s">
        <v>448</v>
      </c>
      <c r="O204" s="8" t="s">
        <v>1074</v>
      </c>
      <c r="P204" s="3" t="s">
        <v>411</v>
      </c>
      <c r="Q204" s="3" t="s">
        <v>412</v>
      </c>
      <c r="R204" s="6">
        <v>100000</v>
      </c>
      <c r="S204" s="3" t="s">
        <v>20</v>
      </c>
    </row>
    <row r="205" spans="2:19" x14ac:dyDescent="0.2">
      <c r="B205" s="4" t="str">
        <f>PROPER(TEXT(Tabla7[[#This Row],[FECHA]],"mmm"))</f>
        <v>Ene</v>
      </c>
      <c r="C205" s="5">
        <v>46027</v>
      </c>
      <c r="D205" s="3" t="s">
        <v>29</v>
      </c>
      <c r="E205" s="3" t="s">
        <v>504</v>
      </c>
      <c r="F205" s="3" t="s">
        <v>21</v>
      </c>
      <c r="G205" s="6">
        <v>120000</v>
      </c>
      <c r="H205" s="6" t="s">
        <v>22</v>
      </c>
      <c r="I205" s="6">
        <v>120000</v>
      </c>
      <c r="K205" s="4" t="str">
        <f>PROPER(TEXT(Tabla8[[#This Row],[FECHA]],"mmm"))</f>
        <v>Mar</v>
      </c>
      <c r="L205" s="5">
        <v>46085</v>
      </c>
      <c r="M205" s="3" t="s">
        <v>39</v>
      </c>
      <c r="N205" s="3" t="s">
        <v>1072</v>
      </c>
      <c r="O205" s="8" t="s">
        <v>1073</v>
      </c>
      <c r="P205" s="3" t="s">
        <v>411</v>
      </c>
      <c r="Q205" s="3" t="s">
        <v>913</v>
      </c>
      <c r="R205" s="6">
        <v>100000</v>
      </c>
      <c r="S205" s="3" t="s">
        <v>20</v>
      </c>
    </row>
    <row r="206" spans="2:19" x14ac:dyDescent="0.2">
      <c r="B206" s="4" t="str">
        <f>PROPER(TEXT(Tabla7[[#This Row],[FECHA]],"mmm"))</f>
        <v>Ene</v>
      </c>
      <c r="C206" s="5">
        <v>46027</v>
      </c>
      <c r="D206" s="3" t="s">
        <v>25</v>
      </c>
      <c r="E206" s="3" t="s">
        <v>419</v>
      </c>
      <c r="F206" s="3" t="s">
        <v>420</v>
      </c>
      <c r="G206" s="6">
        <v>804700</v>
      </c>
      <c r="H206" s="6" t="s">
        <v>22</v>
      </c>
      <c r="I206" s="6">
        <v>804700</v>
      </c>
      <c r="K206" s="4" t="str">
        <f>PROPER(TEXT(Tabla8[[#This Row],[FECHA]],"mmm"))</f>
        <v>Mar</v>
      </c>
      <c r="L206" s="5">
        <v>46085</v>
      </c>
      <c r="M206" s="3" t="s">
        <v>39</v>
      </c>
      <c r="N206" s="3" t="s">
        <v>1070</v>
      </c>
      <c r="O206" s="8" t="s">
        <v>21</v>
      </c>
      <c r="P206" s="3" t="s">
        <v>22</v>
      </c>
      <c r="Q206" s="3" t="s">
        <v>62</v>
      </c>
      <c r="R206" s="6">
        <v>19000</v>
      </c>
      <c r="S206" s="3" t="s">
        <v>25</v>
      </c>
    </row>
    <row r="207" spans="2:19" x14ac:dyDescent="0.2">
      <c r="B207" s="4" t="str">
        <f>PROPER(TEXT(Tabla7[[#This Row],[FECHA]],"mmm"))</f>
        <v>Ene</v>
      </c>
      <c r="C207" s="5">
        <v>46027</v>
      </c>
      <c r="D207" s="3" t="s">
        <v>20</v>
      </c>
      <c r="E207" s="3" t="s">
        <v>421</v>
      </c>
      <c r="F207" s="3" t="s">
        <v>21</v>
      </c>
      <c r="G207" s="6">
        <v>27170</v>
      </c>
      <c r="H207" s="6" t="s">
        <v>22</v>
      </c>
      <c r="I207" s="6">
        <v>27170</v>
      </c>
      <c r="K207" s="4" t="str">
        <f>PROPER(TEXT(Tabla8[[#This Row],[FECHA]],"mmm"))</f>
        <v>Mar</v>
      </c>
      <c r="L207" s="5">
        <v>46084</v>
      </c>
      <c r="M207" s="3" t="s">
        <v>23</v>
      </c>
      <c r="N207" s="3" t="s">
        <v>1068</v>
      </c>
      <c r="O207" s="8" t="s">
        <v>1069</v>
      </c>
      <c r="P207" s="3" t="s">
        <v>24</v>
      </c>
      <c r="Q207" s="3" t="s">
        <v>828</v>
      </c>
      <c r="R207" s="6">
        <v>93190</v>
      </c>
      <c r="S207" s="3" t="s">
        <v>25</v>
      </c>
    </row>
    <row r="208" spans="2:19" x14ac:dyDescent="0.2">
      <c r="B208" s="4" t="str">
        <f>PROPER(TEXT(Tabla7[[#This Row],[FECHA]],"mmm"))</f>
        <v>Ene</v>
      </c>
      <c r="C208" s="5">
        <v>46027</v>
      </c>
      <c r="D208" s="3" t="s">
        <v>20</v>
      </c>
      <c r="E208" s="3" t="s">
        <v>27</v>
      </c>
      <c r="F208" s="3" t="s">
        <v>21</v>
      </c>
      <c r="G208" s="6">
        <v>2000</v>
      </c>
      <c r="H208" s="6" t="s">
        <v>22</v>
      </c>
      <c r="I208" s="6">
        <v>2000</v>
      </c>
      <c r="K208" s="4" t="str">
        <f>PROPER(TEXT(Tabla8[[#This Row],[FECHA]],"mmm"))</f>
        <v>Mar</v>
      </c>
      <c r="L208" s="5">
        <v>46084</v>
      </c>
      <c r="M208" s="3" t="s">
        <v>23</v>
      </c>
      <c r="N208" s="3" t="s">
        <v>326</v>
      </c>
      <c r="O208" s="8" t="s">
        <v>1066</v>
      </c>
      <c r="P208" s="3" t="s">
        <v>24</v>
      </c>
      <c r="Q208" s="3" t="s">
        <v>1067</v>
      </c>
      <c r="R208" s="6">
        <v>72214</v>
      </c>
      <c r="S208" s="3" t="s">
        <v>25</v>
      </c>
    </row>
    <row r="209" spans="2:19" x14ac:dyDescent="0.2">
      <c r="B209" s="4" t="str">
        <f>PROPER(TEXT(Tabla7[[#This Row],[FECHA]],"mmm"))</f>
        <v>Ene</v>
      </c>
      <c r="C209" s="5">
        <v>46027</v>
      </c>
      <c r="D209" s="3" t="s">
        <v>20</v>
      </c>
      <c r="E209" s="3" t="s">
        <v>408</v>
      </c>
      <c r="F209" s="3" t="s">
        <v>21</v>
      </c>
      <c r="G209" s="6">
        <v>10000</v>
      </c>
      <c r="H209" s="6" t="s">
        <v>22</v>
      </c>
      <c r="I209" s="6">
        <v>10000</v>
      </c>
      <c r="K209" s="4" t="str">
        <f>PROPER(TEXT(Tabla8[[#This Row],[FECHA]],"mmm"))</f>
        <v>Mar</v>
      </c>
      <c r="L209" s="5">
        <v>46083</v>
      </c>
      <c r="M209" s="3" t="s">
        <v>23</v>
      </c>
      <c r="N209" s="3" t="s">
        <v>1531</v>
      </c>
      <c r="O209" s="8" t="s">
        <v>21</v>
      </c>
      <c r="P209" s="3" t="s">
        <v>22</v>
      </c>
      <c r="Q209" s="3" t="s">
        <v>519</v>
      </c>
      <c r="R209" s="6">
        <v>112585</v>
      </c>
      <c r="S209" s="3" t="s">
        <v>25</v>
      </c>
    </row>
    <row r="210" spans="2:19" x14ac:dyDescent="0.2">
      <c r="B210" s="4" t="str">
        <f>PROPER(TEXT(Tabla7[[#This Row],[FECHA]],"mmm"))</f>
        <v>Ene</v>
      </c>
      <c r="C210" s="5">
        <v>46027</v>
      </c>
      <c r="D210" s="3" t="s">
        <v>20</v>
      </c>
      <c r="E210" s="3" t="s">
        <v>48</v>
      </c>
      <c r="F210" s="3" t="s">
        <v>21</v>
      </c>
      <c r="G210" s="6">
        <v>2000</v>
      </c>
      <c r="H210" s="6" t="s">
        <v>22</v>
      </c>
      <c r="I210" s="6">
        <v>2000</v>
      </c>
      <c r="K210" s="4" t="str">
        <f>PROPER(TEXT(Tabla8[[#This Row],[FECHA]],"mmm"))</f>
        <v>Mar</v>
      </c>
      <c r="L210" s="5">
        <v>46083</v>
      </c>
      <c r="M210" s="3" t="s">
        <v>23</v>
      </c>
      <c r="N210" s="3" t="s">
        <v>1529</v>
      </c>
      <c r="O210" s="8" t="s">
        <v>21</v>
      </c>
      <c r="P210" s="3" t="s">
        <v>22</v>
      </c>
      <c r="Q210" s="3" t="s">
        <v>1530</v>
      </c>
      <c r="R210" s="6">
        <v>79500</v>
      </c>
      <c r="S210" s="3" t="s">
        <v>20</v>
      </c>
    </row>
    <row r="211" spans="2:19" x14ac:dyDescent="0.2">
      <c r="B211" s="4" t="str">
        <f>PROPER(TEXT(Tabla7[[#This Row],[FECHA]],"mmm"))</f>
        <v>Ene</v>
      </c>
      <c r="C211" s="5">
        <v>46027</v>
      </c>
      <c r="D211" s="3" t="s">
        <v>20</v>
      </c>
      <c r="E211" s="3" t="s">
        <v>34</v>
      </c>
      <c r="F211" s="3" t="s">
        <v>21</v>
      </c>
      <c r="G211" s="6">
        <v>140000</v>
      </c>
      <c r="H211" s="6" t="s">
        <v>22</v>
      </c>
      <c r="I211" s="6">
        <v>140000</v>
      </c>
      <c r="K211" s="4" t="str">
        <f>PROPER(TEXT(Tabla8[[#This Row],[FECHA]],"mmm"))</f>
        <v>Mar</v>
      </c>
      <c r="L211" s="5">
        <v>46083</v>
      </c>
      <c r="M211" s="3" t="s">
        <v>23</v>
      </c>
      <c r="N211" s="3" t="s">
        <v>422</v>
      </c>
      <c r="O211" s="8" t="s">
        <v>21</v>
      </c>
      <c r="P211" s="3" t="s">
        <v>411</v>
      </c>
      <c r="Q211" s="3" t="s">
        <v>54</v>
      </c>
      <c r="R211" s="6">
        <v>10500</v>
      </c>
      <c r="S211" s="3" t="s">
        <v>20</v>
      </c>
    </row>
    <row r="212" spans="2:19" x14ac:dyDescent="0.2">
      <c r="B212" s="4" t="str">
        <f>PROPER(TEXT(Tabla7[[#This Row],[FECHA]],"mmm"))</f>
        <v>Ene</v>
      </c>
      <c r="C212" s="5">
        <v>46027</v>
      </c>
      <c r="D212" s="3" t="s">
        <v>20</v>
      </c>
      <c r="E212" s="3" t="s">
        <v>407</v>
      </c>
      <c r="F212" s="3" t="s">
        <v>21</v>
      </c>
      <c r="G212" s="6">
        <v>10000</v>
      </c>
      <c r="H212" s="6" t="s">
        <v>22</v>
      </c>
      <c r="I212" s="6">
        <v>10000</v>
      </c>
      <c r="K212" s="4" t="str">
        <f>PROPER(TEXT(Tabla8[[#This Row],[FECHA]],"mmm"))</f>
        <v>Mar</v>
      </c>
      <c r="L212" s="5">
        <v>46083</v>
      </c>
      <c r="M212" s="3" t="s">
        <v>39</v>
      </c>
      <c r="N212" s="3" t="s">
        <v>448</v>
      </c>
      <c r="O212" s="8" t="s">
        <v>1065</v>
      </c>
      <c r="P212" s="3" t="s">
        <v>411</v>
      </c>
      <c r="Q212" s="3" t="s">
        <v>412</v>
      </c>
      <c r="R212" s="6">
        <v>200000</v>
      </c>
      <c r="S212" s="3" t="s">
        <v>20</v>
      </c>
    </row>
    <row r="213" spans="2:19" x14ac:dyDescent="0.2">
      <c r="B213" s="4" t="str">
        <f>PROPER(TEXT(Tabla7[[#This Row],[FECHA]],"mmm"))</f>
        <v>Ene</v>
      </c>
      <c r="C213" s="5">
        <v>46025</v>
      </c>
      <c r="D213" s="3" t="s">
        <v>25</v>
      </c>
      <c r="E213" s="3" t="s">
        <v>419</v>
      </c>
      <c r="F213" s="3" t="s">
        <v>489</v>
      </c>
      <c r="G213" s="6">
        <v>653500</v>
      </c>
      <c r="H213" s="6" t="s">
        <v>22</v>
      </c>
      <c r="I213" s="6">
        <v>653500</v>
      </c>
      <c r="K213" s="4" t="str">
        <f>PROPER(TEXT(Tabla8[[#This Row],[FECHA]],"mmm"))</f>
        <v>Mar</v>
      </c>
      <c r="L213" s="5">
        <v>46083</v>
      </c>
      <c r="M213" s="3" t="s">
        <v>282</v>
      </c>
      <c r="N213" s="3" t="s">
        <v>1061</v>
      </c>
      <c r="O213" s="8" t="s">
        <v>1062</v>
      </c>
      <c r="P213" s="3" t="s">
        <v>411</v>
      </c>
      <c r="Q213" s="3" t="s">
        <v>574</v>
      </c>
      <c r="R213" s="6">
        <v>2000000</v>
      </c>
      <c r="S213" s="3" t="s">
        <v>29</v>
      </c>
    </row>
    <row r="214" spans="2:19" x14ac:dyDescent="0.2">
      <c r="B214" s="4" t="str">
        <f>PROPER(TEXT(Tabla7[[#This Row],[FECHA]],"mmm"))</f>
        <v>Ene</v>
      </c>
      <c r="C214" s="5">
        <v>46025</v>
      </c>
      <c r="D214" s="3" t="s">
        <v>20</v>
      </c>
      <c r="E214" s="3" t="s">
        <v>394</v>
      </c>
      <c r="F214" s="8" t="s">
        <v>22</v>
      </c>
      <c r="G214" s="6">
        <v>10000</v>
      </c>
      <c r="H214" s="6" t="s">
        <v>22</v>
      </c>
      <c r="I214" s="6">
        <v>10000</v>
      </c>
      <c r="K214" s="4" t="str">
        <f>PROPER(TEXT(Tabla8[[#This Row],[FECHA]],"mmm"))</f>
        <v>Mar</v>
      </c>
      <c r="L214" s="5">
        <v>46083</v>
      </c>
      <c r="M214" s="3" t="s">
        <v>39</v>
      </c>
      <c r="N214" s="3" t="s">
        <v>1059</v>
      </c>
      <c r="O214" s="8" t="s">
        <v>1060</v>
      </c>
      <c r="P214" s="3" t="s">
        <v>411</v>
      </c>
      <c r="Q214" s="3" t="s">
        <v>895</v>
      </c>
      <c r="R214" s="6">
        <v>20000</v>
      </c>
      <c r="S214" s="3" t="s">
        <v>20</v>
      </c>
    </row>
    <row r="215" spans="2:19" x14ac:dyDescent="0.2">
      <c r="B215" s="4" t="str">
        <f>PROPER(TEXT(Tabla7[[#This Row],[FECHA]],"mmm"))</f>
        <v>Ene</v>
      </c>
      <c r="C215" s="5">
        <v>46025</v>
      </c>
      <c r="D215" s="3" t="s">
        <v>20</v>
      </c>
      <c r="E215" s="3" t="s">
        <v>389</v>
      </c>
      <c r="F215" s="8" t="s">
        <v>22</v>
      </c>
      <c r="G215" s="6">
        <v>5000</v>
      </c>
      <c r="H215" s="6" t="s">
        <v>22</v>
      </c>
      <c r="I215" s="6">
        <v>5000</v>
      </c>
      <c r="K215" s="4" t="str">
        <f>PROPER(TEXT(Tabla8[[#This Row],[FECHA]],"mmm"))</f>
        <v>Feb</v>
      </c>
      <c r="L215" s="5">
        <v>46081</v>
      </c>
      <c r="M215" s="3" t="s">
        <v>64</v>
      </c>
      <c r="N215" s="3" t="s">
        <v>1244</v>
      </c>
      <c r="O215" s="8" t="s">
        <v>1173</v>
      </c>
      <c r="P215" s="3" t="s">
        <v>411</v>
      </c>
      <c r="Q215" s="3" t="s">
        <v>803</v>
      </c>
      <c r="R215" s="6">
        <v>1816238</v>
      </c>
      <c r="S215" s="3" t="s">
        <v>29</v>
      </c>
    </row>
    <row r="216" spans="2:19" x14ac:dyDescent="0.2">
      <c r="B216" s="4" t="str">
        <f>PROPER(TEXT(Tabla7[[#This Row],[FECHA]],"mmm"))</f>
        <v>Ene</v>
      </c>
      <c r="C216" s="5">
        <v>46025</v>
      </c>
      <c r="D216" s="3" t="s">
        <v>20</v>
      </c>
      <c r="E216" s="3" t="s">
        <v>400</v>
      </c>
      <c r="F216" s="8" t="s">
        <v>22</v>
      </c>
      <c r="G216" s="6">
        <v>7000</v>
      </c>
      <c r="H216" s="6" t="s">
        <v>22</v>
      </c>
      <c r="I216" s="6">
        <v>7000</v>
      </c>
      <c r="K216" s="4" t="str">
        <f>PROPER(TEXT(Tabla8[[#This Row],[FECHA]],"mmm"))</f>
        <v>Feb</v>
      </c>
      <c r="L216" s="5">
        <v>46081</v>
      </c>
      <c r="M216" s="3" t="s">
        <v>49</v>
      </c>
      <c r="N216" s="3" t="s">
        <v>791</v>
      </c>
      <c r="O216" s="8" t="s">
        <v>21</v>
      </c>
      <c r="P216" s="3" t="s">
        <v>22</v>
      </c>
      <c r="Q216" s="3" t="s">
        <v>792</v>
      </c>
      <c r="R216" s="6">
        <v>500000</v>
      </c>
      <c r="S216" s="3" t="s">
        <v>29</v>
      </c>
    </row>
    <row r="217" spans="2:19" x14ac:dyDescent="0.2">
      <c r="B217" s="4" t="str">
        <f>PROPER(TEXT(Tabla7[[#This Row],[FECHA]],"mmm"))</f>
        <v>Ene</v>
      </c>
      <c r="C217" s="5">
        <v>46024</v>
      </c>
      <c r="D217" s="3" t="s">
        <v>29</v>
      </c>
      <c r="E217" s="3" t="s">
        <v>546</v>
      </c>
      <c r="F217" s="3" t="s">
        <v>414</v>
      </c>
      <c r="G217" s="6">
        <v>5426000</v>
      </c>
      <c r="H217" s="6" t="s">
        <v>24</v>
      </c>
      <c r="I217" s="6">
        <v>5426000</v>
      </c>
      <c r="K217" s="4" t="str">
        <f>PROPER(TEXT(Tabla8[[#This Row],[FECHA]],"mmm"))</f>
        <v>Feb</v>
      </c>
      <c r="L217" s="5">
        <v>46081</v>
      </c>
      <c r="M217" s="3" t="s">
        <v>49</v>
      </c>
      <c r="N217" s="3" t="s">
        <v>790</v>
      </c>
      <c r="O217" s="8" t="s">
        <v>676</v>
      </c>
      <c r="P217" s="3" t="s">
        <v>22</v>
      </c>
      <c r="Q217" s="3" t="s">
        <v>507</v>
      </c>
      <c r="R217" s="6">
        <v>1500000</v>
      </c>
      <c r="S217" s="3" t="s">
        <v>29</v>
      </c>
    </row>
    <row r="218" spans="2:19" x14ac:dyDescent="0.2">
      <c r="B218" s="4" t="str">
        <f>PROPER(TEXT(Tabla7[[#This Row],[FECHA]],"mmm"))</f>
        <v>Ene</v>
      </c>
      <c r="C218" s="5">
        <v>46024</v>
      </c>
      <c r="D218" s="3" t="s">
        <v>29</v>
      </c>
      <c r="E218" s="3" t="s">
        <v>497</v>
      </c>
      <c r="F218" s="3" t="s">
        <v>498</v>
      </c>
      <c r="G218" s="6">
        <v>217413</v>
      </c>
      <c r="H218" s="6" t="s">
        <v>24</v>
      </c>
      <c r="I218" s="6">
        <v>217413</v>
      </c>
      <c r="K218" s="4" t="str">
        <f>PROPER(TEXT(Tabla8[[#This Row],[FECHA]],"mmm"))</f>
        <v>Feb</v>
      </c>
      <c r="L218" s="5">
        <v>46080</v>
      </c>
      <c r="M218" s="3" t="s">
        <v>57</v>
      </c>
      <c r="N218" s="3" t="s">
        <v>1526</v>
      </c>
      <c r="O218" s="8" t="s">
        <v>1155</v>
      </c>
      <c r="P218" s="3" t="s">
        <v>411</v>
      </c>
      <c r="Q218" s="3" t="s">
        <v>805</v>
      </c>
      <c r="R218" s="6">
        <v>197237</v>
      </c>
      <c r="S218" s="3" t="s">
        <v>29</v>
      </c>
    </row>
    <row r="219" spans="2:19" x14ac:dyDescent="0.2">
      <c r="B219" s="4" t="str">
        <f>PROPER(TEXT(Tabla7[[#This Row],[FECHA]],"mmm"))</f>
        <v>Ene</v>
      </c>
      <c r="C219" s="5">
        <v>46024</v>
      </c>
      <c r="D219" s="3" t="s">
        <v>29</v>
      </c>
      <c r="E219" s="3" t="s">
        <v>495</v>
      </c>
      <c r="F219" s="3" t="s">
        <v>496</v>
      </c>
      <c r="G219" s="6">
        <v>29750</v>
      </c>
      <c r="H219" s="6" t="s">
        <v>24</v>
      </c>
      <c r="I219" s="6">
        <v>29750</v>
      </c>
      <c r="K219" s="4" t="str">
        <f>PROPER(TEXT(Tabla8[[#This Row],[FECHA]],"mmm"))</f>
        <v>Feb</v>
      </c>
      <c r="L219" s="5">
        <v>46080</v>
      </c>
      <c r="M219" s="3" t="s">
        <v>51</v>
      </c>
      <c r="N219" s="3" t="s">
        <v>1288</v>
      </c>
      <c r="O219" s="8" t="s">
        <v>21</v>
      </c>
      <c r="P219" s="3" t="s">
        <v>22</v>
      </c>
      <c r="Q219" s="3" t="s">
        <v>461</v>
      </c>
      <c r="R219" s="6">
        <v>828000</v>
      </c>
      <c r="S219" s="3" t="s">
        <v>20</v>
      </c>
    </row>
    <row r="220" spans="2:19" x14ac:dyDescent="0.2">
      <c r="B220" s="4" t="str">
        <f>PROPER(TEXT(Tabla7[[#This Row],[FECHA]],"mmm"))</f>
        <v>Ene</v>
      </c>
      <c r="C220" s="5">
        <v>46024</v>
      </c>
      <c r="D220" s="3" t="s">
        <v>25</v>
      </c>
      <c r="E220" s="3" t="s">
        <v>419</v>
      </c>
      <c r="F220" s="3" t="s">
        <v>488</v>
      </c>
      <c r="G220" s="6">
        <v>849600</v>
      </c>
      <c r="H220" s="6" t="s">
        <v>22</v>
      </c>
      <c r="I220" s="6">
        <v>849600</v>
      </c>
      <c r="K220" s="4" t="str">
        <f>PROPER(TEXT(Tabla8[[#This Row],[FECHA]],"mmm"))</f>
        <v>Feb</v>
      </c>
      <c r="L220" s="5">
        <v>46080</v>
      </c>
      <c r="M220" s="3" t="s">
        <v>51</v>
      </c>
      <c r="N220" s="3" t="s">
        <v>1525</v>
      </c>
      <c r="O220" s="8" t="s">
        <v>1155</v>
      </c>
      <c r="P220" s="3" t="s">
        <v>411</v>
      </c>
      <c r="Q220" s="3" t="s">
        <v>1204</v>
      </c>
      <c r="R220" s="6">
        <v>600000</v>
      </c>
      <c r="S220" s="3" t="s">
        <v>29</v>
      </c>
    </row>
    <row r="221" spans="2:19" x14ac:dyDescent="0.2">
      <c r="B221" s="4" t="str">
        <f>PROPER(TEXT(Tabla7[[#This Row],[FECHA]],"mmm"))</f>
        <v>Ene</v>
      </c>
      <c r="C221" s="5">
        <v>46024</v>
      </c>
      <c r="D221" s="3" t="s">
        <v>20</v>
      </c>
      <c r="E221" s="3" t="s">
        <v>27</v>
      </c>
      <c r="F221" s="8" t="s">
        <v>248</v>
      </c>
      <c r="G221" s="6">
        <v>6000</v>
      </c>
      <c r="H221" s="6" t="s">
        <v>22</v>
      </c>
      <c r="I221" s="6">
        <v>6000</v>
      </c>
      <c r="K221" s="4" t="str">
        <f>PROPER(TEXT(Tabla8[[#This Row],[FECHA]],"mmm"))</f>
        <v>Feb</v>
      </c>
      <c r="L221" s="5">
        <v>46080</v>
      </c>
      <c r="M221" s="3" t="s">
        <v>51</v>
      </c>
      <c r="N221" s="3" t="s">
        <v>1524</v>
      </c>
      <c r="O221" s="8" t="s">
        <v>1155</v>
      </c>
      <c r="P221" s="3" t="s">
        <v>411</v>
      </c>
      <c r="Q221" s="3" t="s">
        <v>452</v>
      </c>
      <c r="R221" s="6">
        <v>828000</v>
      </c>
      <c r="S221" s="3" t="s">
        <v>29</v>
      </c>
    </row>
    <row r="222" spans="2:19" x14ac:dyDescent="0.2">
      <c r="B222" s="4" t="str">
        <f>PROPER(TEXT(Tabla7[[#This Row],[FECHA]],"mmm"))</f>
        <v>Ene</v>
      </c>
      <c r="C222" s="5">
        <v>46024</v>
      </c>
      <c r="D222" s="3" t="s">
        <v>20</v>
      </c>
      <c r="E222" s="3" t="s">
        <v>53</v>
      </c>
      <c r="F222" s="8" t="s">
        <v>22</v>
      </c>
      <c r="G222" s="6">
        <v>20000</v>
      </c>
      <c r="H222" s="6" t="s">
        <v>22</v>
      </c>
      <c r="I222" s="6">
        <v>20000</v>
      </c>
      <c r="K222" s="4" t="str">
        <f>PROPER(TEXT(Tabla8[[#This Row],[FECHA]],"mmm"))</f>
        <v>Feb</v>
      </c>
      <c r="L222" s="5">
        <v>46080</v>
      </c>
      <c r="M222" s="3" t="s">
        <v>51</v>
      </c>
      <c r="N222" s="3" t="s">
        <v>1523</v>
      </c>
      <c r="O222" s="8" t="s">
        <v>1155</v>
      </c>
      <c r="P222" s="3" t="s">
        <v>411</v>
      </c>
      <c r="Q222" s="3" t="s">
        <v>895</v>
      </c>
      <c r="R222" s="6">
        <v>870000</v>
      </c>
      <c r="S222" s="3" t="s">
        <v>29</v>
      </c>
    </row>
    <row r="223" spans="2:19" x14ac:dyDescent="0.2">
      <c r="B223" s="4" t="str">
        <f>PROPER(TEXT(Tabla7[[#This Row],[FECHA]],"mmm"))</f>
        <v>Ene</v>
      </c>
      <c r="C223" s="5">
        <v>46024</v>
      </c>
      <c r="D223" s="3" t="s">
        <v>20</v>
      </c>
      <c r="E223" s="3" t="s">
        <v>48</v>
      </c>
      <c r="F223" s="8" t="s">
        <v>22</v>
      </c>
      <c r="G223" s="6">
        <v>2000</v>
      </c>
      <c r="H223" s="6" t="s">
        <v>22</v>
      </c>
      <c r="I223" s="6">
        <v>2000</v>
      </c>
      <c r="K223" s="4" t="str">
        <f>PROPER(TEXT(Tabla8[[#This Row],[FECHA]],"mmm"))</f>
        <v>Feb</v>
      </c>
      <c r="L223" s="5">
        <v>46080</v>
      </c>
      <c r="M223" s="3" t="s">
        <v>51</v>
      </c>
      <c r="N223" s="3" t="s">
        <v>1522</v>
      </c>
      <c r="O223" s="8" t="s">
        <v>1155</v>
      </c>
      <c r="P223" s="3" t="s">
        <v>411</v>
      </c>
      <c r="Q223" s="3" t="s">
        <v>679</v>
      </c>
      <c r="R223" s="6">
        <v>935500</v>
      </c>
      <c r="S223" s="3" t="s">
        <v>29</v>
      </c>
    </row>
    <row r="224" spans="2:19" x14ac:dyDescent="0.2">
      <c r="B224" s="4" t="str">
        <f>PROPER(TEXT(Tabla7[[#This Row],[FECHA]],"mmm"))</f>
        <v>Ene</v>
      </c>
      <c r="C224" s="5">
        <v>46024</v>
      </c>
      <c r="D224" s="3" t="s">
        <v>20</v>
      </c>
      <c r="E224" s="3" t="s">
        <v>53</v>
      </c>
      <c r="F224" s="8" t="s">
        <v>22</v>
      </c>
      <c r="G224" s="6">
        <v>20000</v>
      </c>
      <c r="H224" s="6" t="s">
        <v>22</v>
      </c>
      <c r="I224" s="6">
        <v>20000</v>
      </c>
      <c r="K224" s="4" t="str">
        <f>PROPER(TEXT(Tabla8[[#This Row],[FECHA]],"mmm"))</f>
        <v>Feb</v>
      </c>
      <c r="L224" s="5">
        <v>46080</v>
      </c>
      <c r="M224" s="3" t="s">
        <v>51</v>
      </c>
      <c r="N224" s="3" t="s">
        <v>1022</v>
      </c>
      <c r="O224" s="8" t="s">
        <v>1155</v>
      </c>
      <c r="P224" s="3" t="s">
        <v>22</v>
      </c>
      <c r="Q224" s="3" t="s">
        <v>860</v>
      </c>
      <c r="R224" s="6">
        <v>1154000</v>
      </c>
      <c r="S224" s="3" t="s">
        <v>29</v>
      </c>
    </row>
    <row r="225" spans="2:19" x14ac:dyDescent="0.2">
      <c r="B225" s="4" t="str">
        <f>PROPER(TEXT(Tabla7[[#This Row],[FECHA]],"mmm"))</f>
        <v>Ene</v>
      </c>
      <c r="C225" s="5">
        <v>46024</v>
      </c>
      <c r="D225" s="3" t="s">
        <v>20</v>
      </c>
      <c r="E225" s="3" t="s">
        <v>395</v>
      </c>
      <c r="F225" s="8" t="s">
        <v>22</v>
      </c>
      <c r="G225" s="6">
        <v>40000</v>
      </c>
      <c r="H225" s="6" t="s">
        <v>22</v>
      </c>
      <c r="I225" s="6">
        <v>40000</v>
      </c>
      <c r="K225" s="4" t="str">
        <f>PROPER(TEXT(Tabla8[[#This Row],[FECHA]],"mmm"))</f>
        <v>Feb</v>
      </c>
      <c r="L225" s="5">
        <v>46079</v>
      </c>
      <c r="M225" s="3" t="s">
        <v>23</v>
      </c>
      <c r="N225" s="3" t="s">
        <v>1032</v>
      </c>
      <c r="O225" s="8" t="s">
        <v>1033</v>
      </c>
      <c r="P225" s="3" t="s">
        <v>24</v>
      </c>
      <c r="Q225" s="3" t="s">
        <v>1034</v>
      </c>
      <c r="R225" s="6">
        <v>30000</v>
      </c>
      <c r="S225" s="3" t="s">
        <v>25</v>
      </c>
    </row>
    <row r="226" spans="2:19" x14ac:dyDescent="0.2">
      <c r="K226" s="4" t="str">
        <f>PROPER(TEXT(Tabla8[[#This Row],[FECHA]],"mmm"))</f>
        <v>Feb</v>
      </c>
      <c r="L226" s="5">
        <v>46078</v>
      </c>
      <c r="M226" s="3" t="s">
        <v>37</v>
      </c>
      <c r="N226" s="3" t="s">
        <v>1004</v>
      </c>
      <c r="O226" s="8" t="s">
        <v>1005</v>
      </c>
      <c r="P226" s="3" t="s">
        <v>592</v>
      </c>
      <c r="Q226" s="3" t="s">
        <v>418</v>
      </c>
      <c r="R226" s="6">
        <v>21370</v>
      </c>
      <c r="S226" s="3" t="s">
        <v>25</v>
      </c>
    </row>
    <row r="227" spans="2:19" x14ac:dyDescent="0.2">
      <c r="K227" s="4" t="str">
        <f>PROPER(TEXT(Tabla8[[#This Row],[FECHA]],"mmm"))</f>
        <v>Feb</v>
      </c>
      <c r="L227" s="5">
        <v>46078</v>
      </c>
      <c r="M227" s="3" t="s">
        <v>23</v>
      </c>
      <c r="N227" s="3" t="s">
        <v>1000</v>
      </c>
      <c r="O227" s="8" t="s">
        <v>21</v>
      </c>
      <c r="P227" s="3" t="s">
        <v>22</v>
      </c>
      <c r="Q227" s="3" t="s">
        <v>1001</v>
      </c>
      <c r="R227" s="6">
        <v>20000</v>
      </c>
      <c r="S227" s="3" t="s">
        <v>20</v>
      </c>
    </row>
    <row r="228" spans="2:19" x14ac:dyDescent="0.2">
      <c r="G228" s="7" t="s">
        <v>80</v>
      </c>
      <c r="K228" s="4" t="str">
        <f>PROPER(TEXT(Tabla8[[#This Row],[FECHA]],"mmm"))</f>
        <v>Feb</v>
      </c>
      <c r="L228" s="5">
        <v>46078</v>
      </c>
      <c r="M228" s="3" t="s">
        <v>23</v>
      </c>
      <c r="N228" s="3" t="s">
        <v>994</v>
      </c>
      <c r="O228" s="8" t="s">
        <v>21</v>
      </c>
      <c r="P228" s="3" t="s">
        <v>22</v>
      </c>
      <c r="Q228" s="3" t="s">
        <v>995</v>
      </c>
      <c r="R228" s="6">
        <v>180000</v>
      </c>
      <c r="S228" s="3" t="s">
        <v>20</v>
      </c>
    </row>
    <row r="229" spans="2:19" x14ac:dyDescent="0.2">
      <c r="K229" s="4" t="str">
        <f>PROPER(TEXT(Tabla8[[#This Row],[FECHA]],"mmm"))</f>
        <v>Feb</v>
      </c>
      <c r="L229" s="5">
        <v>46077</v>
      </c>
      <c r="M229" s="3" t="s">
        <v>23</v>
      </c>
      <c r="N229" s="3" t="s">
        <v>1488</v>
      </c>
      <c r="O229" s="8" t="s">
        <v>21</v>
      </c>
      <c r="P229" s="3" t="s">
        <v>22</v>
      </c>
      <c r="Q229" s="3" t="s">
        <v>1489</v>
      </c>
      <c r="R229" s="6">
        <v>84800</v>
      </c>
      <c r="S229" s="3" t="s">
        <v>29</v>
      </c>
    </row>
    <row r="230" spans="2:19" x14ac:dyDescent="0.2">
      <c r="K230" s="4" t="str">
        <f>PROPER(TEXT(Tabla8[[#This Row],[FECHA]],"mmm"))</f>
        <v>Feb</v>
      </c>
      <c r="L230" s="5">
        <v>46077</v>
      </c>
      <c r="M230" s="3" t="s">
        <v>23</v>
      </c>
      <c r="N230" s="3" t="s">
        <v>595</v>
      </c>
      <c r="O230" s="8" t="s">
        <v>21</v>
      </c>
      <c r="P230" s="3" t="s">
        <v>22</v>
      </c>
      <c r="Q230" s="3" t="s">
        <v>54</v>
      </c>
      <c r="R230" s="6">
        <v>10000</v>
      </c>
      <c r="S230" s="3" t="s">
        <v>20</v>
      </c>
    </row>
    <row r="231" spans="2:19" x14ac:dyDescent="0.2">
      <c r="K231" s="4" t="str">
        <f>PROPER(TEXT(Tabla8[[#This Row],[FECHA]],"mmm"))</f>
        <v>Feb</v>
      </c>
      <c r="L231" s="5">
        <v>46076</v>
      </c>
      <c r="M231" s="3" t="s">
        <v>37</v>
      </c>
      <c r="N231" s="3" t="s">
        <v>1495</v>
      </c>
      <c r="O231" s="8" t="s">
        <v>21</v>
      </c>
      <c r="P231" s="3" t="s">
        <v>22</v>
      </c>
      <c r="Q231" s="3" t="s">
        <v>418</v>
      </c>
      <c r="R231" s="6">
        <v>31760</v>
      </c>
      <c r="S231" s="3" t="s">
        <v>25</v>
      </c>
    </row>
    <row r="232" spans="2:19" x14ac:dyDescent="0.2">
      <c r="H232" s="7" t="s">
        <v>80</v>
      </c>
      <c r="K232" s="4" t="str">
        <f>PROPER(TEXT(Tabla8[[#This Row],[FECHA]],"mmm"))</f>
        <v>Feb</v>
      </c>
      <c r="L232" s="5">
        <v>46076</v>
      </c>
      <c r="M232" s="3" t="s">
        <v>23</v>
      </c>
      <c r="N232" s="3" t="s">
        <v>980</v>
      </c>
      <c r="O232" s="8" t="s">
        <v>21</v>
      </c>
      <c r="P232" s="3" t="s">
        <v>22</v>
      </c>
      <c r="Q232" s="3" t="s">
        <v>1483</v>
      </c>
      <c r="R232" s="6">
        <v>7560</v>
      </c>
      <c r="S232" s="3" t="s">
        <v>29</v>
      </c>
    </row>
    <row r="233" spans="2:19" x14ac:dyDescent="0.2">
      <c r="K233" s="4" t="str">
        <f>PROPER(TEXT(Tabla8[[#This Row],[FECHA]],"mmm"))</f>
        <v>Feb</v>
      </c>
      <c r="L233" s="5">
        <v>46076</v>
      </c>
      <c r="M233" s="3" t="s">
        <v>23</v>
      </c>
      <c r="N233" s="3" t="s">
        <v>1007</v>
      </c>
      <c r="O233" s="8" t="s">
        <v>1008</v>
      </c>
      <c r="P233" s="3" t="s">
        <v>24</v>
      </c>
      <c r="Q233" s="3" t="s">
        <v>581</v>
      </c>
      <c r="R233" s="6">
        <v>117000</v>
      </c>
      <c r="S233" s="3" t="s">
        <v>25</v>
      </c>
    </row>
    <row r="234" spans="2:19" x14ac:dyDescent="0.2">
      <c r="K234" s="4" t="str">
        <f>PROPER(TEXT(Tabla8[[#This Row],[FECHA]],"mmm"))</f>
        <v>Feb</v>
      </c>
      <c r="L234" s="5">
        <v>46076</v>
      </c>
      <c r="M234" s="3" t="s">
        <v>39</v>
      </c>
      <c r="N234" s="3" t="s">
        <v>980</v>
      </c>
      <c r="O234" s="8" t="s">
        <v>21</v>
      </c>
      <c r="P234" s="3" t="s">
        <v>411</v>
      </c>
      <c r="Q234" s="3" t="s">
        <v>461</v>
      </c>
      <c r="R234" s="6">
        <v>7560</v>
      </c>
      <c r="S234" s="3" t="s">
        <v>29</v>
      </c>
    </row>
    <row r="235" spans="2:19" x14ac:dyDescent="0.2">
      <c r="K235" s="4" t="str">
        <f>PROPER(TEXT(Tabla8[[#This Row],[FECHA]],"mmm"))</f>
        <v>Feb</v>
      </c>
      <c r="L235" s="5">
        <v>46076</v>
      </c>
      <c r="M235" s="3" t="s">
        <v>39</v>
      </c>
      <c r="N235" s="3" t="s">
        <v>976</v>
      </c>
      <c r="O235" s="8" t="s">
        <v>977</v>
      </c>
      <c r="P235" s="3" t="s">
        <v>411</v>
      </c>
      <c r="Q235" s="3" t="s">
        <v>978</v>
      </c>
      <c r="R235" s="6">
        <v>50000</v>
      </c>
      <c r="S235" s="3" t="s">
        <v>20</v>
      </c>
    </row>
    <row r="236" spans="2:19" x14ac:dyDescent="0.2">
      <c r="K236" s="4" t="str">
        <f>PROPER(TEXT(Tabla8[[#This Row],[FECHA]],"mmm"))</f>
        <v>Feb</v>
      </c>
      <c r="L236" s="5">
        <v>46076</v>
      </c>
      <c r="M236" s="3" t="s">
        <v>39</v>
      </c>
      <c r="N236" s="3" t="s">
        <v>448</v>
      </c>
      <c r="O236" s="8" t="s">
        <v>975</v>
      </c>
      <c r="P236" s="3" t="s">
        <v>411</v>
      </c>
      <c r="Q236" s="3" t="s">
        <v>412</v>
      </c>
      <c r="R236" s="6">
        <v>20000</v>
      </c>
      <c r="S236" s="3" t="s">
        <v>20</v>
      </c>
    </row>
    <row r="237" spans="2:19" ht="14.25" customHeight="1" x14ac:dyDescent="0.2">
      <c r="K237" s="4" t="str">
        <f>PROPER(TEXT(Tabla8[[#This Row],[FECHA]],"mmm"))</f>
        <v>Feb</v>
      </c>
      <c r="L237" s="5">
        <v>46076</v>
      </c>
      <c r="M237" s="3" t="s">
        <v>39</v>
      </c>
      <c r="N237" s="3" t="s">
        <v>973</v>
      </c>
      <c r="O237" s="8" t="s">
        <v>974</v>
      </c>
      <c r="P237" s="3" t="s">
        <v>411</v>
      </c>
      <c r="Q237" s="3" t="s">
        <v>508</v>
      </c>
      <c r="R237" s="6">
        <v>50000</v>
      </c>
      <c r="S237" s="3" t="s">
        <v>20</v>
      </c>
    </row>
    <row r="238" spans="2:19" x14ac:dyDescent="0.2">
      <c r="K238" s="4" t="str">
        <f>PROPER(TEXT(Tabla8[[#This Row],[FECHA]],"mmm"))</f>
        <v>Feb</v>
      </c>
      <c r="L238" s="5">
        <v>46073</v>
      </c>
      <c r="M238" s="3" t="s">
        <v>39</v>
      </c>
      <c r="N238" s="3" t="s">
        <v>451</v>
      </c>
      <c r="O238" s="8" t="s">
        <v>966</v>
      </c>
      <c r="P238" s="3" t="s">
        <v>411</v>
      </c>
      <c r="Q238" s="3" t="s">
        <v>452</v>
      </c>
      <c r="R238" s="6">
        <v>100000</v>
      </c>
      <c r="S238" s="3" t="s">
        <v>20</v>
      </c>
    </row>
    <row r="239" spans="2:19" x14ac:dyDescent="0.2">
      <c r="K239" s="4" t="str">
        <f>PROPER(TEXT(Tabla8[[#This Row],[FECHA]],"mmm"))</f>
        <v>Feb</v>
      </c>
      <c r="L239" s="5">
        <v>46073</v>
      </c>
      <c r="M239" s="3" t="s">
        <v>39</v>
      </c>
      <c r="N239" s="3" t="s">
        <v>964</v>
      </c>
      <c r="O239" s="8" t="s">
        <v>965</v>
      </c>
      <c r="P239" s="3" t="s">
        <v>411</v>
      </c>
      <c r="Q239" s="3" t="s">
        <v>461</v>
      </c>
      <c r="R239" s="6">
        <v>50000</v>
      </c>
      <c r="S239" s="3" t="s">
        <v>29</v>
      </c>
    </row>
    <row r="240" spans="2:19" x14ac:dyDescent="0.2">
      <c r="K240" s="4" t="str">
        <f>PROPER(TEXT(Tabla8[[#This Row],[FECHA]],"mmm"))</f>
        <v>Feb</v>
      </c>
      <c r="L240" s="5">
        <v>46072</v>
      </c>
      <c r="M240" s="3" t="s">
        <v>23</v>
      </c>
      <c r="N240" s="3" t="s">
        <v>1471</v>
      </c>
      <c r="O240" s="8" t="s">
        <v>21</v>
      </c>
      <c r="P240" s="3" t="s">
        <v>22</v>
      </c>
      <c r="Q240" s="3" t="s">
        <v>1472</v>
      </c>
      <c r="R240" s="6">
        <v>120000</v>
      </c>
      <c r="S240" s="3" t="s">
        <v>29</v>
      </c>
    </row>
    <row r="241" spans="11:19" x14ac:dyDescent="0.2">
      <c r="K241" s="4" t="str">
        <f>PROPER(TEXT(Tabla8[[#This Row],[FECHA]],"mmm"))</f>
        <v>Feb</v>
      </c>
      <c r="L241" s="5">
        <v>46072</v>
      </c>
      <c r="M241" s="3" t="s">
        <v>23</v>
      </c>
      <c r="N241" s="3" t="s">
        <v>1468</v>
      </c>
      <c r="O241" s="8" t="s">
        <v>1469</v>
      </c>
      <c r="P241" s="3" t="s">
        <v>24</v>
      </c>
      <c r="Q241" s="3" t="s">
        <v>1470</v>
      </c>
      <c r="R241" s="6">
        <v>768000</v>
      </c>
      <c r="S241" s="3" t="s">
        <v>29</v>
      </c>
    </row>
    <row r="242" spans="11:19" x14ac:dyDescent="0.2">
      <c r="K242" s="4" t="str">
        <f>PROPER(TEXT(Tabla8[[#This Row],[FECHA]],"mmm"))</f>
        <v>Feb</v>
      </c>
      <c r="L242" s="5">
        <v>46072</v>
      </c>
      <c r="M242" s="3" t="s">
        <v>23</v>
      </c>
      <c r="N242" s="3" t="s">
        <v>1467</v>
      </c>
      <c r="O242" s="8" t="s">
        <v>21</v>
      </c>
      <c r="P242" s="3" t="s">
        <v>22</v>
      </c>
      <c r="Q242" s="3" t="s">
        <v>519</v>
      </c>
      <c r="R242" s="6">
        <v>17584</v>
      </c>
      <c r="S242" s="3" t="s">
        <v>25</v>
      </c>
    </row>
    <row r="243" spans="11:19" x14ac:dyDescent="0.2">
      <c r="K243" s="4" t="str">
        <f>PROPER(TEXT(Tabla8[[#This Row],[FECHA]],"mmm"))</f>
        <v>Feb</v>
      </c>
      <c r="L243" s="5">
        <v>46072</v>
      </c>
      <c r="M243" s="3" t="s">
        <v>23</v>
      </c>
      <c r="N243" s="3" t="s">
        <v>1463</v>
      </c>
      <c r="O243" s="8" t="s">
        <v>21</v>
      </c>
      <c r="P243" s="3" t="s">
        <v>22</v>
      </c>
      <c r="Q243" s="3" t="s">
        <v>1464</v>
      </c>
      <c r="R243" s="6">
        <v>74760</v>
      </c>
      <c r="S243" s="3" t="s">
        <v>29</v>
      </c>
    </row>
    <row r="244" spans="11:19" x14ac:dyDescent="0.2">
      <c r="K244" s="4" t="str">
        <f>PROPER(TEXT(Tabla8[[#This Row],[FECHA]],"mmm"))</f>
        <v>Feb</v>
      </c>
      <c r="L244" s="5">
        <v>46072</v>
      </c>
      <c r="M244" s="3" t="s">
        <v>23</v>
      </c>
      <c r="N244" s="3" t="s">
        <v>595</v>
      </c>
      <c r="O244" s="8" t="s">
        <v>21</v>
      </c>
      <c r="P244" s="3" t="s">
        <v>22</v>
      </c>
      <c r="Q244" s="3" t="s">
        <v>54</v>
      </c>
      <c r="R244" s="6">
        <v>7500</v>
      </c>
      <c r="S244" s="3" t="s">
        <v>20</v>
      </c>
    </row>
    <row r="245" spans="11:19" x14ac:dyDescent="0.2">
      <c r="K245" s="4" t="str">
        <f>PROPER(TEXT(Tabla8[[#This Row],[FECHA]],"mmm"))</f>
        <v>Feb</v>
      </c>
      <c r="L245" s="5">
        <v>46072</v>
      </c>
      <c r="M245" s="3" t="s">
        <v>39</v>
      </c>
      <c r="N245" s="3" t="s">
        <v>448</v>
      </c>
      <c r="O245" s="8" t="s">
        <v>944</v>
      </c>
      <c r="P245" s="3" t="s">
        <v>411</v>
      </c>
      <c r="Q245" s="3" t="s">
        <v>412</v>
      </c>
      <c r="R245" s="6">
        <v>20000</v>
      </c>
      <c r="S245" s="3" t="s">
        <v>20</v>
      </c>
    </row>
    <row r="246" spans="11:19" x14ac:dyDescent="0.2">
      <c r="K246" s="4" t="str">
        <f>PROPER(TEXT(Tabla8[[#This Row],[FECHA]],"mmm"))</f>
        <v>Feb</v>
      </c>
      <c r="L246" s="5">
        <v>46072</v>
      </c>
      <c r="M246" s="3" t="s">
        <v>39</v>
      </c>
      <c r="N246" s="3" t="s">
        <v>886</v>
      </c>
      <c r="O246" s="8" t="s">
        <v>943</v>
      </c>
      <c r="P246" s="3" t="s">
        <v>411</v>
      </c>
      <c r="Q246" s="3" t="s">
        <v>888</v>
      </c>
      <c r="R246" s="6">
        <v>50000</v>
      </c>
      <c r="S246" s="3" t="s">
        <v>20</v>
      </c>
    </row>
    <row r="247" spans="11:19" x14ac:dyDescent="0.2">
      <c r="K247" s="4" t="str">
        <f>PROPER(TEXT(Tabla8[[#This Row],[FECHA]],"mmm"))</f>
        <v>Feb</v>
      </c>
      <c r="L247" s="5">
        <v>46071</v>
      </c>
      <c r="M247" s="3" t="s">
        <v>35</v>
      </c>
      <c r="N247" s="3" t="s">
        <v>429</v>
      </c>
      <c r="O247" s="8" t="s">
        <v>1462</v>
      </c>
      <c r="P247" s="3" t="s">
        <v>24</v>
      </c>
      <c r="Q247" s="3" t="s">
        <v>972</v>
      </c>
      <c r="R247" s="6">
        <v>1507359</v>
      </c>
      <c r="S247" s="3" t="s">
        <v>29</v>
      </c>
    </row>
    <row r="248" spans="11:19" x14ac:dyDescent="0.2">
      <c r="K248" s="4" t="str">
        <f>PROPER(TEXT(Tabla8[[#This Row],[FECHA]],"mmm"))</f>
        <v>Feb</v>
      </c>
      <c r="L248" s="5">
        <v>46071</v>
      </c>
      <c r="M248" s="3" t="s">
        <v>35</v>
      </c>
      <c r="N248" s="3" t="s">
        <v>970</v>
      </c>
      <c r="O248" s="8" t="s">
        <v>971</v>
      </c>
      <c r="P248" s="3" t="s">
        <v>24</v>
      </c>
      <c r="Q248" s="3" t="s">
        <v>972</v>
      </c>
      <c r="R248" s="6">
        <v>1507361</v>
      </c>
      <c r="S248" s="3" t="s">
        <v>29</v>
      </c>
    </row>
    <row r="249" spans="11:19" x14ac:dyDescent="0.2">
      <c r="K249" s="4" t="str">
        <f>PROPER(TEXT(Tabla8[[#This Row],[FECHA]],"mmm"))</f>
        <v>Feb</v>
      </c>
      <c r="L249" s="5">
        <v>46071</v>
      </c>
      <c r="M249" s="3" t="s">
        <v>23</v>
      </c>
      <c r="N249" s="3" t="s">
        <v>922</v>
      </c>
      <c r="O249" s="8" t="s">
        <v>923</v>
      </c>
      <c r="P249" s="3" t="s">
        <v>24</v>
      </c>
      <c r="Q249" s="3" t="s">
        <v>924</v>
      </c>
      <c r="R249" s="6">
        <v>81160</v>
      </c>
      <c r="S249" s="3" t="s">
        <v>25</v>
      </c>
    </row>
    <row r="250" spans="11:19" x14ac:dyDescent="0.2">
      <c r="K250" s="4" t="str">
        <f>PROPER(TEXT(Tabla8[[#This Row],[FECHA]],"mmm"))</f>
        <v>Feb</v>
      </c>
      <c r="L250" s="5">
        <v>46071</v>
      </c>
      <c r="M250" s="3" t="s">
        <v>23</v>
      </c>
      <c r="N250" s="3" t="s">
        <v>921</v>
      </c>
      <c r="O250" s="8" t="s">
        <v>919</v>
      </c>
      <c r="P250" s="3" t="s">
        <v>24</v>
      </c>
      <c r="Q250" s="3" t="s">
        <v>920</v>
      </c>
      <c r="R250" s="6">
        <v>60000</v>
      </c>
      <c r="S250" s="3" t="s">
        <v>29</v>
      </c>
    </row>
    <row r="251" spans="11:19" x14ac:dyDescent="0.2">
      <c r="K251" s="4" t="str">
        <f>PROPER(TEXT(Tabla8[[#This Row],[FECHA]],"mmm"))</f>
        <v>Feb</v>
      </c>
      <c r="L251" s="5">
        <v>46071</v>
      </c>
      <c r="M251" s="3" t="s">
        <v>23</v>
      </c>
      <c r="N251" s="3" t="s">
        <v>918</v>
      </c>
      <c r="O251" s="8" t="s">
        <v>919</v>
      </c>
      <c r="P251" s="3" t="s">
        <v>24</v>
      </c>
      <c r="Q251" s="3" t="s">
        <v>920</v>
      </c>
      <c r="R251" s="6">
        <v>6000</v>
      </c>
      <c r="S251" s="3" t="s">
        <v>20</v>
      </c>
    </row>
    <row r="252" spans="11:19" x14ac:dyDescent="0.2">
      <c r="K252" s="4" t="str">
        <f>PROPER(TEXT(Tabla8[[#This Row],[FECHA]],"mmm"))</f>
        <v>Feb</v>
      </c>
      <c r="L252" s="5">
        <v>46070</v>
      </c>
      <c r="M252" s="3" t="s">
        <v>23</v>
      </c>
      <c r="N252" s="3" t="s">
        <v>938</v>
      </c>
      <c r="O252" s="8" t="s">
        <v>21</v>
      </c>
      <c r="P252" s="3" t="s">
        <v>22</v>
      </c>
      <c r="Q252" s="3" t="s">
        <v>1500</v>
      </c>
      <c r="R252" s="6">
        <v>25176</v>
      </c>
      <c r="S252" s="3" t="s">
        <v>25</v>
      </c>
    </row>
    <row r="253" spans="11:19" x14ac:dyDescent="0.2">
      <c r="K253" s="4" t="str">
        <f>PROPER(TEXT(Tabla8[[#This Row],[FECHA]],"mmm"))</f>
        <v>Feb</v>
      </c>
      <c r="L253" s="5">
        <v>46070</v>
      </c>
      <c r="M253" s="3" t="s">
        <v>23</v>
      </c>
      <c r="N253" s="3" t="s">
        <v>1448</v>
      </c>
      <c r="O253" s="8" t="s">
        <v>21</v>
      </c>
      <c r="P253" s="3" t="s">
        <v>22</v>
      </c>
      <c r="Q253" s="3" t="s">
        <v>418</v>
      </c>
      <c r="R253" s="6">
        <v>40000</v>
      </c>
      <c r="S253" s="3" t="s">
        <v>25</v>
      </c>
    </row>
    <row r="254" spans="11:19" x14ac:dyDescent="0.2">
      <c r="K254" s="4" t="str">
        <f>PROPER(TEXT(Tabla8[[#This Row],[FECHA]],"mmm"))</f>
        <v>Feb</v>
      </c>
      <c r="L254" s="5">
        <v>46070</v>
      </c>
      <c r="M254" s="3" t="s">
        <v>23</v>
      </c>
      <c r="N254" s="3" t="s">
        <v>1447</v>
      </c>
      <c r="O254" s="8" t="s">
        <v>21</v>
      </c>
      <c r="P254" s="3" t="s">
        <v>22</v>
      </c>
      <c r="Q254" s="3" t="s">
        <v>868</v>
      </c>
      <c r="R254" s="6">
        <v>137681</v>
      </c>
      <c r="S254" s="3" t="s">
        <v>29</v>
      </c>
    </row>
    <row r="255" spans="11:19" x14ac:dyDescent="0.2">
      <c r="K255" s="4" t="str">
        <f>PROPER(TEXT(Tabla8[[#This Row],[FECHA]],"mmm"))</f>
        <v>Feb</v>
      </c>
      <c r="L255" s="5">
        <v>46070</v>
      </c>
      <c r="M255" s="3" t="s">
        <v>37</v>
      </c>
      <c r="N255" s="3" t="s">
        <v>605</v>
      </c>
      <c r="O255" s="8" t="s">
        <v>941</v>
      </c>
      <c r="P255" s="3" t="s">
        <v>411</v>
      </c>
      <c r="Q255" s="3" t="s">
        <v>418</v>
      </c>
      <c r="R255" s="6">
        <v>14760</v>
      </c>
      <c r="S255" s="3" t="s">
        <v>29</v>
      </c>
    </row>
    <row r="256" spans="11:19" x14ac:dyDescent="0.2">
      <c r="K256" s="4" t="str">
        <f>PROPER(TEXT(Tabla8[[#This Row],[FECHA]],"mmm"))</f>
        <v>Feb</v>
      </c>
      <c r="L256" s="5">
        <v>46070</v>
      </c>
      <c r="M256" s="3" t="s">
        <v>23</v>
      </c>
      <c r="N256" s="3" t="s">
        <v>938</v>
      </c>
      <c r="O256" s="8" t="s">
        <v>939</v>
      </c>
      <c r="P256" s="3" t="s">
        <v>592</v>
      </c>
      <c r="Q256" s="3" t="s">
        <v>940</v>
      </c>
      <c r="R256" s="6">
        <v>20000</v>
      </c>
      <c r="S256" s="3" t="s">
        <v>20</v>
      </c>
    </row>
    <row r="257" spans="11:19" x14ac:dyDescent="0.2">
      <c r="K257" s="4" t="str">
        <f>PROPER(TEXT(Tabla8[[#This Row],[FECHA]],"mmm"))</f>
        <v>Feb</v>
      </c>
      <c r="L257" s="5">
        <v>46070</v>
      </c>
      <c r="M257" s="3" t="s">
        <v>23</v>
      </c>
      <c r="N257" s="3" t="s">
        <v>899</v>
      </c>
      <c r="O257" s="8" t="s">
        <v>21</v>
      </c>
      <c r="P257" s="3" t="s">
        <v>22</v>
      </c>
      <c r="Q257" s="3" t="s">
        <v>914</v>
      </c>
      <c r="R257" s="6">
        <v>3000</v>
      </c>
      <c r="S257" s="3" t="s">
        <v>20</v>
      </c>
    </row>
    <row r="258" spans="11:19" x14ac:dyDescent="0.2">
      <c r="K258" s="4" t="str">
        <f>PROPER(TEXT(Tabla8[[#This Row],[FECHA]],"mmm"))</f>
        <v>Feb</v>
      </c>
      <c r="L258" s="5">
        <v>46070</v>
      </c>
      <c r="M258" s="3" t="s">
        <v>39</v>
      </c>
      <c r="N258" s="3" t="s">
        <v>912</v>
      </c>
      <c r="O258" s="8" t="s">
        <v>21</v>
      </c>
      <c r="P258" s="3" t="s">
        <v>22</v>
      </c>
      <c r="Q258" s="3" t="s">
        <v>913</v>
      </c>
      <c r="R258" s="6">
        <v>20000</v>
      </c>
      <c r="S258" s="3" t="s">
        <v>20</v>
      </c>
    </row>
    <row r="259" spans="11:19" x14ac:dyDescent="0.2">
      <c r="K259" s="4" t="str">
        <f>PROPER(TEXT(Tabla8[[#This Row],[FECHA]],"mmm"))</f>
        <v>Feb</v>
      </c>
      <c r="L259" s="5">
        <v>46070</v>
      </c>
      <c r="M259" s="3" t="s">
        <v>23</v>
      </c>
      <c r="N259" s="3" t="s">
        <v>909</v>
      </c>
      <c r="O259" s="8" t="s">
        <v>910</v>
      </c>
      <c r="P259" s="3" t="s">
        <v>24</v>
      </c>
      <c r="Q259" s="3" t="s">
        <v>911</v>
      </c>
      <c r="R259" s="6">
        <v>62400</v>
      </c>
      <c r="S259" s="3" t="s">
        <v>25</v>
      </c>
    </row>
    <row r="260" spans="11:19" x14ac:dyDescent="0.2">
      <c r="K260" s="4" t="str">
        <f>PROPER(TEXT(Tabla8[[#This Row],[FECHA]],"mmm"))</f>
        <v>Feb</v>
      </c>
      <c r="L260" s="5">
        <v>46070</v>
      </c>
      <c r="M260" s="3" t="s">
        <v>23</v>
      </c>
      <c r="N260" s="3" t="s">
        <v>531</v>
      </c>
      <c r="O260" s="8" t="s">
        <v>908</v>
      </c>
      <c r="P260" s="3" t="s">
        <v>24</v>
      </c>
      <c r="Q260" s="3" t="s">
        <v>533</v>
      </c>
      <c r="R260" s="6">
        <v>96000</v>
      </c>
      <c r="S260" s="3" t="s">
        <v>29</v>
      </c>
    </row>
    <row r="261" spans="11:19" x14ac:dyDescent="0.2">
      <c r="K261" s="4" t="str">
        <f>PROPER(TEXT(Tabla8[[#This Row],[FECHA]],"mmm"))</f>
        <v>Feb</v>
      </c>
      <c r="L261" s="5">
        <v>46070</v>
      </c>
      <c r="M261" s="3" t="s">
        <v>23</v>
      </c>
      <c r="N261" s="3" t="s">
        <v>531</v>
      </c>
      <c r="O261" s="8" t="s">
        <v>907</v>
      </c>
      <c r="P261" s="3" t="s">
        <v>24</v>
      </c>
      <c r="Q261" s="3" t="s">
        <v>533</v>
      </c>
      <c r="R261" s="6">
        <v>418760</v>
      </c>
      <c r="S261" s="3" t="s">
        <v>29</v>
      </c>
    </row>
    <row r="262" spans="11:19" x14ac:dyDescent="0.2">
      <c r="K262" s="4" t="str">
        <f>PROPER(TEXT(Tabla8[[#This Row],[FECHA]],"mmm"))</f>
        <v>Feb</v>
      </c>
      <c r="L262" s="5">
        <v>46070</v>
      </c>
      <c r="M262" s="3" t="s">
        <v>23</v>
      </c>
      <c r="N262" s="3" t="s">
        <v>531</v>
      </c>
      <c r="O262" s="8" t="s">
        <v>906</v>
      </c>
      <c r="P262" s="3" t="s">
        <v>24</v>
      </c>
      <c r="Q262" s="3" t="s">
        <v>533</v>
      </c>
      <c r="R262" s="6">
        <v>43140</v>
      </c>
      <c r="S262" s="3" t="s">
        <v>29</v>
      </c>
    </row>
    <row r="263" spans="11:19" x14ac:dyDescent="0.2">
      <c r="K263" s="4" t="str">
        <f>PROPER(TEXT(Tabla8[[#This Row],[FECHA]],"mmm"))</f>
        <v>Feb</v>
      </c>
      <c r="L263" s="5">
        <v>46070</v>
      </c>
      <c r="M263" s="3" t="s">
        <v>37</v>
      </c>
      <c r="N263" s="3" t="s">
        <v>905</v>
      </c>
      <c r="O263" s="8" t="s">
        <v>904</v>
      </c>
      <c r="P263" s="3" t="s">
        <v>24</v>
      </c>
      <c r="Q263" s="3" t="s">
        <v>415</v>
      </c>
      <c r="R263" s="6">
        <v>21068</v>
      </c>
      <c r="S263" s="3" t="s">
        <v>25</v>
      </c>
    </row>
    <row r="264" spans="11:19" x14ac:dyDescent="0.2">
      <c r="K264" s="4" t="str">
        <f>PROPER(TEXT(Tabla8[[#This Row],[FECHA]],"mmm"))</f>
        <v>Feb</v>
      </c>
      <c r="L264" s="5">
        <v>46069</v>
      </c>
      <c r="M264" s="3" t="s">
        <v>23</v>
      </c>
      <c r="N264" s="3" t="s">
        <v>1460</v>
      </c>
      <c r="O264" s="8" t="s">
        <v>21</v>
      </c>
      <c r="P264" s="3" t="s">
        <v>22</v>
      </c>
      <c r="Q264" s="3" t="s">
        <v>519</v>
      </c>
      <c r="R264" s="6">
        <v>25530</v>
      </c>
      <c r="S264" s="3" t="s">
        <v>29</v>
      </c>
    </row>
    <row r="265" spans="11:19" x14ac:dyDescent="0.2">
      <c r="K265" s="4" t="str">
        <f>PROPER(TEXT(Tabla8[[#This Row],[FECHA]],"mmm"))</f>
        <v>Feb</v>
      </c>
      <c r="L265" s="5">
        <v>46069</v>
      </c>
      <c r="M265" s="3" t="s">
        <v>23</v>
      </c>
      <c r="N265" s="3" t="s">
        <v>1445</v>
      </c>
      <c r="O265" s="8" t="s">
        <v>21</v>
      </c>
      <c r="P265" s="3" t="s">
        <v>22</v>
      </c>
      <c r="Q265" s="3" t="s">
        <v>519</v>
      </c>
      <c r="R265" s="6">
        <v>14530</v>
      </c>
      <c r="S265" s="3" t="s">
        <v>25</v>
      </c>
    </row>
    <row r="266" spans="11:19" x14ac:dyDescent="0.2">
      <c r="K266" s="4" t="str">
        <f>PROPER(TEXT(Tabla8[[#This Row],[FECHA]],"mmm"))</f>
        <v>Feb</v>
      </c>
      <c r="L266" s="5">
        <v>46069</v>
      </c>
      <c r="M266" s="3" t="s">
        <v>23</v>
      </c>
      <c r="N266" s="3" t="s">
        <v>955</v>
      </c>
      <c r="O266" s="8" t="s">
        <v>21</v>
      </c>
      <c r="P266" s="3" t="s">
        <v>22</v>
      </c>
      <c r="Q266" s="3" t="s">
        <v>956</v>
      </c>
      <c r="R266" s="6">
        <v>239200</v>
      </c>
      <c r="S266" s="3" t="s">
        <v>29</v>
      </c>
    </row>
    <row r="267" spans="11:19" x14ac:dyDescent="0.2">
      <c r="K267" s="4" t="str">
        <f>PROPER(TEXT(Tabla8[[#This Row],[FECHA]],"mmm"))</f>
        <v>Feb</v>
      </c>
      <c r="L267" s="5">
        <v>46069</v>
      </c>
      <c r="M267" s="3" t="s">
        <v>39</v>
      </c>
      <c r="N267" s="3" t="s">
        <v>1395</v>
      </c>
      <c r="O267" s="8" t="s">
        <v>21</v>
      </c>
      <c r="P267" s="3" t="s">
        <v>22</v>
      </c>
      <c r="Q267" s="3" t="s">
        <v>412</v>
      </c>
      <c r="R267" s="6">
        <v>195500</v>
      </c>
      <c r="S267" s="3" t="s">
        <v>29</v>
      </c>
    </row>
    <row r="268" spans="11:19" x14ac:dyDescent="0.2">
      <c r="K268" s="4" t="str">
        <f>PROPER(TEXT(Tabla8[[#This Row],[FECHA]],"mmm"))</f>
        <v>Feb</v>
      </c>
      <c r="L268" s="5">
        <v>46069</v>
      </c>
      <c r="M268" s="3" t="s">
        <v>31</v>
      </c>
      <c r="N268" s="3" t="s">
        <v>1388</v>
      </c>
      <c r="O268" s="8" t="s">
        <v>1389</v>
      </c>
      <c r="P268" s="3" t="s">
        <v>24</v>
      </c>
      <c r="Q268" s="3" t="s">
        <v>60</v>
      </c>
      <c r="R268" s="6">
        <v>2094805</v>
      </c>
      <c r="S268" s="3" t="s">
        <v>29</v>
      </c>
    </row>
    <row r="269" spans="11:19" x14ac:dyDescent="0.2">
      <c r="K269" s="4" t="str">
        <f>PROPER(TEXT(Tabla8[[#This Row],[FECHA]],"mmm"))</f>
        <v>Feb</v>
      </c>
      <c r="L269" s="5">
        <v>46069</v>
      </c>
      <c r="M269" s="3" t="s">
        <v>39</v>
      </c>
      <c r="N269" s="3" t="s">
        <v>451</v>
      </c>
      <c r="O269" s="8" t="s">
        <v>942</v>
      </c>
      <c r="P269" s="3" t="s">
        <v>411</v>
      </c>
      <c r="Q269" s="3" t="s">
        <v>452</v>
      </c>
      <c r="R269" s="6">
        <v>50000</v>
      </c>
      <c r="S269" s="3" t="s">
        <v>29</v>
      </c>
    </row>
    <row r="270" spans="11:19" x14ac:dyDescent="0.2">
      <c r="K270" s="4" t="str">
        <f>PROPER(TEXT(Tabla8[[#This Row],[FECHA]],"mmm"))</f>
        <v>Feb</v>
      </c>
      <c r="L270" s="5">
        <v>46069</v>
      </c>
      <c r="M270" s="3" t="s">
        <v>23</v>
      </c>
      <c r="N270" s="3" t="s">
        <v>902</v>
      </c>
      <c r="O270" s="8" t="s">
        <v>903</v>
      </c>
      <c r="P270" s="3" t="s">
        <v>592</v>
      </c>
      <c r="Q270" s="3" t="s">
        <v>901</v>
      </c>
      <c r="R270" s="6">
        <v>2700</v>
      </c>
      <c r="S270" s="3" t="s">
        <v>20</v>
      </c>
    </row>
    <row r="271" spans="11:19" x14ac:dyDescent="0.2">
      <c r="K271" s="4" t="str">
        <f>PROPER(TEXT(Tabla8[[#This Row],[FECHA]],"mmm"))</f>
        <v>Feb</v>
      </c>
      <c r="L271" s="5">
        <v>46069</v>
      </c>
      <c r="M271" s="3" t="s">
        <v>23</v>
      </c>
      <c r="N271" s="3" t="s">
        <v>899</v>
      </c>
      <c r="O271" s="8" t="s">
        <v>900</v>
      </c>
      <c r="P271" s="3" t="s">
        <v>592</v>
      </c>
      <c r="Q271" s="3" t="s">
        <v>901</v>
      </c>
      <c r="R271" s="6">
        <v>2700</v>
      </c>
      <c r="S271" s="3" t="s">
        <v>20</v>
      </c>
    </row>
    <row r="272" spans="11:19" x14ac:dyDescent="0.2">
      <c r="K272" s="4" t="str">
        <f>PROPER(TEXT(Tabla8[[#This Row],[FECHA]],"mmm"))</f>
        <v>Feb</v>
      </c>
      <c r="L272" s="5">
        <v>46069</v>
      </c>
      <c r="M272" s="3" t="s">
        <v>23</v>
      </c>
      <c r="N272" s="3" t="s">
        <v>595</v>
      </c>
      <c r="O272" s="8" t="s">
        <v>21</v>
      </c>
      <c r="P272" s="3" t="s">
        <v>22</v>
      </c>
      <c r="Q272" s="3" t="s">
        <v>54</v>
      </c>
      <c r="R272" s="6">
        <v>10500</v>
      </c>
      <c r="S272" s="3" t="s">
        <v>20</v>
      </c>
    </row>
    <row r="273" spans="11:19" x14ac:dyDescent="0.2">
      <c r="K273" s="4" t="str">
        <f>PROPER(TEXT(Tabla8[[#This Row],[FECHA]],"mmm"))</f>
        <v>Feb</v>
      </c>
      <c r="L273" s="5">
        <v>46066</v>
      </c>
      <c r="M273" s="3" t="s">
        <v>37</v>
      </c>
      <c r="N273" s="3" t="s">
        <v>1501</v>
      </c>
      <c r="O273" s="8" t="s">
        <v>21</v>
      </c>
      <c r="P273" s="3" t="s">
        <v>22</v>
      </c>
      <c r="Q273" s="3" t="s">
        <v>744</v>
      </c>
      <c r="R273" s="6">
        <v>23290</v>
      </c>
      <c r="S273" s="3" t="s">
        <v>25</v>
      </c>
    </row>
    <row r="274" spans="11:19" x14ac:dyDescent="0.2">
      <c r="K274" s="4" t="str">
        <f>PROPER(TEXT(Tabla8[[#This Row],[FECHA]],"mmm"))</f>
        <v>Feb</v>
      </c>
      <c r="L274" s="5">
        <v>46066</v>
      </c>
      <c r="M274" s="3" t="s">
        <v>23</v>
      </c>
      <c r="N274" s="3" t="s">
        <v>1018</v>
      </c>
      <c r="O274" s="8" t="s">
        <v>1019</v>
      </c>
      <c r="P274" s="3" t="s">
        <v>592</v>
      </c>
      <c r="Q274" s="3" t="s">
        <v>924</v>
      </c>
      <c r="R274" s="6">
        <v>142000</v>
      </c>
      <c r="S274" s="3" t="s">
        <v>25</v>
      </c>
    </row>
    <row r="275" spans="11:19" x14ac:dyDescent="0.2">
      <c r="K275" s="4" t="str">
        <f>PROPER(TEXT(Tabla8[[#This Row],[FECHA]],"mmm"))</f>
        <v>Feb</v>
      </c>
      <c r="L275" s="5">
        <v>46066</v>
      </c>
      <c r="M275" s="3" t="s">
        <v>539</v>
      </c>
      <c r="N275" s="3" t="s">
        <v>540</v>
      </c>
      <c r="O275" s="8" t="s">
        <v>1016</v>
      </c>
      <c r="P275" s="3" t="s">
        <v>24</v>
      </c>
      <c r="Q275" s="3" t="s">
        <v>1017</v>
      </c>
      <c r="R275" s="6">
        <v>42001</v>
      </c>
      <c r="S275" s="3" t="s">
        <v>25</v>
      </c>
    </row>
    <row r="276" spans="11:19" x14ac:dyDescent="0.2">
      <c r="K276" s="4" t="str">
        <f>PROPER(TEXT(Tabla8[[#This Row],[FECHA]],"mmm"))</f>
        <v>Feb</v>
      </c>
      <c r="L276" s="5">
        <v>46066</v>
      </c>
      <c r="M276" s="3" t="s">
        <v>23</v>
      </c>
      <c r="N276" s="3" t="s">
        <v>1014</v>
      </c>
      <c r="O276" s="8" t="s">
        <v>1015</v>
      </c>
      <c r="P276" s="3" t="s">
        <v>24</v>
      </c>
      <c r="Q276" s="3" t="s">
        <v>581</v>
      </c>
      <c r="R276" s="6">
        <v>13500</v>
      </c>
      <c r="S276" s="3" t="s">
        <v>25</v>
      </c>
    </row>
    <row r="277" spans="11:19" x14ac:dyDescent="0.2">
      <c r="K277" s="4" t="str">
        <f>PROPER(TEXT(Tabla8[[#This Row],[FECHA]],"mmm"))</f>
        <v>Feb</v>
      </c>
      <c r="L277" s="5">
        <v>46066</v>
      </c>
      <c r="M277" s="3" t="s">
        <v>23</v>
      </c>
      <c r="N277" s="3" t="s">
        <v>1012</v>
      </c>
      <c r="O277" s="8" t="s">
        <v>1013</v>
      </c>
      <c r="P277" s="3" t="s">
        <v>24</v>
      </c>
      <c r="Q277" s="3" t="s">
        <v>473</v>
      </c>
      <c r="R277" s="6">
        <v>89163</v>
      </c>
      <c r="S277" s="3" t="s">
        <v>25</v>
      </c>
    </row>
    <row r="278" spans="11:19" x14ac:dyDescent="0.2">
      <c r="K278" s="4" t="str">
        <f>PROPER(TEXT(Tabla8[[#This Row],[FECHA]],"mmm"))</f>
        <v>Feb</v>
      </c>
      <c r="L278" s="5">
        <v>46066</v>
      </c>
      <c r="M278" s="3" t="s">
        <v>23</v>
      </c>
      <c r="N278" s="3" t="s">
        <v>1009</v>
      </c>
      <c r="O278" s="8" t="s">
        <v>1010</v>
      </c>
      <c r="P278" s="3" t="s">
        <v>24</v>
      </c>
      <c r="Q278" s="3" t="s">
        <v>473</v>
      </c>
      <c r="R278" s="6">
        <v>318920</v>
      </c>
      <c r="S278" s="3" t="s">
        <v>25</v>
      </c>
    </row>
    <row r="279" spans="11:19" x14ac:dyDescent="0.2">
      <c r="K279" s="4" t="str">
        <f>PROPER(TEXT(Tabla8[[#This Row],[FECHA]],"mmm"))</f>
        <v>Feb</v>
      </c>
      <c r="L279" s="5">
        <v>46066</v>
      </c>
      <c r="M279" s="3" t="s">
        <v>35</v>
      </c>
      <c r="N279" s="3" t="s">
        <v>957</v>
      </c>
      <c r="O279" s="8" t="s">
        <v>958</v>
      </c>
      <c r="P279" s="3" t="s">
        <v>24</v>
      </c>
      <c r="Q279" s="3" t="s">
        <v>937</v>
      </c>
      <c r="R279" s="6">
        <v>320229</v>
      </c>
      <c r="S279" s="3" t="s">
        <v>29</v>
      </c>
    </row>
    <row r="280" spans="11:19" x14ac:dyDescent="0.2">
      <c r="K280" s="4" t="str">
        <f>PROPER(TEXT(Tabla8[[#This Row],[FECHA]],"mmm"))</f>
        <v>Feb</v>
      </c>
      <c r="L280" s="5">
        <v>46066</v>
      </c>
      <c r="M280" s="3" t="s">
        <v>23</v>
      </c>
      <c r="N280" s="3" t="s">
        <v>891</v>
      </c>
      <c r="O280" s="8" t="s">
        <v>21</v>
      </c>
      <c r="P280" s="3" t="s">
        <v>22</v>
      </c>
      <c r="Q280" s="3" t="s">
        <v>892</v>
      </c>
      <c r="R280" s="6">
        <v>15000</v>
      </c>
      <c r="S280" s="3" t="s">
        <v>20</v>
      </c>
    </row>
    <row r="281" spans="11:19" x14ac:dyDescent="0.2">
      <c r="K281" s="4" t="str">
        <f>PROPER(TEXT(Tabla8[[#This Row],[FECHA]],"mmm"))</f>
        <v>Feb</v>
      </c>
      <c r="L281" s="5">
        <v>46066</v>
      </c>
      <c r="M281" s="3" t="s">
        <v>23</v>
      </c>
      <c r="N281" s="3" t="s">
        <v>889</v>
      </c>
      <c r="O281" s="8" t="s">
        <v>890</v>
      </c>
      <c r="P281" s="3" t="s">
        <v>24</v>
      </c>
      <c r="Q281" s="3" t="s">
        <v>617</v>
      </c>
      <c r="R281" s="6">
        <v>12680</v>
      </c>
      <c r="S281" s="3" t="s">
        <v>20</v>
      </c>
    </row>
    <row r="282" spans="11:19" x14ac:dyDescent="0.2">
      <c r="K282" s="4" t="str">
        <f>PROPER(TEXT(Tabla8[[#This Row],[FECHA]],"mmm"))</f>
        <v>Feb</v>
      </c>
      <c r="L282" s="5">
        <v>46065</v>
      </c>
      <c r="M282" s="3" t="s">
        <v>23</v>
      </c>
      <c r="N282" s="3" t="s">
        <v>1503</v>
      </c>
      <c r="O282" s="8" t="s">
        <v>21</v>
      </c>
      <c r="P282" s="3" t="s">
        <v>22</v>
      </c>
      <c r="Q282" s="3" t="s">
        <v>924</v>
      </c>
      <c r="R282" s="6">
        <v>21590</v>
      </c>
      <c r="S282" s="3" t="s">
        <v>25</v>
      </c>
    </row>
    <row r="283" spans="11:19" x14ac:dyDescent="0.2">
      <c r="K283" s="4" t="str">
        <f>PROPER(TEXT(Tabla8[[#This Row],[FECHA]],"mmm"))</f>
        <v>Feb</v>
      </c>
      <c r="L283" s="5">
        <v>46065</v>
      </c>
      <c r="M283" s="3" t="s">
        <v>37</v>
      </c>
      <c r="N283" s="3" t="s">
        <v>1334</v>
      </c>
      <c r="O283" s="8" t="s">
        <v>21</v>
      </c>
      <c r="P283" s="3" t="s">
        <v>22</v>
      </c>
      <c r="Q283" s="3" t="s">
        <v>744</v>
      </c>
      <c r="R283" s="6">
        <v>12630</v>
      </c>
      <c r="S283" s="3" t="s">
        <v>25</v>
      </c>
    </row>
    <row r="284" spans="11:19" x14ac:dyDescent="0.2">
      <c r="K284" s="4" t="str">
        <f>PROPER(TEXT(Tabla8[[#This Row],[FECHA]],"mmm"))</f>
        <v>Feb</v>
      </c>
      <c r="L284" s="5">
        <v>46065</v>
      </c>
      <c r="M284" s="3" t="s">
        <v>23</v>
      </c>
      <c r="N284" s="3" t="s">
        <v>1502</v>
      </c>
      <c r="O284" s="8" t="s">
        <v>21</v>
      </c>
      <c r="P284" s="3" t="s">
        <v>22</v>
      </c>
      <c r="Q284" s="3" t="s">
        <v>953</v>
      </c>
      <c r="R284" s="6">
        <v>47106</v>
      </c>
      <c r="S284" s="3" t="s">
        <v>25</v>
      </c>
    </row>
    <row r="285" spans="11:19" x14ac:dyDescent="0.2">
      <c r="K285" s="4" t="str">
        <f>PROPER(TEXT(Tabla8[[#This Row],[FECHA]],"mmm"))</f>
        <v>Feb</v>
      </c>
      <c r="L285" s="5">
        <v>46065</v>
      </c>
      <c r="M285" s="3" t="s">
        <v>23</v>
      </c>
      <c r="N285" s="3" t="s">
        <v>1379</v>
      </c>
      <c r="O285" s="8" t="s">
        <v>21</v>
      </c>
      <c r="P285" s="3" t="s">
        <v>22</v>
      </c>
      <c r="Q285" s="3" t="s">
        <v>1380</v>
      </c>
      <c r="R285" s="6">
        <v>115000</v>
      </c>
      <c r="S285" s="3" t="s">
        <v>29</v>
      </c>
    </row>
    <row r="286" spans="11:19" x14ac:dyDescent="0.2">
      <c r="K286" s="4" t="str">
        <f>PROPER(TEXT(Tabla8[[#This Row],[FECHA]],"mmm"))</f>
        <v>Feb</v>
      </c>
      <c r="L286" s="5">
        <v>46065</v>
      </c>
      <c r="M286" s="3" t="s">
        <v>23</v>
      </c>
      <c r="N286" s="3" t="s">
        <v>1378</v>
      </c>
      <c r="O286" s="8" t="s">
        <v>885</v>
      </c>
      <c r="P286" s="3" t="s">
        <v>22</v>
      </c>
      <c r="Q286" s="3" t="s">
        <v>519</v>
      </c>
      <c r="R286" s="6">
        <v>7084</v>
      </c>
      <c r="S286" s="3" t="s">
        <v>25</v>
      </c>
    </row>
    <row r="287" spans="11:19" x14ac:dyDescent="0.2">
      <c r="K287" s="4" t="str">
        <f>PROPER(TEXT(Tabla8[[#This Row],[FECHA]],"mmm"))</f>
        <v>Feb</v>
      </c>
      <c r="L287" s="5">
        <v>46065</v>
      </c>
      <c r="M287" s="3" t="s">
        <v>57</v>
      </c>
      <c r="N287" s="3" t="s">
        <v>1377</v>
      </c>
      <c r="O287" s="8" t="s">
        <v>676</v>
      </c>
      <c r="P287" s="3" t="s">
        <v>411</v>
      </c>
      <c r="Q287" s="3" t="s">
        <v>805</v>
      </c>
      <c r="R287" s="6">
        <v>828402</v>
      </c>
      <c r="S287" s="3" t="s">
        <v>29</v>
      </c>
    </row>
    <row r="288" spans="11:19" x14ac:dyDescent="0.2">
      <c r="K288" s="4" t="str">
        <f>PROPER(TEXT(Tabla8[[#This Row],[FECHA]],"mmm"))</f>
        <v>Feb</v>
      </c>
      <c r="L288" s="5">
        <v>46065</v>
      </c>
      <c r="M288" s="3" t="s">
        <v>23</v>
      </c>
      <c r="N288" s="3" t="s">
        <v>1376</v>
      </c>
      <c r="O288" s="8" t="s">
        <v>21</v>
      </c>
      <c r="P288" s="3" t="s">
        <v>22</v>
      </c>
      <c r="Q288" s="3" t="s">
        <v>519</v>
      </c>
      <c r="R288" s="6">
        <v>41000</v>
      </c>
      <c r="S288" s="3" t="s">
        <v>25</v>
      </c>
    </row>
    <row r="289" spans="11:19" x14ac:dyDescent="0.2">
      <c r="K289" s="4" t="str">
        <f>PROPER(TEXT(Tabla8[[#This Row],[FECHA]],"mmm"))</f>
        <v>Feb</v>
      </c>
      <c r="L289" s="5">
        <v>46065</v>
      </c>
      <c r="M289" s="3" t="s">
        <v>37</v>
      </c>
      <c r="N289" s="3" t="s">
        <v>605</v>
      </c>
      <c r="O289" s="8" t="s">
        <v>1006</v>
      </c>
      <c r="P289" s="3" t="s">
        <v>411</v>
      </c>
      <c r="Q289" s="3" t="s">
        <v>744</v>
      </c>
      <c r="R289" s="6">
        <v>21710</v>
      </c>
      <c r="S289" s="3" t="s">
        <v>25</v>
      </c>
    </row>
    <row r="290" spans="11:19" x14ac:dyDescent="0.2">
      <c r="K290" s="4" t="str">
        <f>PROPER(TEXT(Tabla8[[#This Row],[FECHA]],"mmm"))</f>
        <v>Feb</v>
      </c>
      <c r="L290" s="5">
        <v>46065</v>
      </c>
      <c r="M290" s="3" t="s">
        <v>23</v>
      </c>
      <c r="N290" s="3" t="s">
        <v>915</v>
      </c>
      <c r="O290" s="8" t="s">
        <v>916</v>
      </c>
      <c r="P290" s="3" t="s">
        <v>24</v>
      </c>
      <c r="Q290" s="3" t="s">
        <v>473</v>
      </c>
      <c r="R290" s="6">
        <v>39556</v>
      </c>
      <c r="S290" s="3" t="s">
        <v>25</v>
      </c>
    </row>
    <row r="291" spans="11:19" x14ac:dyDescent="0.2">
      <c r="K291" s="4" t="str">
        <f>PROPER(TEXT(Tabla8[[#This Row],[FECHA]],"mmm"))</f>
        <v>Feb</v>
      </c>
      <c r="L291" s="5">
        <v>46065</v>
      </c>
      <c r="M291" s="3" t="s">
        <v>39</v>
      </c>
      <c r="N291" s="3" t="s">
        <v>886</v>
      </c>
      <c r="O291" s="8" t="s">
        <v>887</v>
      </c>
      <c r="P291" s="3" t="s">
        <v>411</v>
      </c>
      <c r="Q291" s="3" t="s">
        <v>888</v>
      </c>
      <c r="R291" s="6">
        <v>100000</v>
      </c>
      <c r="S291" s="3" t="s">
        <v>20</v>
      </c>
    </row>
    <row r="292" spans="11:19" x14ac:dyDescent="0.2">
      <c r="K292" s="4" t="str">
        <f>PROPER(TEXT(Tabla8[[#This Row],[FECHA]],"mmm"))</f>
        <v>Feb</v>
      </c>
      <c r="L292" s="5">
        <v>46065</v>
      </c>
      <c r="M292" s="3" t="s">
        <v>23</v>
      </c>
      <c r="N292" s="3" t="s">
        <v>878</v>
      </c>
      <c r="O292" s="8" t="s">
        <v>879</v>
      </c>
      <c r="P292" s="3" t="s">
        <v>24</v>
      </c>
      <c r="Q292" s="3" t="s">
        <v>695</v>
      </c>
      <c r="R292" s="6">
        <v>37780</v>
      </c>
      <c r="S292" s="3" t="s">
        <v>25</v>
      </c>
    </row>
    <row r="293" spans="11:19" x14ac:dyDescent="0.2">
      <c r="K293" s="4" t="str">
        <f>PROPER(TEXT(Tabla8[[#This Row],[FECHA]],"mmm"))</f>
        <v>Feb</v>
      </c>
      <c r="L293" s="5">
        <v>46064</v>
      </c>
      <c r="M293" s="3" t="s">
        <v>23</v>
      </c>
      <c r="N293" s="3" t="s">
        <v>1506</v>
      </c>
      <c r="O293" s="8" t="s">
        <v>21</v>
      </c>
      <c r="P293" s="3" t="s">
        <v>22</v>
      </c>
      <c r="Q293" s="3" t="s">
        <v>1507</v>
      </c>
      <c r="R293" s="6">
        <v>194980</v>
      </c>
      <c r="S293" s="3" t="s">
        <v>25</v>
      </c>
    </row>
    <row r="294" spans="11:19" x14ac:dyDescent="0.2">
      <c r="K294" s="4" t="str">
        <f>PROPER(TEXT(Tabla8[[#This Row],[FECHA]],"mmm"))</f>
        <v>Feb</v>
      </c>
      <c r="L294" s="5">
        <v>46064</v>
      </c>
      <c r="M294" s="3" t="s">
        <v>23</v>
      </c>
      <c r="N294" s="3" t="s">
        <v>1504</v>
      </c>
      <c r="O294" s="8" t="s">
        <v>414</v>
      </c>
      <c r="P294" s="3" t="s">
        <v>24</v>
      </c>
      <c r="Q294" s="3" t="s">
        <v>1505</v>
      </c>
      <c r="R294" s="6">
        <v>44848</v>
      </c>
      <c r="S294" s="3" t="s">
        <v>29</v>
      </c>
    </row>
    <row r="295" spans="11:19" x14ac:dyDescent="0.2">
      <c r="K295" s="4" t="str">
        <f>PROPER(TEXT(Tabla8[[#This Row],[FECHA]],"mmm"))</f>
        <v>Feb</v>
      </c>
      <c r="L295" s="5">
        <v>46064</v>
      </c>
      <c r="M295" s="3" t="s">
        <v>23</v>
      </c>
      <c r="N295" s="3" t="s">
        <v>1369</v>
      </c>
      <c r="O295" s="8" t="s">
        <v>1370</v>
      </c>
      <c r="P295" s="3" t="s">
        <v>24</v>
      </c>
      <c r="Q295" s="3" t="s">
        <v>1371</v>
      </c>
      <c r="R295" s="6">
        <v>35700</v>
      </c>
      <c r="S295" s="3" t="s">
        <v>29</v>
      </c>
    </row>
    <row r="296" spans="11:19" x14ac:dyDescent="0.2">
      <c r="K296" s="4" t="str">
        <f>PROPER(TEXT(Tabla8[[#This Row],[FECHA]],"mmm"))</f>
        <v>Feb</v>
      </c>
      <c r="L296" s="5">
        <v>46064</v>
      </c>
      <c r="M296" s="3" t="s">
        <v>23</v>
      </c>
      <c r="N296" s="3" t="s">
        <v>1367</v>
      </c>
      <c r="O296" s="8" t="s">
        <v>21</v>
      </c>
      <c r="P296" s="3" t="s">
        <v>22</v>
      </c>
      <c r="Q296" s="3" t="s">
        <v>1368</v>
      </c>
      <c r="R296" s="6">
        <v>25000</v>
      </c>
      <c r="S296" s="3" t="s">
        <v>25</v>
      </c>
    </row>
    <row r="297" spans="11:19" x14ac:dyDescent="0.2">
      <c r="K297" s="4" t="str">
        <f>PROPER(TEXT(Tabla8[[#This Row],[FECHA]],"mmm"))</f>
        <v>Feb</v>
      </c>
      <c r="L297" s="5">
        <v>46064</v>
      </c>
      <c r="M297" s="3" t="s">
        <v>23</v>
      </c>
      <c r="N297" s="3" t="s">
        <v>1365</v>
      </c>
      <c r="O297" s="8" t="s">
        <v>1366</v>
      </c>
      <c r="P297" s="3" t="s">
        <v>24</v>
      </c>
      <c r="Q297" s="3" t="s">
        <v>1231</v>
      </c>
      <c r="R297" s="6">
        <v>689941</v>
      </c>
      <c r="S297" s="3" t="s">
        <v>29</v>
      </c>
    </row>
    <row r="298" spans="11:19" x14ac:dyDescent="0.2">
      <c r="K298" s="4" t="str">
        <f>PROPER(TEXT(Tabla8[[#This Row],[FECHA]],"mmm"))</f>
        <v>Feb</v>
      </c>
      <c r="L298" s="5">
        <v>46064</v>
      </c>
      <c r="M298" s="3" t="s">
        <v>23</v>
      </c>
      <c r="N298" s="3" t="s">
        <v>880</v>
      </c>
      <c r="O298" s="8" t="s">
        <v>881</v>
      </c>
      <c r="P298" s="3" t="s">
        <v>24</v>
      </c>
      <c r="Q298" s="3" t="s">
        <v>632</v>
      </c>
      <c r="R298" s="6">
        <v>7370</v>
      </c>
      <c r="S298" s="3" t="s">
        <v>25</v>
      </c>
    </row>
    <row r="299" spans="11:19" x14ac:dyDescent="0.2">
      <c r="K299" s="4" t="str">
        <f>PROPER(TEXT(Tabla8[[#This Row],[FECHA]],"mmm"))</f>
        <v>Feb</v>
      </c>
      <c r="L299" s="5">
        <v>46064</v>
      </c>
      <c r="M299" s="3" t="s">
        <v>23</v>
      </c>
      <c r="N299" s="3" t="s">
        <v>595</v>
      </c>
      <c r="O299" s="8" t="s">
        <v>21</v>
      </c>
      <c r="P299" s="3" t="s">
        <v>411</v>
      </c>
      <c r="Q299" s="3" t="s">
        <v>54</v>
      </c>
      <c r="R299" s="6">
        <v>12000</v>
      </c>
      <c r="S299" s="3" t="s">
        <v>20</v>
      </c>
    </row>
    <row r="300" spans="11:19" x14ac:dyDescent="0.2">
      <c r="K300" s="4" t="str">
        <f>PROPER(TEXT(Tabla8[[#This Row],[FECHA]],"mmm"))</f>
        <v>Feb</v>
      </c>
      <c r="L300" s="5">
        <v>46064</v>
      </c>
      <c r="M300" s="3" t="s">
        <v>23</v>
      </c>
      <c r="N300" s="3" t="s">
        <v>844</v>
      </c>
      <c r="O300" s="8" t="s">
        <v>845</v>
      </c>
      <c r="P300" s="3" t="s">
        <v>24</v>
      </c>
      <c r="Q300" s="3" t="s">
        <v>846</v>
      </c>
      <c r="R300" s="6">
        <v>659900</v>
      </c>
      <c r="S300" s="3" t="s">
        <v>25</v>
      </c>
    </row>
    <row r="301" spans="11:19" x14ac:dyDescent="0.2">
      <c r="K301" s="4" t="str">
        <f>PROPER(TEXT(Tabla8[[#This Row],[FECHA]],"mmm"))</f>
        <v>Feb</v>
      </c>
      <c r="L301" s="5">
        <v>46064</v>
      </c>
      <c r="M301" s="3" t="s">
        <v>539</v>
      </c>
      <c r="N301" s="3" t="s">
        <v>540</v>
      </c>
      <c r="O301" s="8" t="s">
        <v>843</v>
      </c>
      <c r="P301" s="3" t="s">
        <v>592</v>
      </c>
      <c r="Q301" s="3" t="s">
        <v>542</v>
      </c>
      <c r="R301" s="6">
        <v>10000</v>
      </c>
      <c r="S301" s="3" t="s">
        <v>20</v>
      </c>
    </row>
    <row r="302" spans="11:19" x14ac:dyDescent="0.2">
      <c r="K302" s="4" t="str">
        <f>PROPER(TEXT(Tabla8[[#This Row],[FECHA]],"mmm"))</f>
        <v>Feb</v>
      </c>
      <c r="L302" s="5">
        <v>46063</v>
      </c>
      <c r="M302" s="3" t="s">
        <v>23</v>
      </c>
      <c r="N302" s="3" t="s">
        <v>1363</v>
      </c>
      <c r="O302" s="8" t="s">
        <v>1168</v>
      </c>
      <c r="P302" s="3" t="s">
        <v>22</v>
      </c>
      <c r="Q302" s="3" t="s">
        <v>1364</v>
      </c>
      <c r="R302" s="6">
        <v>4300000</v>
      </c>
      <c r="S302" s="3" t="s">
        <v>29</v>
      </c>
    </row>
    <row r="303" spans="11:19" x14ac:dyDescent="0.2">
      <c r="K303" s="4" t="str">
        <f>PROPER(TEXT(Tabla8[[#This Row],[FECHA]],"mmm"))</f>
        <v>Feb</v>
      </c>
      <c r="L303" s="5">
        <v>46063</v>
      </c>
      <c r="M303" s="3" t="s">
        <v>23</v>
      </c>
      <c r="N303" s="3" t="s">
        <v>1361</v>
      </c>
      <c r="O303" s="8" t="s">
        <v>21</v>
      </c>
      <c r="P303" s="3" t="s">
        <v>22</v>
      </c>
      <c r="Q303" s="3" t="s">
        <v>1362</v>
      </c>
      <c r="R303" s="6">
        <v>53000</v>
      </c>
      <c r="S303" s="3" t="s">
        <v>29</v>
      </c>
    </row>
    <row r="304" spans="11:19" x14ac:dyDescent="0.2">
      <c r="K304" s="4" t="str">
        <f>PROPER(TEXT(Tabla8[[#This Row],[FECHA]],"mmm"))</f>
        <v>Feb</v>
      </c>
      <c r="L304" s="5">
        <v>46063</v>
      </c>
      <c r="M304" s="3" t="s">
        <v>31</v>
      </c>
      <c r="N304" s="3" t="s">
        <v>882</v>
      </c>
      <c r="O304" s="8" t="s">
        <v>883</v>
      </c>
      <c r="P304" s="3" t="s">
        <v>24</v>
      </c>
      <c r="Q304" s="3" t="s">
        <v>884</v>
      </c>
      <c r="R304" s="6">
        <v>570000</v>
      </c>
      <c r="S304" s="3" t="s">
        <v>29</v>
      </c>
    </row>
    <row r="305" spans="11:19" x14ac:dyDescent="0.2">
      <c r="K305" s="4" t="str">
        <f>PROPER(TEXT(Tabla8[[#This Row],[FECHA]],"mmm"))</f>
        <v>Feb</v>
      </c>
      <c r="L305" s="5">
        <v>46063</v>
      </c>
      <c r="M305" s="3" t="s">
        <v>23</v>
      </c>
      <c r="N305" s="3" t="s">
        <v>841</v>
      </c>
      <c r="O305" s="8" t="s">
        <v>842</v>
      </c>
      <c r="P305" s="3" t="s">
        <v>24</v>
      </c>
      <c r="Q305" s="3" t="s">
        <v>828</v>
      </c>
      <c r="R305" s="6">
        <v>11234</v>
      </c>
      <c r="S305" s="3" t="s">
        <v>25</v>
      </c>
    </row>
    <row r="306" spans="11:19" x14ac:dyDescent="0.2">
      <c r="K306" s="4" t="str">
        <f>PROPER(TEXT(Tabla8[[#This Row],[FECHA]],"mmm"))</f>
        <v>Feb</v>
      </c>
      <c r="L306" s="5">
        <v>46063</v>
      </c>
      <c r="M306" s="3" t="s">
        <v>23</v>
      </c>
      <c r="N306" s="3" t="s">
        <v>806</v>
      </c>
      <c r="O306" s="8" t="s">
        <v>837</v>
      </c>
      <c r="P306" s="3" t="s">
        <v>24</v>
      </c>
      <c r="Q306" s="3" t="s">
        <v>695</v>
      </c>
      <c r="R306" s="6">
        <v>25894</v>
      </c>
      <c r="S306" s="3" t="s">
        <v>25</v>
      </c>
    </row>
    <row r="307" spans="11:19" x14ac:dyDescent="0.2">
      <c r="K307" s="4" t="str">
        <f>PROPER(TEXT(Tabla8[[#This Row],[FECHA]],"mmm"))</f>
        <v>Feb</v>
      </c>
      <c r="L307" s="5">
        <v>46063</v>
      </c>
      <c r="M307" s="3" t="s">
        <v>23</v>
      </c>
      <c r="N307" s="3" t="s">
        <v>835</v>
      </c>
      <c r="O307" s="8" t="s">
        <v>836</v>
      </c>
      <c r="P307" s="3" t="s">
        <v>24</v>
      </c>
      <c r="Q307" s="3" t="s">
        <v>473</v>
      </c>
      <c r="R307" s="6">
        <v>42840</v>
      </c>
      <c r="S307" s="3" t="s">
        <v>25</v>
      </c>
    </row>
    <row r="308" spans="11:19" x14ac:dyDescent="0.2">
      <c r="K308" s="4" t="str">
        <f>PROPER(TEXT(Tabla8[[#This Row],[FECHA]],"mmm"))</f>
        <v>Feb</v>
      </c>
      <c r="L308" s="5">
        <v>46063</v>
      </c>
      <c r="M308" s="3" t="s">
        <v>39</v>
      </c>
      <c r="N308" s="3" t="s">
        <v>832</v>
      </c>
      <c r="O308" s="8" t="s">
        <v>833</v>
      </c>
      <c r="P308" s="3" t="s">
        <v>411</v>
      </c>
      <c r="Q308" s="3" t="s">
        <v>834</v>
      </c>
      <c r="R308" s="6">
        <v>50000</v>
      </c>
      <c r="S308" s="3" t="s">
        <v>20</v>
      </c>
    </row>
    <row r="309" spans="11:19" x14ac:dyDescent="0.2">
      <c r="K309" s="4" t="str">
        <f>PROPER(TEXT(Tabla8[[#This Row],[FECHA]],"mmm"))</f>
        <v>Feb</v>
      </c>
      <c r="L309" s="5">
        <v>46063</v>
      </c>
      <c r="M309" s="3" t="s">
        <v>23</v>
      </c>
      <c r="N309" s="3" t="s">
        <v>830</v>
      </c>
      <c r="O309" s="8" t="s">
        <v>831</v>
      </c>
      <c r="P309" s="3" t="s">
        <v>24</v>
      </c>
      <c r="Q309" s="3" t="s">
        <v>473</v>
      </c>
      <c r="R309" s="6">
        <v>224360</v>
      </c>
      <c r="S309" s="3" t="s">
        <v>25</v>
      </c>
    </row>
    <row r="310" spans="11:19" x14ac:dyDescent="0.2">
      <c r="K310" s="4" t="str">
        <f>PROPER(TEXT(Tabla8[[#This Row],[FECHA]],"mmm"))</f>
        <v>Feb</v>
      </c>
      <c r="L310" s="5">
        <v>46063</v>
      </c>
      <c r="M310" s="3" t="s">
        <v>23</v>
      </c>
      <c r="N310" s="3" t="s">
        <v>812</v>
      </c>
      <c r="O310" s="8" t="s">
        <v>829</v>
      </c>
      <c r="P310" s="3" t="s">
        <v>24</v>
      </c>
      <c r="Q310" s="3" t="s">
        <v>473</v>
      </c>
      <c r="R310" s="6">
        <v>7140</v>
      </c>
      <c r="S310" s="3" t="s">
        <v>25</v>
      </c>
    </row>
    <row r="311" spans="11:19" x14ac:dyDescent="0.2">
      <c r="K311" s="4" t="str">
        <f>PROPER(TEXT(Tabla8[[#This Row],[FECHA]],"mmm"))</f>
        <v>Feb</v>
      </c>
      <c r="L311" s="5">
        <v>46063</v>
      </c>
      <c r="M311" s="3" t="s">
        <v>23</v>
      </c>
      <c r="N311" s="3" t="s">
        <v>826</v>
      </c>
      <c r="O311" s="8" t="s">
        <v>827</v>
      </c>
      <c r="P311" s="3" t="s">
        <v>24</v>
      </c>
      <c r="Q311" s="3" t="s">
        <v>828</v>
      </c>
      <c r="R311" s="6">
        <v>47957</v>
      </c>
      <c r="S311" s="3" t="s">
        <v>25</v>
      </c>
    </row>
    <row r="312" spans="11:19" x14ac:dyDescent="0.2">
      <c r="K312" s="4" t="str">
        <f>PROPER(TEXT(Tabla8[[#This Row],[FECHA]],"mmm"))</f>
        <v>Feb</v>
      </c>
      <c r="L312" s="5">
        <v>46063</v>
      </c>
      <c r="M312" s="3" t="s">
        <v>37</v>
      </c>
      <c r="N312" s="3" t="s">
        <v>737</v>
      </c>
      <c r="O312" s="8" t="s">
        <v>825</v>
      </c>
      <c r="P312" s="3" t="s">
        <v>411</v>
      </c>
      <c r="Q312" s="3" t="s">
        <v>418</v>
      </c>
      <c r="R312" s="6">
        <v>7010</v>
      </c>
      <c r="S312" s="3" t="s">
        <v>25</v>
      </c>
    </row>
    <row r="313" spans="11:19" x14ac:dyDescent="0.2">
      <c r="K313" s="4" t="str">
        <f>PROPER(TEXT(Tabla8[[#This Row],[FECHA]],"mmm"))</f>
        <v>Feb</v>
      </c>
      <c r="L313" s="5">
        <v>46062</v>
      </c>
      <c r="M313" s="3" t="s">
        <v>47</v>
      </c>
      <c r="N313" s="3" t="s">
        <v>1359</v>
      </c>
      <c r="O313" s="8" t="s">
        <v>1167</v>
      </c>
      <c r="P313" s="3" t="s">
        <v>22</v>
      </c>
      <c r="Q313" s="3" t="s">
        <v>1078</v>
      </c>
      <c r="R313" s="6">
        <v>3000000</v>
      </c>
      <c r="S313" s="3" t="s">
        <v>29</v>
      </c>
    </row>
    <row r="314" spans="11:19" x14ac:dyDescent="0.2">
      <c r="K314" s="4" t="str">
        <f>PROPER(TEXT(Tabla8[[#This Row],[FECHA]],"mmm"))</f>
        <v>Feb</v>
      </c>
      <c r="L314" s="5">
        <v>46062</v>
      </c>
      <c r="M314" s="3" t="s">
        <v>23</v>
      </c>
      <c r="N314" s="3" t="s">
        <v>1323</v>
      </c>
      <c r="O314" s="8" t="s">
        <v>1324</v>
      </c>
      <c r="P314" s="3" t="s">
        <v>411</v>
      </c>
      <c r="Q314" s="3" t="s">
        <v>519</v>
      </c>
      <c r="R314" s="6">
        <v>111690</v>
      </c>
      <c r="S314" s="3" t="s">
        <v>25</v>
      </c>
    </row>
    <row r="315" spans="11:19" x14ac:dyDescent="0.2">
      <c r="K315" s="4" t="str">
        <f>PROPER(TEXT(Tabla8[[#This Row],[FECHA]],"mmm"))</f>
        <v>Feb</v>
      </c>
      <c r="L315" s="5">
        <v>46062</v>
      </c>
      <c r="M315" s="3" t="s">
        <v>23</v>
      </c>
      <c r="N315" s="3" t="s">
        <v>1321</v>
      </c>
      <c r="O315" s="8" t="s">
        <v>1322</v>
      </c>
      <c r="P315" s="3" t="s">
        <v>24</v>
      </c>
      <c r="Q315" s="3" t="s">
        <v>519</v>
      </c>
      <c r="R315" s="6">
        <v>22883</v>
      </c>
      <c r="S315" s="3" t="s">
        <v>25</v>
      </c>
    </row>
    <row r="316" spans="11:19" x14ac:dyDescent="0.2">
      <c r="K316" s="4" t="str">
        <f>PROPER(TEXT(Tabla8[[#This Row],[FECHA]],"mmm"))</f>
        <v>Feb</v>
      </c>
      <c r="L316" s="5">
        <v>46062</v>
      </c>
      <c r="M316" s="3" t="s">
        <v>49</v>
      </c>
      <c r="N316" s="3" t="s">
        <v>1297</v>
      </c>
      <c r="O316" s="8" t="s">
        <v>21</v>
      </c>
      <c r="P316" s="3" t="s">
        <v>411</v>
      </c>
      <c r="Q316" s="3" t="s">
        <v>1298</v>
      </c>
      <c r="R316" s="6">
        <v>1700000</v>
      </c>
      <c r="S316" s="3" t="s">
        <v>29</v>
      </c>
    </row>
    <row r="317" spans="11:19" x14ac:dyDescent="0.2">
      <c r="K317" s="4" t="str">
        <f>PROPER(TEXT(Tabla8[[#This Row],[FECHA]],"mmm"))</f>
        <v>Feb</v>
      </c>
      <c r="L317" s="5">
        <v>46062</v>
      </c>
      <c r="M317" s="3" t="s">
        <v>37</v>
      </c>
      <c r="N317" s="3" t="s">
        <v>435</v>
      </c>
      <c r="O317" s="8" t="s">
        <v>793</v>
      </c>
      <c r="P317" s="3" t="s">
        <v>24</v>
      </c>
      <c r="Q317" s="3" t="s">
        <v>418</v>
      </c>
      <c r="R317" s="6">
        <v>66490</v>
      </c>
      <c r="S317" s="3" t="s">
        <v>25</v>
      </c>
    </row>
    <row r="318" spans="11:19" x14ac:dyDescent="0.2">
      <c r="K318" s="4" t="str">
        <f>PROPER(TEXT(Tabla8[[#This Row],[FECHA]],"mmm"))</f>
        <v>Feb</v>
      </c>
      <c r="L318" s="5">
        <v>46060</v>
      </c>
      <c r="M318" s="3" t="s">
        <v>39</v>
      </c>
      <c r="N318" s="3" t="s">
        <v>129</v>
      </c>
      <c r="O318" s="8" t="s">
        <v>960</v>
      </c>
      <c r="P318" s="3" t="s">
        <v>411</v>
      </c>
      <c r="Q318" s="3" t="s">
        <v>452</v>
      </c>
      <c r="R318" s="6">
        <v>100000</v>
      </c>
      <c r="S318" s="3" t="s">
        <v>20</v>
      </c>
    </row>
    <row r="319" spans="11:19" x14ac:dyDescent="0.2">
      <c r="K319" s="4" t="str">
        <f>PROPER(TEXT(Tabla8[[#This Row],[FECHA]],"mmm"))</f>
        <v>Feb</v>
      </c>
      <c r="L319" s="5">
        <v>46059</v>
      </c>
      <c r="M319" s="3" t="s">
        <v>35</v>
      </c>
      <c r="N319" s="3" t="s">
        <v>1418</v>
      </c>
      <c r="O319" s="8" t="s">
        <v>1508</v>
      </c>
      <c r="P319" s="3" t="s">
        <v>24</v>
      </c>
      <c r="Q319" s="3" t="s">
        <v>431</v>
      </c>
      <c r="R319" s="6">
        <v>1283415</v>
      </c>
      <c r="S319" s="3" t="s">
        <v>29</v>
      </c>
    </row>
    <row r="320" spans="11:19" x14ac:dyDescent="0.2">
      <c r="K320" s="4" t="str">
        <f>PROPER(TEXT(Tabla8[[#This Row],[FECHA]],"mmm"))</f>
        <v>Feb</v>
      </c>
      <c r="L320" s="5">
        <v>46059</v>
      </c>
      <c r="M320" s="3" t="s">
        <v>37</v>
      </c>
      <c r="N320" s="3" t="s">
        <v>1318</v>
      </c>
      <c r="O320" s="8" t="s">
        <v>1319</v>
      </c>
      <c r="P320" s="3" t="s">
        <v>24</v>
      </c>
      <c r="Q320" s="3" t="s">
        <v>478</v>
      </c>
      <c r="R320" s="6">
        <v>411069</v>
      </c>
      <c r="S320" s="3" t="s">
        <v>29</v>
      </c>
    </row>
    <row r="321" spans="11:19" x14ac:dyDescent="0.2">
      <c r="K321" s="4" t="str">
        <f>PROPER(TEXT(Tabla8[[#This Row],[FECHA]],"mmm"))</f>
        <v>Feb</v>
      </c>
      <c r="L321" s="5">
        <v>46059</v>
      </c>
      <c r="M321" s="3" t="s">
        <v>23</v>
      </c>
      <c r="N321" s="3" t="s">
        <v>1315</v>
      </c>
      <c r="O321" s="8" t="s">
        <v>21</v>
      </c>
      <c r="P321" s="3" t="s">
        <v>22</v>
      </c>
      <c r="Q321" s="3" t="s">
        <v>519</v>
      </c>
      <c r="R321" s="6">
        <v>14124</v>
      </c>
      <c r="S321" s="3" t="s">
        <v>25</v>
      </c>
    </row>
    <row r="322" spans="11:19" x14ac:dyDescent="0.2">
      <c r="K322" s="4" t="str">
        <f>PROPER(TEXT(Tabla8[[#This Row],[FECHA]],"mmm"))</f>
        <v>Feb</v>
      </c>
      <c r="L322" s="5">
        <v>46059</v>
      </c>
      <c r="M322" s="3" t="s">
        <v>23</v>
      </c>
      <c r="N322" s="3" t="s">
        <v>875</v>
      </c>
      <c r="O322" s="8" t="s">
        <v>876</v>
      </c>
      <c r="P322" s="3" t="s">
        <v>24</v>
      </c>
      <c r="Q322" s="3" t="s">
        <v>877</v>
      </c>
      <c r="R322" s="6">
        <v>927486</v>
      </c>
      <c r="S322" s="3" t="s">
        <v>29</v>
      </c>
    </row>
    <row r="323" spans="11:19" x14ac:dyDescent="0.2">
      <c r="K323" s="4" t="str">
        <f>PROPER(TEXT(Tabla8[[#This Row],[FECHA]],"mmm"))</f>
        <v>Feb</v>
      </c>
      <c r="L323" s="5">
        <v>46058</v>
      </c>
      <c r="M323" s="3" t="s">
        <v>23</v>
      </c>
      <c r="N323" s="3" t="s">
        <v>938</v>
      </c>
      <c r="O323" s="8" t="s">
        <v>21</v>
      </c>
      <c r="P323" s="3" t="s">
        <v>22</v>
      </c>
      <c r="Q323" s="3" t="s">
        <v>1515</v>
      </c>
      <c r="R323" s="6">
        <v>527431</v>
      </c>
      <c r="S323" s="3" t="s">
        <v>25</v>
      </c>
    </row>
    <row r="324" spans="11:19" x14ac:dyDescent="0.2">
      <c r="K324" s="4" t="str">
        <f>PROPER(TEXT(Tabla8[[#This Row],[FECHA]],"mmm"))</f>
        <v>Feb</v>
      </c>
      <c r="L324" s="5">
        <v>46058</v>
      </c>
      <c r="M324" s="3" t="s">
        <v>23</v>
      </c>
      <c r="N324" s="3" t="s">
        <v>1513</v>
      </c>
      <c r="O324" s="8" t="s">
        <v>21</v>
      </c>
      <c r="P324" s="3" t="s">
        <v>22</v>
      </c>
      <c r="Q324" s="3" t="s">
        <v>1514</v>
      </c>
      <c r="R324" s="6">
        <v>250000</v>
      </c>
      <c r="S324" s="3" t="s">
        <v>29</v>
      </c>
    </row>
    <row r="325" spans="11:19" x14ac:dyDescent="0.2">
      <c r="K325" s="4" t="str">
        <f>PROPER(TEXT(Tabla8[[#This Row],[FECHA]],"mmm"))</f>
        <v>Feb</v>
      </c>
      <c r="L325" s="5">
        <v>46058</v>
      </c>
      <c r="M325" s="3" t="s">
        <v>37</v>
      </c>
      <c r="N325" s="3" t="s">
        <v>1511</v>
      </c>
      <c r="O325" s="8" t="s">
        <v>1512</v>
      </c>
      <c r="P325" s="3" t="s">
        <v>24</v>
      </c>
      <c r="Q325" s="3" t="s">
        <v>478</v>
      </c>
      <c r="R325" s="6">
        <v>57867</v>
      </c>
      <c r="S325" s="3" t="s">
        <v>29</v>
      </c>
    </row>
    <row r="326" spans="11:19" x14ac:dyDescent="0.2">
      <c r="K326" s="4" t="str">
        <f>PROPER(TEXT(Tabla8[[#This Row],[FECHA]],"mmm"))</f>
        <v>Feb</v>
      </c>
      <c r="L326" s="5">
        <v>46058</v>
      </c>
      <c r="M326" s="3" t="s">
        <v>23</v>
      </c>
      <c r="N326" s="3" t="s">
        <v>1509</v>
      </c>
      <c r="O326" s="8" t="s">
        <v>1510</v>
      </c>
      <c r="P326" s="3" t="s">
        <v>24</v>
      </c>
      <c r="Q326" s="3" t="s">
        <v>473</v>
      </c>
      <c r="R326" s="6">
        <v>76722</v>
      </c>
      <c r="S326" s="3" t="s">
        <v>25</v>
      </c>
    </row>
    <row r="327" spans="11:19" x14ac:dyDescent="0.2">
      <c r="K327" s="4" t="str">
        <f>PROPER(TEXT(Tabla8[[#This Row],[FECHA]],"mmm"))</f>
        <v>Feb</v>
      </c>
      <c r="L327" s="5">
        <v>46058</v>
      </c>
      <c r="M327" s="3" t="s">
        <v>23</v>
      </c>
      <c r="N327" s="3" t="s">
        <v>1309</v>
      </c>
      <c r="O327" s="8" t="s">
        <v>21</v>
      </c>
      <c r="P327" s="3" t="s">
        <v>411</v>
      </c>
      <c r="Q327" s="3" t="s">
        <v>1129</v>
      </c>
      <c r="R327" s="6">
        <v>16587</v>
      </c>
      <c r="S327" s="3" t="s">
        <v>25</v>
      </c>
    </row>
    <row r="328" spans="11:19" x14ac:dyDescent="0.2">
      <c r="K328" s="4" t="str">
        <f>PROPER(TEXT(Tabla8[[#This Row],[FECHA]],"mmm"))</f>
        <v>Feb</v>
      </c>
      <c r="L328" s="5">
        <v>46058</v>
      </c>
      <c r="M328" s="3" t="s">
        <v>23</v>
      </c>
      <c r="N328" s="3" t="s">
        <v>1308</v>
      </c>
      <c r="O328" s="8" t="s">
        <v>21</v>
      </c>
      <c r="P328" s="3" t="s">
        <v>22</v>
      </c>
      <c r="Q328" s="3" t="s">
        <v>574</v>
      </c>
      <c r="R328" s="6">
        <v>600000</v>
      </c>
      <c r="S328" s="3" t="s">
        <v>29</v>
      </c>
    </row>
    <row r="329" spans="11:19" x14ac:dyDescent="0.2">
      <c r="K329" s="4" t="str">
        <f>PROPER(TEXT(Tabla8[[#This Row],[FECHA]],"mmm"))</f>
        <v>Feb</v>
      </c>
      <c r="L329" s="5">
        <v>46057</v>
      </c>
      <c r="M329" s="3" t="s">
        <v>35</v>
      </c>
      <c r="N329" s="3" t="s">
        <v>1516</v>
      </c>
      <c r="O329" s="8" t="s">
        <v>414</v>
      </c>
      <c r="P329" s="3" t="s">
        <v>24</v>
      </c>
      <c r="Q329" s="3" t="s">
        <v>937</v>
      </c>
      <c r="R329" s="6">
        <v>404241</v>
      </c>
      <c r="S329" s="3" t="s">
        <v>29</v>
      </c>
    </row>
    <row r="330" spans="11:19" x14ac:dyDescent="0.2">
      <c r="K330" s="4" t="str">
        <f>PROPER(TEXT(Tabla8[[#This Row],[FECHA]],"mmm"))</f>
        <v>Feb</v>
      </c>
      <c r="L330" s="5">
        <v>46057</v>
      </c>
      <c r="M330" s="3" t="s">
        <v>23</v>
      </c>
      <c r="N330" s="3" t="s">
        <v>959</v>
      </c>
      <c r="O330" s="8" t="s">
        <v>1307</v>
      </c>
      <c r="P330" s="3" t="s">
        <v>24</v>
      </c>
      <c r="Q330" s="3" t="s">
        <v>533</v>
      </c>
      <c r="R330" s="6">
        <v>309600</v>
      </c>
      <c r="S330" s="3" t="s">
        <v>29</v>
      </c>
    </row>
    <row r="331" spans="11:19" x14ac:dyDescent="0.2">
      <c r="K331" s="4" t="str">
        <f>PROPER(TEXT(Tabla8[[#This Row],[FECHA]],"mmm"))</f>
        <v>Feb</v>
      </c>
      <c r="L331" s="5">
        <v>46057</v>
      </c>
      <c r="M331" s="3" t="s">
        <v>23</v>
      </c>
      <c r="N331" s="3" t="s">
        <v>1303</v>
      </c>
      <c r="O331" s="8" t="s">
        <v>21</v>
      </c>
      <c r="P331" s="3" t="s">
        <v>411</v>
      </c>
      <c r="Q331" s="3" t="s">
        <v>924</v>
      </c>
      <c r="R331" s="6">
        <v>225149</v>
      </c>
      <c r="S331" s="3" t="s">
        <v>29</v>
      </c>
    </row>
    <row r="332" spans="11:19" x14ac:dyDescent="0.2">
      <c r="K332" s="4" t="str">
        <f>PROPER(TEXT(Tabla8[[#This Row],[FECHA]],"mmm"))</f>
        <v>Feb</v>
      </c>
      <c r="L332" s="5">
        <v>46057</v>
      </c>
      <c r="M332" s="3" t="s">
        <v>46</v>
      </c>
      <c r="N332" s="3" t="s">
        <v>735</v>
      </c>
      <c r="O332" s="8" t="s">
        <v>736</v>
      </c>
      <c r="P332" s="3" t="s">
        <v>24</v>
      </c>
      <c r="Q332" s="3" t="s">
        <v>533</v>
      </c>
      <c r="R332" s="6">
        <v>112000</v>
      </c>
      <c r="S332" s="3" t="s">
        <v>29</v>
      </c>
    </row>
    <row r="333" spans="11:19" x14ac:dyDescent="0.2">
      <c r="K333" s="4" t="str">
        <f>PROPER(TEXT(Tabla8[[#This Row],[FECHA]],"mmm"))</f>
        <v>Feb</v>
      </c>
      <c r="L333" s="5">
        <v>46057</v>
      </c>
      <c r="M333" s="3" t="s">
        <v>37</v>
      </c>
      <c r="N333" s="3" t="s">
        <v>476</v>
      </c>
      <c r="O333" s="8" t="s">
        <v>696</v>
      </c>
      <c r="P333" s="3" t="s">
        <v>411</v>
      </c>
      <c r="Q333" s="3" t="s">
        <v>478</v>
      </c>
      <c r="R333" s="6">
        <v>27467</v>
      </c>
      <c r="S333" s="3" t="s">
        <v>29</v>
      </c>
    </row>
    <row r="334" spans="11:19" x14ac:dyDescent="0.2">
      <c r="K334" s="4" t="str">
        <f>PROPER(TEXT(Tabla8[[#This Row],[FECHA]],"mmm"))</f>
        <v>Feb</v>
      </c>
      <c r="L334" s="5">
        <v>46057</v>
      </c>
      <c r="M334" s="3" t="s">
        <v>31</v>
      </c>
      <c r="N334" s="3" t="s">
        <v>691</v>
      </c>
      <c r="O334" s="8" t="s">
        <v>694</v>
      </c>
      <c r="P334" s="3" t="s">
        <v>24</v>
      </c>
      <c r="Q334" s="3" t="s">
        <v>695</v>
      </c>
      <c r="R334" s="6">
        <v>17002</v>
      </c>
      <c r="S334" s="3" t="s">
        <v>25</v>
      </c>
    </row>
    <row r="335" spans="11:19" x14ac:dyDescent="0.2">
      <c r="K335" s="4" t="str">
        <f>PROPER(TEXT(Tabla8[[#This Row],[FECHA]],"mmm"))</f>
        <v>Feb</v>
      </c>
      <c r="L335" s="5">
        <v>46057</v>
      </c>
      <c r="M335" s="3" t="s">
        <v>31</v>
      </c>
      <c r="N335" s="3" t="s">
        <v>691</v>
      </c>
      <c r="O335" s="8" t="s">
        <v>692</v>
      </c>
      <c r="P335" s="3" t="s">
        <v>24</v>
      </c>
      <c r="Q335" s="3" t="s">
        <v>693</v>
      </c>
      <c r="R335" s="6">
        <v>6000</v>
      </c>
      <c r="S335" s="3" t="s">
        <v>20</v>
      </c>
    </row>
    <row r="336" spans="11:19" x14ac:dyDescent="0.2">
      <c r="K336" s="4" t="str">
        <f>PROPER(TEXT(Tabla8[[#This Row],[FECHA]],"mmm"))</f>
        <v>Feb</v>
      </c>
      <c r="L336" s="5">
        <v>46057</v>
      </c>
      <c r="M336" s="3" t="s">
        <v>23</v>
      </c>
      <c r="N336" s="3" t="s">
        <v>689</v>
      </c>
      <c r="O336" s="8" t="s">
        <v>21</v>
      </c>
      <c r="P336" s="3" t="s">
        <v>22</v>
      </c>
      <c r="Q336" s="3" t="s">
        <v>690</v>
      </c>
      <c r="R336" s="6">
        <v>30000</v>
      </c>
      <c r="S336" s="3" t="s">
        <v>20</v>
      </c>
    </row>
    <row r="337" spans="11:19" x14ac:dyDescent="0.2">
      <c r="K337" s="4" t="str">
        <f>PROPER(TEXT(Tabla8[[#This Row],[FECHA]],"mmm"))</f>
        <v>Feb</v>
      </c>
      <c r="L337" s="5">
        <v>46056</v>
      </c>
      <c r="M337" s="3" t="s">
        <v>23</v>
      </c>
      <c r="N337" s="3" t="s">
        <v>1519</v>
      </c>
      <c r="O337" s="8" t="s">
        <v>1520</v>
      </c>
      <c r="P337" s="3" t="s">
        <v>24</v>
      </c>
      <c r="Q337" s="3" t="s">
        <v>473</v>
      </c>
      <c r="R337" s="6">
        <v>235645</v>
      </c>
      <c r="S337" s="3" t="s">
        <v>25</v>
      </c>
    </row>
    <row r="338" spans="11:19" x14ac:dyDescent="0.2">
      <c r="K338" s="4" t="str">
        <f>PROPER(TEXT(Tabla8[[#This Row],[FECHA]],"mmm"))</f>
        <v>Feb</v>
      </c>
      <c r="L338" s="5">
        <v>46056</v>
      </c>
      <c r="M338" s="3" t="s">
        <v>23</v>
      </c>
      <c r="N338" s="3" t="s">
        <v>1517</v>
      </c>
      <c r="O338" s="8" t="s">
        <v>414</v>
      </c>
      <c r="P338" s="3" t="s">
        <v>24</v>
      </c>
      <c r="Q338" s="3" t="s">
        <v>1518</v>
      </c>
      <c r="R338" s="6">
        <v>93908</v>
      </c>
      <c r="S338" s="3" t="s">
        <v>25</v>
      </c>
    </row>
    <row r="339" spans="11:19" x14ac:dyDescent="0.2">
      <c r="K339" s="4" t="str">
        <f>PROPER(TEXT(Tabla8[[#This Row],[FECHA]],"mmm"))</f>
        <v>Feb</v>
      </c>
      <c r="L339" s="5">
        <v>46056</v>
      </c>
      <c r="M339" s="3" t="s">
        <v>35</v>
      </c>
      <c r="N339" s="3" t="s">
        <v>1300</v>
      </c>
      <c r="O339" s="8" t="s">
        <v>1301</v>
      </c>
      <c r="P339" s="3" t="s">
        <v>24</v>
      </c>
      <c r="Q339" s="3" t="s">
        <v>639</v>
      </c>
      <c r="R339" s="6">
        <v>571200</v>
      </c>
      <c r="S339" s="3" t="s">
        <v>29</v>
      </c>
    </row>
    <row r="340" spans="11:19" x14ac:dyDescent="0.2">
      <c r="K340" s="4" t="str">
        <f>PROPER(TEXT(Tabla8[[#This Row],[FECHA]],"mmm"))</f>
        <v>Feb</v>
      </c>
      <c r="L340" s="5">
        <v>46056</v>
      </c>
      <c r="M340" s="3" t="s">
        <v>39</v>
      </c>
      <c r="N340" s="3" t="s">
        <v>819</v>
      </c>
      <c r="O340" s="8" t="s">
        <v>820</v>
      </c>
      <c r="P340" s="3" t="s">
        <v>411</v>
      </c>
      <c r="Q340" s="3" t="s">
        <v>508</v>
      </c>
      <c r="R340" s="6">
        <v>370000</v>
      </c>
      <c r="S340" s="3" t="s">
        <v>29</v>
      </c>
    </row>
    <row r="341" spans="11:19" x14ac:dyDescent="0.2">
      <c r="K341" s="4" t="str">
        <f>PROPER(TEXT(Tabla8[[#This Row],[FECHA]],"mmm"))</f>
        <v>Feb</v>
      </c>
      <c r="L341" s="5">
        <v>46055</v>
      </c>
      <c r="M341" s="3" t="s">
        <v>23</v>
      </c>
      <c r="N341" s="3" t="s">
        <v>823</v>
      </c>
      <c r="O341" s="8" t="s">
        <v>21</v>
      </c>
      <c r="P341" s="3" t="s">
        <v>24</v>
      </c>
      <c r="Q341" s="3" t="s">
        <v>466</v>
      </c>
      <c r="R341" s="6">
        <v>49469</v>
      </c>
      <c r="S341" s="3" t="s">
        <v>25</v>
      </c>
    </row>
    <row r="342" spans="11:19" x14ac:dyDescent="0.2">
      <c r="K342" s="4" t="str">
        <f>PROPER(TEXT(Tabla8[[#This Row],[FECHA]],"mmm"))</f>
        <v>Feb</v>
      </c>
      <c r="L342" s="5">
        <v>46055</v>
      </c>
      <c r="M342" s="3" t="s">
        <v>23</v>
      </c>
      <c r="N342" s="3" t="s">
        <v>1254</v>
      </c>
      <c r="O342" s="8" t="s">
        <v>1255</v>
      </c>
      <c r="P342" s="3" t="s">
        <v>24</v>
      </c>
      <c r="Q342" s="3" t="s">
        <v>483</v>
      </c>
      <c r="R342" s="6">
        <v>159508</v>
      </c>
      <c r="S342" s="3" t="s">
        <v>29</v>
      </c>
    </row>
    <row r="343" spans="11:19" x14ac:dyDescent="0.2">
      <c r="K343" s="4" t="str">
        <f>PROPER(TEXT(Tabla8[[#This Row],[FECHA]],"mmm"))</f>
        <v>Feb</v>
      </c>
      <c r="L343" s="5">
        <v>46055</v>
      </c>
      <c r="M343" s="3" t="s">
        <v>37</v>
      </c>
      <c r="N343" s="3" t="s">
        <v>737</v>
      </c>
      <c r="O343" s="8" t="s">
        <v>738</v>
      </c>
      <c r="P343" s="3" t="s">
        <v>592</v>
      </c>
      <c r="Q343" s="3" t="s">
        <v>418</v>
      </c>
      <c r="R343" s="6">
        <v>9000</v>
      </c>
      <c r="S343" s="3" t="s">
        <v>25</v>
      </c>
    </row>
    <row r="344" spans="11:19" x14ac:dyDescent="0.2">
      <c r="K344" s="4" t="str">
        <f>PROPER(TEXT(Tabla8[[#This Row],[FECHA]],"mmm"))</f>
        <v>Ene</v>
      </c>
      <c r="L344" s="5">
        <v>46053</v>
      </c>
      <c r="M344" s="3" t="s">
        <v>51</v>
      </c>
      <c r="N344" s="3" t="s">
        <v>1022</v>
      </c>
      <c r="O344" s="8" t="s">
        <v>681</v>
      </c>
      <c r="P344" s="3" t="s">
        <v>411</v>
      </c>
      <c r="Q344" s="3" t="s">
        <v>860</v>
      </c>
      <c r="R344" s="6">
        <v>1300000</v>
      </c>
      <c r="S344" s="3" t="s">
        <v>29</v>
      </c>
    </row>
    <row r="345" spans="11:19" x14ac:dyDescent="0.2">
      <c r="K345" s="4" t="str">
        <f>PROPER(TEXT(Tabla8[[#This Row],[FECHA]],"mmm"))</f>
        <v>Ene</v>
      </c>
      <c r="L345" s="5">
        <v>46052</v>
      </c>
      <c r="M345" s="3" t="s">
        <v>23</v>
      </c>
      <c r="N345" s="3" t="s">
        <v>823</v>
      </c>
      <c r="O345" s="8" t="s">
        <v>414</v>
      </c>
      <c r="P345" s="3" t="s">
        <v>22</v>
      </c>
      <c r="Q345" s="3" t="s">
        <v>466</v>
      </c>
      <c r="R345" s="6">
        <v>1060917</v>
      </c>
      <c r="S345" s="3" t="s">
        <v>25</v>
      </c>
    </row>
    <row r="346" spans="11:19" x14ac:dyDescent="0.2">
      <c r="K346" s="4" t="str">
        <f>PROPER(TEXT(Tabla8[[#This Row],[FECHA]],"mmm"))</f>
        <v>Ene</v>
      </c>
      <c r="L346" s="5">
        <v>46052</v>
      </c>
      <c r="M346" s="3" t="s">
        <v>51</v>
      </c>
      <c r="N346" s="3" t="s">
        <v>1031</v>
      </c>
      <c r="O346" s="8" t="s">
        <v>676</v>
      </c>
      <c r="P346" s="3" t="s">
        <v>22</v>
      </c>
      <c r="Q346" s="3" t="s">
        <v>888</v>
      </c>
      <c r="R346" s="6">
        <v>700000</v>
      </c>
      <c r="S346" s="3" t="s">
        <v>20</v>
      </c>
    </row>
    <row r="347" spans="11:19" x14ac:dyDescent="0.2">
      <c r="K347" s="4" t="str">
        <f>PROPER(TEXT(Tabla8[[#This Row],[FECHA]],"mmm"))</f>
        <v>Ene</v>
      </c>
      <c r="L347" s="5">
        <v>46052</v>
      </c>
      <c r="M347" s="3" t="s">
        <v>51</v>
      </c>
      <c r="N347" s="3" t="s">
        <v>1029</v>
      </c>
      <c r="O347" s="8" t="s">
        <v>1030</v>
      </c>
      <c r="P347" s="3" t="s">
        <v>411</v>
      </c>
      <c r="Q347" s="3" t="s">
        <v>412</v>
      </c>
      <c r="R347" s="6">
        <v>232000</v>
      </c>
      <c r="S347" s="3" t="s">
        <v>20</v>
      </c>
    </row>
    <row r="348" spans="11:19" x14ac:dyDescent="0.2">
      <c r="K348" s="4" t="str">
        <f>PROPER(TEXT(Tabla8[[#This Row],[FECHA]],"mmm"))</f>
        <v>Ene</v>
      </c>
      <c r="L348" s="5">
        <v>46052</v>
      </c>
      <c r="M348" s="3" t="s">
        <v>23</v>
      </c>
      <c r="N348" s="3" t="s">
        <v>1027</v>
      </c>
      <c r="O348" s="8" t="s">
        <v>1028</v>
      </c>
      <c r="P348" s="3" t="s">
        <v>411</v>
      </c>
      <c r="Q348" s="3" t="s">
        <v>871</v>
      </c>
      <c r="R348" s="6">
        <v>47124</v>
      </c>
      <c r="S348" s="3" t="s">
        <v>29</v>
      </c>
    </row>
    <row r="349" spans="11:19" x14ac:dyDescent="0.2">
      <c r="K349" s="4" t="str">
        <f>PROPER(TEXT(Tabla8[[#This Row],[FECHA]],"mmm"))</f>
        <v>Ene</v>
      </c>
      <c r="L349" s="5">
        <v>46052</v>
      </c>
      <c r="M349" s="3" t="s">
        <v>23</v>
      </c>
      <c r="N349" s="3" t="s">
        <v>896</v>
      </c>
      <c r="O349" s="8" t="s">
        <v>21</v>
      </c>
      <c r="P349" s="3" t="s">
        <v>22</v>
      </c>
      <c r="Q349" s="3" t="s">
        <v>545</v>
      </c>
      <c r="R349" s="6">
        <v>20000</v>
      </c>
      <c r="S349" s="3" t="s">
        <v>29</v>
      </c>
    </row>
    <row r="350" spans="11:19" x14ac:dyDescent="0.2">
      <c r="K350" s="4" t="str">
        <f>PROPER(TEXT(Tabla8[[#This Row],[FECHA]],"mmm"))</f>
        <v>Ene</v>
      </c>
      <c r="L350" s="5">
        <v>46052</v>
      </c>
      <c r="M350" s="3" t="s">
        <v>51</v>
      </c>
      <c r="N350" s="3" t="s">
        <v>131</v>
      </c>
      <c r="O350" s="8" t="s">
        <v>676</v>
      </c>
      <c r="P350" s="3" t="s">
        <v>411</v>
      </c>
      <c r="Q350" s="3" t="s">
        <v>895</v>
      </c>
      <c r="R350" s="6">
        <v>794000</v>
      </c>
      <c r="S350" s="3" t="s">
        <v>29</v>
      </c>
    </row>
    <row r="351" spans="11:19" x14ac:dyDescent="0.2">
      <c r="K351" s="4" t="str">
        <f>PROPER(TEXT(Tabla8[[#This Row],[FECHA]],"mmm"))</f>
        <v>Ene</v>
      </c>
      <c r="L351" s="5">
        <v>46052</v>
      </c>
      <c r="M351" s="3" t="s">
        <v>51</v>
      </c>
      <c r="N351" s="3" t="s">
        <v>893</v>
      </c>
      <c r="O351" s="8" t="s">
        <v>21</v>
      </c>
      <c r="P351" s="3" t="s">
        <v>411</v>
      </c>
      <c r="Q351" s="3" t="s">
        <v>894</v>
      </c>
      <c r="R351" s="6">
        <v>290000</v>
      </c>
      <c r="S351" s="3" t="s">
        <v>29</v>
      </c>
    </row>
    <row r="352" spans="11:19" x14ac:dyDescent="0.2">
      <c r="K352" s="4" t="str">
        <f>PROPER(TEXT(Tabla8[[#This Row],[FECHA]],"mmm"))</f>
        <v>Ene</v>
      </c>
      <c r="L352" s="5">
        <v>46052</v>
      </c>
      <c r="M352" s="3" t="s">
        <v>57</v>
      </c>
      <c r="N352" s="3" t="s">
        <v>804</v>
      </c>
      <c r="O352" s="8" t="s">
        <v>676</v>
      </c>
      <c r="P352" s="3" t="s">
        <v>411</v>
      </c>
      <c r="Q352" s="3" t="s">
        <v>805</v>
      </c>
      <c r="R352" s="6">
        <v>397823</v>
      </c>
      <c r="S352" s="3" t="s">
        <v>25</v>
      </c>
    </row>
    <row r="353" spans="11:19" x14ac:dyDescent="0.2">
      <c r="K353" s="4" t="str">
        <f>PROPER(TEXT(Tabla8[[#This Row],[FECHA]],"mmm"))</f>
        <v>Ene</v>
      </c>
      <c r="L353" s="5">
        <v>46052</v>
      </c>
      <c r="M353" s="3" t="s">
        <v>64</v>
      </c>
      <c r="N353" s="3" t="s">
        <v>802</v>
      </c>
      <c r="O353" s="8" t="s">
        <v>676</v>
      </c>
      <c r="P353" s="3" t="s">
        <v>411</v>
      </c>
      <c r="Q353" s="3" t="s">
        <v>803</v>
      </c>
      <c r="R353" s="6">
        <v>2833193</v>
      </c>
      <c r="S353" s="3" t="s">
        <v>29</v>
      </c>
    </row>
    <row r="354" spans="11:19" x14ac:dyDescent="0.2">
      <c r="K354" s="4" t="str">
        <f>PROPER(TEXT(Tabla8[[#This Row],[FECHA]],"mmm"))</f>
        <v>Ene</v>
      </c>
      <c r="L354" s="5">
        <v>46052</v>
      </c>
      <c r="M354" s="3" t="s">
        <v>37</v>
      </c>
      <c r="N354" s="3" t="s">
        <v>742</v>
      </c>
      <c r="O354" s="8" t="s">
        <v>743</v>
      </c>
      <c r="P354" s="3" t="s">
        <v>411</v>
      </c>
      <c r="Q354" s="3" t="s">
        <v>744</v>
      </c>
      <c r="R354" s="6">
        <v>17380</v>
      </c>
      <c r="S354" s="3" t="s">
        <v>25</v>
      </c>
    </row>
    <row r="355" spans="11:19" x14ac:dyDescent="0.2">
      <c r="K355" s="4" t="str">
        <f>PROPER(TEXT(Tabla8[[#This Row],[FECHA]],"mmm"))</f>
        <v>Ene</v>
      </c>
      <c r="L355" s="5">
        <v>46052</v>
      </c>
      <c r="M355" s="3" t="s">
        <v>23</v>
      </c>
      <c r="N355" s="3" t="s">
        <v>739</v>
      </c>
      <c r="O355" s="8" t="s">
        <v>740</v>
      </c>
      <c r="P355" s="3" t="s">
        <v>24</v>
      </c>
      <c r="Q355" s="3" t="s">
        <v>741</v>
      </c>
      <c r="R355" s="6">
        <v>30464</v>
      </c>
      <c r="S355" s="3" t="s">
        <v>25</v>
      </c>
    </row>
    <row r="356" spans="11:19" x14ac:dyDescent="0.2">
      <c r="K356" s="4" t="str">
        <f>PROPER(TEXT(Tabla8[[#This Row],[FECHA]],"mmm"))</f>
        <v>Ene</v>
      </c>
      <c r="L356" s="5">
        <v>46052</v>
      </c>
      <c r="M356" s="3" t="s">
        <v>51</v>
      </c>
      <c r="N356" s="3" t="s">
        <v>678</v>
      </c>
      <c r="O356" s="8" t="s">
        <v>676</v>
      </c>
      <c r="P356" s="3" t="s">
        <v>411</v>
      </c>
      <c r="Q356" s="3" t="s">
        <v>679</v>
      </c>
      <c r="R356" s="6">
        <v>1082000</v>
      </c>
      <c r="S356" s="3" t="s">
        <v>29</v>
      </c>
    </row>
    <row r="357" spans="11:19" x14ac:dyDescent="0.2">
      <c r="K357" s="4" t="str">
        <f>PROPER(TEXT(Tabla8[[#This Row],[FECHA]],"mmm"))</f>
        <v>Ene</v>
      </c>
      <c r="L357" s="5">
        <v>46052</v>
      </c>
      <c r="M357" s="3" t="s">
        <v>51</v>
      </c>
      <c r="N357" s="3" t="s">
        <v>677</v>
      </c>
      <c r="O357" s="8" t="s">
        <v>676</v>
      </c>
      <c r="P357" s="3" t="s">
        <v>411</v>
      </c>
      <c r="Q357" s="3" t="s">
        <v>452</v>
      </c>
      <c r="R357" s="6">
        <v>698500</v>
      </c>
      <c r="S357" s="3" t="s">
        <v>29</v>
      </c>
    </row>
    <row r="358" spans="11:19" x14ac:dyDescent="0.2">
      <c r="K358" s="4" t="str">
        <f>PROPER(TEXT(Tabla8[[#This Row],[FECHA]],"mmm"))</f>
        <v>Ene</v>
      </c>
      <c r="L358" s="5">
        <v>46052</v>
      </c>
      <c r="M358" s="3" t="s">
        <v>51</v>
      </c>
      <c r="N358" s="3" t="s">
        <v>675</v>
      </c>
      <c r="O358" s="8" t="s">
        <v>676</v>
      </c>
      <c r="P358" s="3" t="s">
        <v>411</v>
      </c>
      <c r="Q358" s="3" t="s">
        <v>461</v>
      </c>
      <c r="R358" s="6">
        <v>887000</v>
      </c>
      <c r="S358" s="3" t="s">
        <v>29</v>
      </c>
    </row>
    <row r="359" spans="11:19" x14ac:dyDescent="0.2">
      <c r="K359" s="4" t="str">
        <f>PROPER(TEXT(Tabla8[[#This Row],[FECHA]],"mmm"))</f>
        <v>Ene</v>
      </c>
      <c r="L359" s="5">
        <v>46051</v>
      </c>
      <c r="M359" s="3" t="s">
        <v>23</v>
      </c>
      <c r="N359" s="3" t="s">
        <v>1025</v>
      </c>
      <c r="O359" s="8" t="s">
        <v>749</v>
      </c>
      <c r="P359" s="3" t="s">
        <v>24</v>
      </c>
      <c r="Q359" s="3" t="s">
        <v>1026</v>
      </c>
      <c r="R359" s="6">
        <v>7197</v>
      </c>
      <c r="S359" s="3" t="s">
        <v>25</v>
      </c>
    </row>
    <row r="360" spans="11:19" x14ac:dyDescent="0.2">
      <c r="K360" s="4" t="str">
        <f>PROPER(TEXT(Tabla8[[#This Row],[FECHA]],"mmm"))</f>
        <v>Ene</v>
      </c>
      <c r="L360" s="5">
        <v>46051</v>
      </c>
      <c r="M360" s="3" t="s">
        <v>45</v>
      </c>
      <c r="N360" s="3" t="s">
        <v>1024</v>
      </c>
      <c r="O360" s="8" t="s">
        <v>752</v>
      </c>
      <c r="P360" s="3" t="s">
        <v>24</v>
      </c>
      <c r="Q360" s="3" t="s">
        <v>750</v>
      </c>
      <c r="R360" s="6">
        <v>48390</v>
      </c>
      <c r="S360" s="3" t="s">
        <v>25</v>
      </c>
    </row>
    <row r="361" spans="11:19" x14ac:dyDescent="0.2">
      <c r="K361" s="4" t="str">
        <f>PROPER(TEXT(Tabla8[[#This Row],[FECHA]],"mmm"))</f>
        <v>Ene</v>
      </c>
      <c r="L361" s="5">
        <v>46051</v>
      </c>
      <c r="M361" s="3" t="s">
        <v>23</v>
      </c>
      <c r="N361" s="3" t="s">
        <v>759</v>
      </c>
      <c r="O361" s="8" t="s">
        <v>760</v>
      </c>
      <c r="P361" s="3" t="s">
        <v>24</v>
      </c>
      <c r="Q361" s="3" t="s">
        <v>473</v>
      </c>
      <c r="R361" s="6">
        <v>22271</v>
      </c>
      <c r="S361" s="3" t="s">
        <v>25</v>
      </c>
    </row>
    <row r="362" spans="11:19" x14ac:dyDescent="0.2">
      <c r="K362" s="4" t="str">
        <f>PROPER(TEXT(Tabla8[[#This Row],[FECHA]],"mmm"))</f>
        <v>Ene</v>
      </c>
      <c r="L362" s="5">
        <v>46051</v>
      </c>
      <c r="M362" s="3" t="s">
        <v>23</v>
      </c>
      <c r="N362" s="3" t="s">
        <v>757</v>
      </c>
      <c r="O362" s="8" t="s">
        <v>758</v>
      </c>
      <c r="P362" s="3" t="s">
        <v>24</v>
      </c>
      <c r="Q362" s="3" t="s">
        <v>473</v>
      </c>
      <c r="R362" s="6">
        <v>20081</v>
      </c>
      <c r="S362" s="3" t="s">
        <v>25</v>
      </c>
    </row>
    <row r="363" spans="11:19" x14ac:dyDescent="0.2">
      <c r="K363" s="4" t="str">
        <f>PROPER(TEXT(Tabla8[[#This Row],[FECHA]],"mmm"))</f>
        <v>Ene</v>
      </c>
      <c r="L363" s="5">
        <v>46051</v>
      </c>
      <c r="M363" s="3" t="s">
        <v>45</v>
      </c>
      <c r="N363" s="3" t="s">
        <v>751</v>
      </c>
      <c r="O363" s="8" t="s">
        <v>752</v>
      </c>
      <c r="P363" s="3" t="s">
        <v>24</v>
      </c>
      <c r="Q363" s="3" t="s">
        <v>750</v>
      </c>
      <c r="R363" s="6">
        <v>48388</v>
      </c>
      <c r="S363" s="3" t="s">
        <v>25</v>
      </c>
    </row>
    <row r="364" spans="11:19" x14ac:dyDescent="0.2">
      <c r="K364" s="4" t="str">
        <f>PROPER(TEXT(Tabla8[[#This Row],[FECHA]],"mmm"))</f>
        <v>Ene</v>
      </c>
      <c r="L364" s="5">
        <v>46051</v>
      </c>
      <c r="M364" s="3" t="s">
        <v>45</v>
      </c>
      <c r="N364" s="3" t="s">
        <v>748</v>
      </c>
      <c r="O364" s="8" t="s">
        <v>749</v>
      </c>
      <c r="P364" s="3" t="s">
        <v>24</v>
      </c>
      <c r="Q364" s="3" t="s">
        <v>750</v>
      </c>
      <c r="R364" s="6">
        <v>7197</v>
      </c>
      <c r="S364" s="3" t="s">
        <v>25</v>
      </c>
    </row>
    <row r="365" spans="11:19" x14ac:dyDescent="0.2">
      <c r="K365" s="4" t="str">
        <f>PROPER(TEXT(Tabla8[[#This Row],[FECHA]],"mmm"))</f>
        <v>Ene</v>
      </c>
      <c r="L365" s="5">
        <v>46051</v>
      </c>
      <c r="M365" s="3" t="s">
        <v>37</v>
      </c>
      <c r="N365" s="3" t="s">
        <v>737</v>
      </c>
      <c r="O365" s="8" t="s">
        <v>747</v>
      </c>
      <c r="P365" s="3" t="s">
        <v>411</v>
      </c>
      <c r="Q365" s="3" t="s">
        <v>418</v>
      </c>
      <c r="R365" s="6">
        <v>13120</v>
      </c>
      <c r="S365" s="3" t="s">
        <v>25</v>
      </c>
    </row>
    <row r="366" spans="11:19" x14ac:dyDescent="0.2">
      <c r="K366" s="4" t="str">
        <f>PROPER(TEXT(Tabla8[[#This Row],[FECHA]],"mmm"))</f>
        <v>Ene</v>
      </c>
      <c r="L366" s="5">
        <v>46051</v>
      </c>
      <c r="M366" s="3" t="s">
        <v>39</v>
      </c>
      <c r="N366" s="3" t="s">
        <v>448</v>
      </c>
      <c r="O366" s="8" t="s">
        <v>640</v>
      </c>
      <c r="P366" s="3" t="s">
        <v>22</v>
      </c>
      <c r="Q366" s="3" t="s">
        <v>412</v>
      </c>
      <c r="R366" s="6">
        <v>20000</v>
      </c>
      <c r="S366" s="3" t="s">
        <v>20</v>
      </c>
    </row>
    <row r="367" spans="11:19" x14ac:dyDescent="0.2">
      <c r="K367" s="4" t="str">
        <f>PROPER(TEXT(Tabla8[[#This Row],[FECHA]],"mmm"))</f>
        <v>Ene</v>
      </c>
      <c r="L367" s="5">
        <v>46051</v>
      </c>
      <c r="M367" s="3" t="s">
        <v>37</v>
      </c>
      <c r="N367" s="3" t="s">
        <v>635</v>
      </c>
      <c r="O367" s="8" t="s">
        <v>636</v>
      </c>
      <c r="P367" s="3" t="s">
        <v>24</v>
      </c>
      <c r="Q367" s="3" t="s">
        <v>478</v>
      </c>
      <c r="R367" s="6">
        <v>26642</v>
      </c>
      <c r="S367" s="3" t="s">
        <v>29</v>
      </c>
    </row>
    <row r="368" spans="11:19" x14ac:dyDescent="0.2">
      <c r="K368" s="4" t="str">
        <f>PROPER(TEXT(Tabla8[[#This Row],[FECHA]],"mmm"))</f>
        <v>Ene</v>
      </c>
      <c r="L368" s="5">
        <v>46051</v>
      </c>
      <c r="M368" s="3" t="s">
        <v>23</v>
      </c>
      <c r="N368" s="3" t="s">
        <v>595</v>
      </c>
      <c r="O368" s="8" t="s">
        <v>21</v>
      </c>
      <c r="P368" s="3" t="s">
        <v>22</v>
      </c>
      <c r="Q368" s="3" t="s">
        <v>596</v>
      </c>
      <c r="R368" s="6">
        <v>9000</v>
      </c>
      <c r="S368" s="3" t="s">
        <v>20</v>
      </c>
    </row>
    <row r="369" spans="11:19" x14ac:dyDescent="0.2">
      <c r="K369" s="4" t="str">
        <f>PROPER(TEXT(Tabla8[[#This Row],[FECHA]],"mmm"))</f>
        <v>Ene</v>
      </c>
      <c r="L369" s="5">
        <v>46051</v>
      </c>
      <c r="M369" s="3" t="s">
        <v>74</v>
      </c>
      <c r="N369" s="3" t="s">
        <v>633</v>
      </c>
      <c r="O369" s="8" t="s">
        <v>21</v>
      </c>
      <c r="P369" s="3" t="s">
        <v>22</v>
      </c>
      <c r="Q369" s="3" t="s">
        <v>634</v>
      </c>
      <c r="R369" s="6">
        <v>5000</v>
      </c>
      <c r="S369" s="3" t="s">
        <v>20</v>
      </c>
    </row>
    <row r="370" spans="11:19" x14ac:dyDescent="0.2">
      <c r="K370" s="4" t="str">
        <f>PROPER(TEXT(Tabla8[[#This Row],[FECHA]],"mmm"))</f>
        <v>Ene</v>
      </c>
      <c r="L370" s="5">
        <v>46050</v>
      </c>
      <c r="M370" s="3" t="s">
        <v>23</v>
      </c>
      <c r="N370" s="3" t="s">
        <v>928</v>
      </c>
      <c r="O370" s="8" t="s">
        <v>929</v>
      </c>
      <c r="P370" s="3" t="s">
        <v>24</v>
      </c>
      <c r="Q370" s="3" t="s">
        <v>930</v>
      </c>
      <c r="R370" s="6">
        <v>3433180</v>
      </c>
      <c r="S370" s="3" t="s">
        <v>29</v>
      </c>
    </row>
    <row r="371" spans="11:19" x14ac:dyDescent="0.2">
      <c r="K371" s="4" t="str">
        <f>PROPER(TEXT(Tabla8[[#This Row],[FECHA]],"mmm"))</f>
        <v>Ene</v>
      </c>
      <c r="L371" s="5">
        <v>46050</v>
      </c>
      <c r="M371" s="3" t="s">
        <v>23</v>
      </c>
      <c r="N371" s="3" t="s">
        <v>926</v>
      </c>
      <c r="O371" s="8" t="s">
        <v>21</v>
      </c>
      <c r="P371" s="3" t="s">
        <v>22</v>
      </c>
      <c r="Q371" s="3" t="s">
        <v>927</v>
      </c>
      <c r="R371" s="6">
        <v>18600</v>
      </c>
      <c r="S371" s="3" t="s">
        <v>29</v>
      </c>
    </row>
    <row r="372" spans="11:19" x14ac:dyDescent="0.2">
      <c r="K372" s="4" t="str">
        <f>PROPER(TEXT(Tabla8[[#This Row],[FECHA]],"mmm"))</f>
        <v>Ene</v>
      </c>
      <c r="L372" s="5">
        <v>46050</v>
      </c>
      <c r="M372" s="3" t="s">
        <v>23</v>
      </c>
      <c r="N372" s="3" t="s">
        <v>897</v>
      </c>
      <c r="O372" s="8" t="s">
        <v>21</v>
      </c>
      <c r="P372" s="3" t="s">
        <v>22</v>
      </c>
      <c r="Q372" s="3" t="s">
        <v>898</v>
      </c>
      <c r="R372" s="6">
        <v>169751</v>
      </c>
      <c r="S372" s="3" t="s">
        <v>29</v>
      </c>
    </row>
    <row r="373" spans="11:19" x14ac:dyDescent="0.2">
      <c r="K373" s="4" t="str">
        <f>PROPER(TEXT(Tabla8[[#This Row],[FECHA]],"mmm"))</f>
        <v>Ene</v>
      </c>
      <c r="L373" s="5">
        <v>46050</v>
      </c>
      <c r="M373" s="3" t="s">
        <v>37</v>
      </c>
      <c r="N373" s="3" t="s">
        <v>745</v>
      </c>
      <c r="O373" s="8" t="s">
        <v>746</v>
      </c>
      <c r="P373" s="3" t="s">
        <v>411</v>
      </c>
      <c r="Q373" s="3" t="s">
        <v>418</v>
      </c>
      <c r="R373" s="6">
        <v>35320</v>
      </c>
      <c r="S373" s="3" t="s">
        <v>25</v>
      </c>
    </row>
    <row r="374" spans="11:19" x14ac:dyDescent="0.2">
      <c r="K374" s="4" t="str">
        <f>PROPER(TEXT(Tabla8[[#This Row],[FECHA]],"mmm"))</f>
        <v>Ene</v>
      </c>
      <c r="L374" s="5">
        <v>46050</v>
      </c>
      <c r="M374" s="3" t="s">
        <v>23</v>
      </c>
      <c r="N374" s="3" t="s">
        <v>630</v>
      </c>
      <c r="O374" s="8" t="s">
        <v>631</v>
      </c>
      <c r="P374" s="3" t="s">
        <v>24</v>
      </c>
      <c r="Q374" s="3" t="s">
        <v>632</v>
      </c>
      <c r="R374" s="6">
        <v>100080</v>
      </c>
      <c r="S374" s="3" t="s">
        <v>25</v>
      </c>
    </row>
    <row r="375" spans="11:19" x14ac:dyDescent="0.2">
      <c r="K375" s="4" t="str">
        <f>PROPER(TEXT(Tabla8[[#This Row],[FECHA]],"mmm"))</f>
        <v>Ene</v>
      </c>
      <c r="L375" s="5">
        <v>46050</v>
      </c>
      <c r="M375" s="3" t="s">
        <v>23</v>
      </c>
      <c r="N375" s="3" t="s">
        <v>628</v>
      </c>
      <c r="O375" s="8" t="s">
        <v>629</v>
      </c>
      <c r="P375" s="3" t="s">
        <v>24</v>
      </c>
      <c r="Q375" s="3" t="s">
        <v>466</v>
      </c>
      <c r="R375" s="6">
        <v>68173</v>
      </c>
      <c r="S375" s="3" t="s">
        <v>25</v>
      </c>
    </row>
    <row r="376" spans="11:19" x14ac:dyDescent="0.2">
      <c r="K376" s="4" t="str">
        <f>PROPER(TEXT(Tabla8[[#This Row],[FECHA]],"mmm"))</f>
        <v>Ene</v>
      </c>
      <c r="L376" s="5">
        <v>46049</v>
      </c>
      <c r="M376" s="3" t="s">
        <v>37</v>
      </c>
      <c r="N376" s="3" t="s">
        <v>838</v>
      </c>
      <c r="O376" s="8" t="s">
        <v>839</v>
      </c>
      <c r="P376" s="3" t="s">
        <v>24</v>
      </c>
      <c r="Q376" s="3" t="s">
        <v>478</v>
      </c>
      <c r="R376" s="6">
        <v>16502</v>
      </c>
      <c r="S376" s="3" t="s">
        <v>29</v>
      </c>
    </row>
    <row r="377" spans="11:19" x14ac:dyDescent="0.2">
      <c r="K377" s="4" t="str">
        <f>PROPER(TEXT(Tabla8[[#This Row],[FECHA]],"mmm"))</f>
        <v>Ene</v>
      </c>
      <c r="L377" s="5">
        <v>46049</v>
      </c>
      <c r="M377" s="3" t="s">
        <v>35</v>
      </c>
      <c r="N377" s="3" t="s">
        <v>637</v>
      </c>
      <c r="O377" s="8" t="s">
        <v>638</v>
      </c>
      <c r="P377" s="3" t="s">
        <v>24</v>
      </c>
      <c r="Q377" s="3" t="s">
        <v>639</v>
      </c>
      <c r="R377" s="6">
        <v>949621</v>
      </c>
      <c r="S377" s="3" t="s">
        <v>29</v>
      </c>
    </row>
    <row r="378" spans="11:19" x14ac:dyDescent="0.2">
      <c r="K378" s="4" t="str">
        <f>PROPER(TEXT(Tabla8[[#This Row],[FECHA]],"mmm"))</f>
        <v>Ene</v>
      </c>
      <c r="L378" s="5">
        <v>46049</v>
      </c>
      <c r="M378" s="3" t="s">
        <v>23</v>
      </c>
      <c r="N378" s="3" t="s">
        <v>622</v>
      </c>
      <c r="O378" s="8" t="s">
        <v>623</v>
      </c>
      <c r="P378" s="3" t="s">
        <v>24</v>
      </c>
      <c r="Q378" s="3" t="s">
        <v>624</v>
      </c>
      <c r="R378" s="6">
        <v>146698</v>
      </c>
      <c r="S378" s="3" t="s">
        <v>25</v>
      </c>
    </row>
    <row r="379" spans="11:19" x14ac:dyDescent="0.2">
      <c r="K379" s="4" t="str">
        <f>PROPER(TEXT(Tabla8[[#This Row],[FECHA]],"mmm"))</f>
        <v>Ene</v>
      </c>
      <c r="L379" s="5">
        <v>46049</v>
      </c>
      <c r="M379" s="3" t="s">
        <v>23</v>
      </c>
      <c r="N379" s="3" t="s">
        <v>620</v>
      </c>
      <c r="O379" s="8" t="s">
        <v>21</v>
      </c>
      <c r="P379" s="3" t="s">
        <v>22</v>
      </c>
      <c r="Q379" s="3" t="s">
        <v>621</v>
      </c>
      <c r="R379" s="6">
        <v>343000</v>
      </c>
      <c r="S379" s="3" t="s">
        <v>29</v>
      </c>
    </row>
    <row r="380" spans="11:19" x14ac:dyDescent="0.2">
      <c r="K380" s="4" t="str">
        <f>PROPER(TEXT(Tabla8[[#This Row],[FECHA]],"mmm"))</f>
        <v>Ene</v>
      </c>
      <c r="L380" s="5">
        <v>46049</v>
      </c>
      <c r="M380" s="3" t="s">
        <v>539</v>
      </c>
      <c r="N380" s="3" t="s">
        <v>540</v>
      </c>
      <c r="O380" s="8" t="s">
        <v>612</v>
      </c>
      <c r="P380" s="3" t="s">
        <v>592</v>
      </c>
      <c r="Q380" s="3" t="s">
        <v>542</v>
      </c>
      <c r="R380" s="6">
        <v>10000</v>
      </c>
      <c r="S380" s="3" t="s">
        <v>20</v>
      </c>
    </row>
    <row r="381" spans="11:19" x14ac:dyDescent="0.2">
      <c r="K381" s="4" t="str">
        <f>PROPER(TEXT(Tabla8[[#This Row],[FECHA]],"mmm"))</f>
        <v>Ene</v>
      </c>
      <c r="L381" s="5">
        <v>46049</v>
      </c>
      <c r="M381" s="3" t="s">
        <v>23</v>
      </c>
      <c r="N381" s="3" t="s">
        <v>611</v>
      </c>
      <c r="O381" s="8" t="s">
        <v>21</v>
      </c>
      <c r="P381" s="3" t="s">
        <v>592</v>
      </c>
      <c r="Q381" s="3" t="s">
        <v>52</v>
      </c>
      <c r="R381" s="6">
        <v>181900</v>
      </c>
      <c r="S381" s="3" t="s">
        <v>25</v>
      </c>
    </row>
    <row r="382" spans="11:19" x14ac:dyDescent="0.2">
      <c r="K382" s="4" t="str">
        <f>PROPER(TEXT(Tabla8[[#This Row],[FECHA]],"mmm"))</f>
        <v>Ene</v>
      </c>
      <c r="L382" s="5">
        <v>46049</v>
      </c>
      <c r="M382" s="3" t="s">
        <v>23</v>
      </c>
      <c r="N382" s="3" t="s">
        <v>610</v>
      </c>
      <c r="O382" s="8" t="s">
        <v>21</v>
      </c>
      <c r="P382" s="3" t="s">
        <v>592</v>
      </c>
      <c r="Q382" s="3" t="s">
        <v>52</v>
      </c>
      <c r="R382" s="6">
        <v>71200</v>
      </c>
      <c r="S382" s="3" t="s">
        <v>25</v>
      </c>
    </row>
    <row r="383" spans="11:19" x14ac:dyDescent="0.2">
      <c r="K383" s="4" t="str">
        <f>PROPER(TEXT(Tabla8[[#This Row],[FECHA]],"mmm"))</f>
        <v>Ene</v>
      </c>
      <c r="L383" s="5">
        <v>46049</v>
      </c>
      <c r="M383" s="3" t="s">
        <v>23</v>
      </c>
      <c r="N383" s="3" t="s">
        <v>609</v>
      </c>
      <c r="O383" s="8" t="s">
        <v>21</v>
      </c>
      <c r="P383" s="3" t="s">
        <v>24</v>
      </c>
      <c r="Q383" s="3" t="s">
        <v>556</v>
      </c>
      <c r="R383" s="6">
        <v>138036</v>
      </c>
      <c r="S383" s="3" t="s">
        <v>25</v>
      </c>
    </row>
    <row r="384" spans="11:19" x14ac:dyDescent="0.2">
      <c r="K384" s="4" t="str">
        <f>PROPER(TEXT(Tabla8[[#This Row],[FECHA]],"mmm"))</f>
        <v>Ene</v>
      </c>
      <c r="L384" s="5">
        <v>46048</v>
      </c>
      <c r="M384" s="3" t="s">
        <v>23</v>
      </c>
      <c r="N384" s="3" t="s">
        <v>579</v>
      </c>
      <c r="O384" s="8" t="s">
        <v>414</v>
      </c>
      <c r="P384" s="3" t="s">
        <v>22</v>
      </c>
      <c r="Q384" s="3" t="s">
        <v>581</v>
      </c>
      <c r="R384" s="6">
        <v>120000</v>
      </c>
      <c r="S384" s="3" t="s">
        <v>25</v>
      </c>
    </row>
    <row r="385" spans="11:19" x14ac:dyDescent="0.2">
      <c r="K385" s="4" t="str">
        <f>PROPER(TEXT(Tabla8[[#This Row],[FECHA]],"mmm"))</f>
        <v>Ene</v>
      </c>
      <c r="L385" s="5">
        <v>46048</v>
      </c>
      <c r="M385" s="3" t="s">
        <v>23</v>
      </c>
      <c r="N385" s="3" t="s">
        <v>817</v>
      </c>
      <c r="O385" s="8" t="s">
        <v>818</v>
      </c>
      <c r="P385" s="3" t="s">
        <v>24</v>
      </c>
      <c r="Q385" s="3" t="s">
        <v>473</v>
      </c>
      <c r="R385" s="6">
        <v>668504</v>
      </c>
      <c r="S385" s="3" t="s">
        <v>25</v>
      </c>
    </row>
    <row r="386" spans="11:19" x14ac:dyDescent="0.2">
      <c r="K386" s="4" t="str">
        <f>PROPER(TEXT(Tabla8[[#This Row],[FECHA]],"mmm"))</f>
        <v>Ene</v>
      </c>
      <c r="L386" s="5">
        <v>46048</v>
      </c>
      <c r="M386" s="3" t="s">
        <v>23</v>
      </c>
      <c r="N386" s="3" t="s">
        <v>814</v>
      </c>
      <c r="O386" s="8" t="s">
        <v>815</v>
      </c>
      <c r="P386" s="3" t="s">
        <v>24</v>
      </c>
      <c r="Q386" s="3" t="s">
        <v>816</v>
      </c>
      <c r="R386" s="6">
        <v>33272</v>
      </c>
      <c r="S386" s="3" t="s">
        <v>25</v>
      </c>
    </row>
    <row r="387" spans="11:19" x14ac:dyDescent="0.2">
      <c r="K387" s="4" t="str">
        <f>PROPER(TEXT(Tabla8[[#This Row],[FECHA]],"mmm"))</f>
        <v>Ene</v>
      </c>
      <c r="L387" s="5">
        <v>46048</v>
      </c>
      <c r="M387" s="3" t="s">
        <v>23</v>
      </c>
      <c r="N387" s="3" t="s">
        <v>812</v>
      </c>
      <c r="O387" s="8" t="s">
        <v>813</v>
      </c>
      <c r="P387" s="3" t="s">
        <v>24</v>
      </c>
      <c r="Q387" s="3" t="s">
        <v>473</v>
      </c>
      <c r="R387" s="6">
        <v>17850</v>
      </c>
      <c r="S387" s="3" t="s">
        <v>25</v>
      </c>
    </row>
    <row r="388" spans="11:19" x14ac:dyDescent="0.2">
      <c r="K388" s="4" t="str">
        <f>PROPER(TEXT(Tabla8[[#This Row],[FECHA]],"mmm"))</f>
        <v>Ene</v>
      </c>
      <c r="L388" s="5">
        <v>46048</v>
      </c>
      <c r="M388" s="3" t="s">
        <v>23</v>
      </c>
      <c r="N388" s="3" t="s">
        <v>809</v>
      </c>
      <c r="O388" s="8" t="s">
        <v>810</v>
      </c>
      <c r="P388" s="3" t="s">
        <v>24</v>
      </c>
      <c r="Q388" s="3" t="s">
        <v>811</v>
      </c>
      <c r="R388" s="6">
        <v>78900</v>
      </c>
      <c r="S388" s="3" t="s">
        <v>25</v>
      </c>
    </row>
    <row r="389" spans="11:19" x14ac:dyDescent="0.2">
      <c r="K389" s="4" t="str">
        <f>PROPER(TEXT(Tabla8[[#This Row],[FECHA]],"mmm"))</f>
        <v>Ene</v>
      </c>
      <c r="L389" s="5">
        <v>46047</v>
      </c>
      <c r="M389" s="3" t="s">
        <v>23</v>
      </c>
      <c r="N389" s="3" t="s">
        <v>931</v>
      </c>
      <c r="O389" s="8" t="s">
        <v>21</v>
      </c>
      <c r="P389" s="3" t="s">
        <v>22</v>
      </c>
      <c r="Q389" s="3" t="s">
        <v>932</v>
      </c>
      <c r="R389" s="6">
        <v>5000000</v>
      </c>
      <c r="S389" s="3" t="s">
        <v>29</v>
      </c>
    </row>
    <row r="390" spans="11:19" x14ac:dyDescent="0.2">
      <c r="K390" s="4" t="str">
        <f>PROPER(TEXT(Tabla8[[#This Row],[FECHA]],"mmm"))</f>
        <v>Ene</v>
      </c>
      <c r="L390" s="5">
        <v>46045</v>
      </c>
      <c r="M390" s="3" t="s">
        <v>35</v>
      </c>
      <c r="N390" s="3" t="s">
        <v>935</v>
      </c>
      <c r="O390" s="8" t="s">
        <v>936</v>
      </c>
      <c r="P390" s="3" t="s">
        <v>24</v>
      </c>
      <c r="Q390" s="3" t="s">
        <v>937</v>
      </c>
      <c r="R390" s="6">
        <v>4000000</v>
      </c>
      <c r="S390" s="3" t="s">
        <v>29</v>
      </c>
    </row>
    <row r="391" spans="11:19" x14ac:dyDescent="0.2">
      <c r="K391" s="4" t="str">
        <f>PROPER(TEXT(Tabla8[[#This Row],[FECHA]],"mmm"))</f>
        <v>Ene</v>
      </c>
      <c r="L391" s="5">
        <v>46045</v>
      </c>
      <c r="M391" s="3" t="s">
        <v>23</v>
      </c>
      <c r="N391" s="3" t="s">
        <v>933</v>
      </c>
      <c r="O391" s="8" t="s">
        <v>934</v>
      </c>
      <c r="P391" s="3" t="s">
        <v>24</v>
      </c>
      <c r="Q391" s="3" t="s">
        <v>871</v>
      </c>
      <c r="R391" s="6">
        <v>296310</v>
      </c>
      <c r="S391" s="3" t="s">
        <v>29</v>
      </c>
    </row>
    <row r="392" spans="11:19" x14ac:dyDescent="0.2">
      <c r="K392" s="4" t="str">
        <f>PROPER(TEXT(Tabla8[[#This Row],[FECHA]],"mmm"))</f>
        <v>Ene</v>
      </c>
      <c r="L392" s="5">
        <v>46045</v>
      </c>
      <c r="M392" s="3" t="s">
        <v>23</v>
      </c>
      <c r="N392" s="3" t="s">
        <v>796</v>
      </c>
      <c r="O392" s="8" t="s">
        <v>840</v>
      </c>
      <c r="P392" s="3" t="s">
        <v>24</v>
      </c>
      <c r="Q392" s="3" t="s">
        <v>798</v>
      </c>
      <c r="R392" s="6">
        <v>316980</v>
      </c>
      <c r="S392" s="3" t="s">
        <v>29</v>
      </c>
    </row>
    <row r="393" spans="11:19" x14ac:dyDescent="0.2">
      <c r="K393" s="4" t="str">
        <f>PROPER(TEXT(Tabla8[[#This Row],[FECHA]],"mmm"))</f>
        <v>Ene</v>
      </c>
      <c r="L393" s="5">
        <v>46045</v>
      </c>
      <c r="M393" s="3" t="s">
        <v>23</v>
      </c>
      <c r="N393" s="3" t="s">
        <v>806</v>
      </c>
      <c r="O393" s="8" t="s">
        <v>807</v>
      </c>
      <c r="P393" s="3" t="s">
        <v>24</v>
      </c>
      <c r="Q393" s="3" t="s">
        <v>808</v>
      </c>
      <c r="R393" s="6">
        <v>25894</v>
      </c>
      <c r="S393" s="3" t="s">
        <v>25</v>
      </c>
    </row>
    <row r="394" spans="11:19" x14ac:dyDescent="0.2">
      <c r="K394" s="4" t="str">
        <f>PROPER(TEXT(Tabla8[[#This Row],[FECHA]],"mmm"))</f>
        <v>Ene</v>
      </c>
      <c r="L394" s="5">
        <v>46045</v>
      </c>
      <c r="M394" s="3" t="s">
        <v>23</v>
      </c>
      <c r="N394" s="3" t="s">
        <v>781</v>
      </c>
      <c r="O394" s="8" t="s">
        <v>782</v>
      </c>
      <c r="P394" s="3" t="s">
        <v>592</v>
      </c>
      <c r="Q394" s="3" t="s">
        <v>418</v>
      </c>
      <c r="R394" s="6">
        <v>7480</v>
      </c>
      <c r="S394" s="3" t="s">
        <v>25</v>
      </c>
    </row>
    <row r="395" spans="11:19" x14ac:dyDescent="0.2">
      <c r="K395" s="4" t="str">
        <f>PROPER(TEXT(Tabla8[[#This Row],[FECHA]],"mmm"))</f>
        <v>Ene</v>
      </c>
      <c r="L395" s="5">
        <v>46045</v>
      </c>
      <c r="M395" s="3" t="s">
        <v>23</v>
      </c>
      <c r="N395" s="3" t="s">
        <v>618</v>
      </c>
      <c r="O395" s="8" t="s">
        <v>619</v>
      </c>
      <c r="P395" s="3" t="s">
        <v>24</v>
      </c>
      <c r="Q395" s="3" t="s">
        <v>481</v>
      </c>
      <c r="R395" s="6">
        <v>16347</v>
      </c>
      <c r="S395" s="3" t="s">
        <v>20</v>
      </c>
    </row>
    <row r="396" spans="11:19" x14ac:dyDescent="0.2">
      <c r="K396" s="4" t="str">
        <f>PROPER(TEXT(Tabla8[[#This Row],[FECHA]],"mmm"))</f>
        <v>Ene</v>
      </c>
      <c r="L396" s="5">
        <v>46045</v>
      </c>
      <c r="M396" s="3" t="s">
        <v>23</v>
      </c>
      <c r="N396" s="3" t="s">
        <v>531</v>
      </c>
      <c r="O396" s="8" t="s">
        <v>607</v>
      </c>
      <c r="P396" s="3" t="s">
        <v>24</v>
      </c>
      <c r="Q396" s="3" t="s">
        <v>533</v>
      </c>
      <c r="R396" s="6">
        <v>191040</v>
      </c>
      <c r="S396" s="3" t="s">
        <v>29</v>
      </c>
    </row>
    <row r="397" spans="11:19" x14ac:dyDescent="0.2">
      <c r="K397" s="4" t="str">
        <f>PROPER(TEXT(Tabla8[[#This Row],[FECHA]],"mmm"))</f>
        <v>Ene</v>
      </c>
      <c r="L397" s="5">
        <v>46045</v>
      </c>
      <c r="M397" s="3" t="s">
        <v>23</v>
      </c>
      <c r="N397" s="3" t="s">
        <v>595</v>
      </c>
      <c r="O397" s="8" t="s">
        <v>21</v>
      </c>
      <c r="P397" s="3" t="s">
        <v>22</v>
      </c>
      <c r="Q397" s="3" t="s">
        <v>596</v>
      </c>
      <c r="R397" s="6">
        <v>13500</v>
      </c>
      <c r="S397" s="3" t="s">
        <v>20</v>
      </c>
    </row>
    <row r="398" spans="11:19" x14ac:dyDescent="0.2">
      <c r="K398" s="4" t="str">
        <f>PROPER(TEXT(Tabla8[[#This Row],[FECHA]],"mmm"))</f>
        <v>Ene</v>
      </c>
      <c r="L398" s="5">
        <v>46044</v>
      </c>
      <c r="M398" s="3" t="s">
        <v>35</v>
      </c>
      <c r="N398" s="3" t="s">
        <v>948</v>
      </c>
      <c r="O398" s="8" t="s">
        <v>936</v>
      </c>
      <c r="P398" s="3" t="s">
        <v>24</v>
      </c>
      <c r="Q398" s="3" t="s">
        <v>937</v>
      </c>
      <c r="R398" s="6">
        <v>4000000</v>
      </c>
      <c r="S398" s="3" t="s">
        <v>29</v>
      </c>
    </row>
    <row r="399" spans="11:19" x14ac:dyDescent="0.2">
      <c r="K399" s="4" t="str">
        <f>PROPER(TEXT(Tabla8[[#This Row],[FECHA]],"mmm"))</f>
        <v>Ene</v>
      </c>
      <c r="L399" s="5">
        <v>46044</v>
      </c>
      <c r="M399" s="3" t="s">
        <v>23</v>
      </c>
      <c r="N399" s="3" t="s">
        <v>945</v>
      </c>
      <c r="O399" s="8" t="s">
        <v>946</v>
      </c>
      <c r="P399" s="3" t="s">
        <v>24</v>
      </c>
      <c r="Q399" s="3" t="s">
        <v>947</v>
      </c>
      <c r="R399" s="6">
        <v>306483</v>
      </c>
      <c r="S399" s="3" t="s">
        <v>25</v>
      </c>
    </row>
    <row r="400" spans="11:19" x14ac:dyDescent="0.2">
      <c r="K400" s="4" t="str">
        <f>PROPER(TEXT(Tabla8[[#This Row],[FECHA]],"mmm"))</f>
        <v>Ene</v>
      </c>
      <c r="L400" s="5">
        <v>46044</v>
      </c>
      <c r="M400" s="3" t="s">
        <v>23</v>
      </c>
      <c r="N400" s="3" t="s">
        <v>779</v>
      </c>
      <c r="O400" s="8" t="s">
        <v>591</v>
      </c>
      <c r="P400" s="3" t="s">
        <v>592</v>
      </c>
      <c r="Q400" s="3" t="s">
        <v>780</v>
      </c>
      <c r="R400" s="6">
        <v>1500</v>
      </c>
      <c r="S400" s="3" t="s">
        <v>25</v>
      </c>
    </row>
    <row r="401" spans="11:19" x14ac:dyDescent="0.2">
      <c r="K401" s="4" t="str">
        <f>PROPER(TEXT(Tabla8[[#This Row],[FECHA]],"mmm"))</f>
        <v>Ene</v>
      </c>
      <c r="L401" s="5">
        <v>46044</v>
      </c>
      <c r="M401" s="3" t="s">
        <v>55</v>
      </c>
      <c r="N401" s="3" t="s">
        <v>762</v>
      </c>
      <c r="O401" s="8" t="s">
        <v>763</v>
      </c>
      <c r="P401" s="3" t="s">
        <v>24</v>
      </c>
      <c r="Q401" s="3" t="s">
        <v>483</v>
      </c>
      <c r="R401" s="6">
        <v>4975862</v>
      </c>
      <c r="S401" s="3" t="s">
        <v>29</v>
      </c>
    </row>
    <row r="402" spans="11:19" x14ac:dyDescent="0.2">
      <c r="K402" s="4" t="str">
        <f>PROPER(TEXT(Tabla8[[#This Row],[FECHA]],"mmm"))</f>
        <v>Ene</v>
      </c>
      <c r="L402" s="5">
        <v>46044</v>
      </c>
      <c r="M402" s="3" t="s">
        <v>37</v>
      </c>
      <c r="N402" s="3" t="s">
        <v>476</v>
      </c>
      <c r="O402" s="8" t="s">
        <v>761</v>
      </c>
      <c r="P402" s="3" t="s">
        <v>24</v>
      </c>
      <c r="Q402" s="3" t="s">
        <v>478</v>
      </c>
      <c r="R402" s="6">
        <v>109603</v>
      </c>
      <c r="S402" s="3" t="s">
        <v>29</v>
      </c>
    </row>
    <row r="403" spans="11:19" x14ac:dyDescent="0.2">
      <c r="K403" s="4" t="str">
        <f>PROPER(TEXT(Tabla8[[#This Row],[FECHA]],"mmm"))</f>
        <v>Ene</v>
      </c>
      <c r="L403" s="5">
        <v>46044</v>
      </c>
      <c r="M403" s="3" t="s">
        <v>23</v>
      </c>
      <c r="N403" s="3" t="s">
        <v>531</v>
      </c>
      <c r="O403" s="8" t="s">
        <v>608</v>
      </c>
      <c r="P403" s="3" t="s">
        <v>24</v>
      </c>
      <c r="Q403" s="3" t="s">
        <v>533</v>
      </c>
      <c r="R403" s="6">
        <v>364860</v>
      </c>
      <c r="S403" s="3" t="s">
        <v>29</v>
      </c>
    </row>
    <row r="404" spans="11:19" x14ac:dyDescent="0.2">
      <c r="K404" s="4" t="str">
        <f>PROPER(TEXT(Tabla8[[#This Row],[FECHA]],"mmm"))</f>
        <v>Ene</v>
      </c>
      <c r="L404" s="5">
        <v>46044</v>
      </c>
      <c r="M404" s="3" t="s">
        <v>37</v>
      </c>
      <c r="N404" s="3" t="s">
        <v>605</v>
      </c>
      <c r="O404" s="8" t="s">
        <v>606</v>
      </c>
      <c r="P404" s="3" t="s">
        <v>592</v>
      </c>
      <c r="Q404" s="3" t="s">
        <v>418</v>
      </c>
      <c r="R404" s="6">
        <v>31580</v>
      </c>
      <c r="S404" s="3" t="s">
        <v>25</v>
      </c>
    </row>
    <row r="405" spans="11:19" x14ac:dyDescent="0.2">
      <c r="K405" s="4" t="str">
        <f>PROPER(TEXT(Tabla8[[#This Row],[FECHA]],"mmm"))</f>
        <v>Ene</v>
      </c>
      <c r="L405" s="5">
        <v>46044</v>
      </c>
      <c r="M405" s="3" t="s">
        <v>23</v>
      </c>
      <c r="N405" s="3" t="s">
        <v>590</v>
      </c>
      <c r="O405" s="8" t="s">
        <v>591</v>
      </c>
      <c r="P405" s="3" t="s">
        <v>592</v>
      </c>
      <c r="Q405" s="3" t="s">
        <v>593</v>
      </c>
      <c r="R405" s="6">
        <v>1500</v>
      </c>
      <c r="S405" s="3" t="s">
        <v>20</v>
      </c>
    </row>
    <row r="406" spans="11:19" x14ac:dyDescent="0.2">
      <c r="K406" s="4" t="str">
        <f>PROPER(TEXT(Tabla8[[#This Row],[FECHA]],"mmm"))</f>
        <v>Ene</v>
      </c>
      <c r="L406" s="5">
        <v>46044</v>
      </c>
      <c r="M406" s="3" t="s">
        <v>39</v>
      </c>
      <c r="N406" s="3" t="s">
        <v>448</v>
      </c>
      <c r="O406" s="8" t="s">
        <v>589</v>
      </c>
      <c r="P406" s="3" t="s">
        <v>22</v>
      </c>
      <c r="Q406" s="3" t="s">
        <v>412</v>
      </c>
      <c r="R406" s="6">
        <v>50000</v>
      </c>
      <c r="S406" s="3" t="s">
        <v>20</v>
      </c>
    </row>
    <row r="407" spans="11:19" x14ac:dyDescent="0.2">
      <c r="K407" s="4" t="str">
        <f>PROPER(TEXT(Tabla8[[#This Row],[FECHA]],"mmm"))</f>
        <v>Ene</v>
      </c>
      <c r="L407" s="5">
        <v>46043</v>
      </c>
      <c r="M407" s="3" t="s">
        <v>23</v>
      </c>
      <c r="N407" s="3" t="s">
        <v>949</v>
      </c>
      <c r="O407" s="8" t="s">
        <v>950</v>
      </c>
      <c r="P407" s="3" t="s">
        <v>24</v>
      </c>
      <c r="Q407" s="3" t="s">
        <v>951</v>
      </c>
      <c r="R407" s="6">
        <v>74000</v>
      </c>
      <c r="S407" s="3" t="s">
        <v>25</v>
      </c>
    </row>
    <row r="408" spans="11:19" x14ac:dyDescent="0.2">
      <c r="K408" s="4" t="str">
        <f>PROPER(TEXT(Tabla8[[#This Row],[FECHA]],"mmm"))</f>
        <v>Ene</v>
      </c>
      <c r="L408" s="5">
        <v>46043</v>
      </c>
      <c r="M408" s="3" t="s">
        <v>23</v>
      </c>
      <c r="N408" s="3" t="s">
        <v>776</v>
      </c>
      <c r="O408" s="8" t="s">
        <v>777</v>
      </c>
      <c r="P408" s="3" t="s">
        <v>24</v>
      </c>
      <c r="Q408" s="3" t="s">
        <v>778</v>
      </c>
      <c r="R408" s="6">
        <v>66279</v>
      </c>
      <c r="S408" s="3" t="s">
        <v>25</v>
      </c>
    </row>
    <row r="409" spans="11:19" x14ac:dyDescent="0.2">
      <c r="K409" s="4" t="str">
        <f>PROPER(TEXT(Tabla8[[#This Row],[FECHA]],"mmm"))</f>
        <v>Ene</v>
      </c>
      <c r="L409" s="5">
        <v>46042</v>
      </c>
      <c r="M409" s="3" t="s">
        <v>23</v>
      </c>
      <c r="N409" s="3" t="s">
        <v>959</v>
      </c>
      <c r="O409" s="8" t="s">
        <v>414</v>
      </c>
      <c r="P409" s="3" t="s">
        <v>22</v>
      </c>
      <c r="Q409" s="3" t="s">
        <v>533</v>
      </c>
      <c r="R409" s="6">
        <v>93240</v>
      </c>
      <c r="S409" s="3" t="s">
        <v>29</v>
      </c>
    </row>
    <row r="410" spans="11:19" x14ac:dyDescent="0.2">
      <c r="K410" s="4" t="str">
        <f>PROPER(TEXT(Tabla8[[#This Row],[FECHA]],"mmm"))</f>
        <v>Ene</v>
      </c>
      <c r="L410" s="5">
        <v>46042</v>
      </c>
      <c r="M410" s="3" t="s">
        <v>23</v>
      </c>
      <c r="N410" s="3" t="s">
        <v>955</v>
      </c>
      <c r="O410" s="8" t="s">
        <v>21</v>
      </c>
      <c r="P410" s="3" t="s">
        <v>22</v>
      </c>
      <c r="Q410" s="3" t="s">
        <v>956</v>
      </c>
      <c r="R410" s="6">
        <v>359600</v>
      </c>
      <c r="S410" s="3" t="s">
        <v>29</v>
      </c>
    </row>
    <row r="411" spans="11:19" x14ac:dyDescent="0.2">
      <c r="K411" s="4" t="str">
        <f>PROPER(TEXT(Tabla8[[#This Row],[FECHA]],"mmm"))</f>
        <v>Ene</v>
      </c>
      <c r="L411" s="5">
        <v>46042</v>
      </c>
      <c r="M411" s="3" t="s">
        <v>35</v>
      </c>
      <c r="N411" s="3" t="s">
        <v>954</v>
      </c>
      <c r="O411" s="8" t="s">
        <v>936</v>
      </c>
      <c r="P411" s="3" t="s">
        <v>24</v>
      </c>
      <c r="Q411" s="3" t="s">
        <v>937</v>
      </c>
      <c r="R411" s="6">
        <v>3781000</v>
      </c>
      <c r="S411" s="3" t="s">
        <v>29</v>
      </c>
    </row>
    <row r="412" spans="11:19" x14ac:dyDescent="0.2">
      <c r="K412" s="4" t="str">
        <f>PROPER(TEXT(Tabla8[[#This Row],[FECHA]],"mmm"))</f>
        <v>Ene</v>
      </c>
      <c r="L412" s="5">
        <v>46042</v>
      </c>
      <c r="M412" s="3" t="s">
        <v>31</v>
      </c>
      <c r="N412" s="3" t="s">
        <v>952</v>
      </c>
      <c r="O412" s="8" t="s">
        <v>21</v>
      </c>
      <c r="P412" s="3" t="s">
        <v>22</v>
      </c>
      <c r="Q412" s="3" t="s">
        <v>953</v>
      </c>
      <c r="R412" s="6">
        <v>21000</v>
      </c>
      <c r="S412" s="3" t="s">
        <v>25</v>
      </c>
    </row>
    <row r="413" spans="11:19" x14ac:dyDescent="0.2">
      <c r="K413" s="4" t="str">
        <f>PROPER(TEXT(Tabla8[[#This Row],[FECHA]],"mmm"))</f>
        <v>Ene</v>
      </c>
      <c r="L413" s="5">
        <v>46042</v>
      </c>
      <c r="M413" s="3" t="s">
        <v>37</v>
      </c>
      <c r="N413" s="3" t="s">
        <v>784</v>
      </c>
      <c r="O413" s="8" t="s">
        <v>787</v>
      </c>
      <c r="P413" s="3" t="s">
        <v>411</v>
      </c>
      <c r="Q413" s="3" t="s">
        <v>418</v>
      </c>
      <c r="R413" s="6">
        <v>19950</v>
      </c>
      <c r="S413" s="3" t="s">
        <v>25</v>
      </c>
    </row>
    <row r="414" spans="11:19" x14ac:dyDescent="0.2">
      <c r="K414" s="4" t="str">
        <f>PROPER(TEXT(Tabla8[[#This Row],[FECHA]],"mmm"))</f>
        <v>Ene</v>
      </c>
      <c r="L414" s="5">
        <v>46042</v>
      </c>
      <c r="M414" s="3" t="s">
        <v>539</v>
      </c>
      <c r="N414" s="3" t="s">
        <v>540</v>
      </c>
      <c r="O414" s="8" t="s">
        <v>786</v>
      </c>
      <c r="P414" s="3" t="s">
        <v>592</v>
      </c>
      <c r="Q414" s="3" t="s">
        <v>542</v>
      </c>
      <c r="R414" s="6">
        <v>10000</v>
      </c>
      <c r="S414" s="3" t="s">
        <v>25</v>
      </c>
    </row>
    <row r="415" spans="11:19" x14ac:dyDescent="0.2">
      <c r="K415" s="4" t="str">
        <f>PROPER(TEXT(Tabla8[[#This Row],[FECHA]],"mmm"))</f>
        <v>Ene</v>
      </c>
      <c r="L415" s="5">
        <v>46042</v>
      </c>
      <c r="M415" s="3" t="s">
        <v>23</v>
      </c>
      <c r="N415" s="3" t="s">
        <v>615</v>
      </c>
      <c r="O415" s="8" t="s">
        <v>616</v>
      </c>
      <c r="P415" s="3" t="s">
        <v>24</v>
      </c>
      <c r="Q415" s="3" t="s">
        <v>617</v>
      </c>
      <c r="R415" s="6">
        <v>4800</v>
      </c>
      <c r="S415" s="3" t="s">
        <v>20</v>
      </c>
    </row>
    <row r="416" spans="11:19" x14ac:dyDescent="0.2">
      <c r="K416" s="4" t="str">
        <f>PROPER(TEXT(Tabla8[[#This Row],[FECHA]],"mmm"))</f>
        <v>Ene</v>
      </c>
      <c r="L416" s="5">
        <v>46042</v>
      </c>
      <c r="M416" s="3" t="s">
        <v>23</v>
      </c>
      <c r="N416" s="3" t="s">
        <v>613</v>
      </c>
      <c r="O416" s="8" t="s">
        <v>614</v>
      </c>
      <c r="P416" s="3" t="s">
        <v>592</v>
      </c>
      <c r="Q416" s="3" t="s">
        <v>511</v>
      </c>
      <c r="R416" s="6">
        <v>7430</v>
      </c>
      <c r="S416" s="3" t="s">
        <v>20</v>
      </c>
    </row>
    <row r="417" spans="11:19" x14ac:dyDescent="0.2">
      <c r="K417" s="4" t="str">
        <f>PROPER(TEXT(Tabla8[[#This Row],[FECHA]],"mmm"))</f>
        <v>Ene</v>
      </c>
      <c r="L417" s="5">
        <v>46042</v>
      </c>
      <c r="M417" s="3" t="s">
        <v>23</v>
      </c>
      <c r="N417" s="3" t="s">
        <v>577</v>
      </c>
      <c r="O417" s="8" t="s">
        <v>21</v>
      </c>
      <c r="P417" s="3" t="s">
        <v>22</v>
      </c>
      <c r="Q417" s="3" t="s">
        <v>578</v>
      </c>
      <c r="R417" s="6">
        <v>16000</v>
      </c>
      <c r="S417" s="3" t="s">
        <v>20</v>
      </c>
    </row>
    <row r="418" spans="11:19" x14ac:dyDescent="0.2">
      <c r="K418" s="4" t="str">
        <f>PROPER(TEXT(Tabla8[[#This Row],[FECHA]],"mmm"))</f>
        <v>Ene</v>
      </c>
      <c r="L418" s="5">
        <v>46041</v>
      </c>
      <c r="M418" s="3" t="s">
        <v>31</v>
      </c>
      <c r="N418" s="3" t="s">
        <v>962</v>
      </c>
      <c r="O418" s="8" t="s">
        <v>963</v>
      </c>
      <c r="P418" s="3" t="s">
        <v>24</v>
      </c>
      <c r="Q418" s="3" t="s">
        <v>866</v>
      </c>
      <c r="R418" s="6">
        <v>428000</v>
      </c>
      <c r="S418" s="3" t="s">
        <v>29</v>
      </c>
    </row>
    <row r="419" spans="11:19" x14ac:dyDescent="0.2">
      <c r="K419" s="4" t="str">
        <f>PROPER(TEXT(Tabla8[[#This Row],[FECHA]],"mmm"))</f>
        <v>Ene</v>
      </c>
      <c r="L419" s="5">
        <v>46041</v>
      </c>
      <c r="M419" s="3" t="s">
        <v>23</v>
      </c>
      <c r="N419" s="3" t="s">
        <v>451</v>
      </c>
      <c r="O419" s="8" t="s">
        <v>961</v>
      </c>
      <c r="P419" s="3" t="s">
        <v>411</v>
      </c>
      <c r="Q419" s="3" t="s">
        <v>452</v>
      </c>
      <c r="R419" s="6">
        <v>100000</v>
      </c>
      <c r="S419" s="3" t="s">
        <v>29</v>
      </c>
    </row>
    <row r="420" spans="11:19" x14ac:dyDescent="0.2">
      <c r="K420" s="4" t="str">
        <f>PROPER(TEXT(Tabla8[[#This Row],[FECHA]],"mmm"))</f>
        <v>Ene</v>
      </c>
      <c r="L420" s="5">
        <v>46041</v>
      </c>
      <c r="M420" s="3" t="s">
        <v>35</v>
      </c>
      <c r="N420" s="3" t="s">
        <v>697</v>
      </c>
      <c r="O420" s="8" t="s">
        <v>801</v>
      </c>
      <c r="P420" s="3" t="s">
        <v>24</v>
      </c>
      <c r="Q420" s="3" t="s">
        <v>639</v>
      </c>
      <c r="R420" s="6">
        <v>1572228</v>
      </c>
      <c r="S420" s="3" t="s">
        <v>29</v>
      </c>
    </row>
    <row r="421" spans="11:19" x14ac:dyDescent="0.2">
      <c r="K421" s="4" t="str">
        <f>PROPER(TEXT(Tabla8[[#This Row],[FECHA]],"mmm"))</f>
        <v>Ene</v>
      </c>
      <c r="L421" s="5">
        <v>46041</v>
      </c>
      <c r="M421" s="3" t="s">
        <v>37</v>
      </c>
      <c r="N421" s="3" t="s">
        <v>799</v>
      </c>
      <c r="O421" s="8" t="s">
        <v>800</v>
      </c>
      <c r="P421" s="3" t="s">
        <v>411</v>
      </c>
      <c r="Q421" s="3" t="s">
        <v>478</v>
      </c>
      <c r="R421" s="6">
        <v>86042</v>
      </c>
      <c r="S421" s="3" t="s">
        <v>29</v>
      </c>
    </row>
    <row r="422" spans="11:19" x14ac:dyDescent="0.2">
      <c r="K422" s="4" t="str">
        <f>PROPER(TEXT(Tabla8[[#This Row],[FECHA]],"mmm"))</f>
        <v>Ene</v>
      </c>
      <c r="L422" s="5">
        <v>46041</v>
      </c>
      <c r="M422" s="3" t="s">
        <v>37</v>
      </c>
      <c r="N422" s="3" t="s">
        <v>794</v>
      </c>
      <c r="O422" s="8" t="s">
        <v>795</v>
      </c>
      <c r="P422" s="3" t="s">
        <v>411</v>
      </c>
      <c r="Q422" s="3" t="s">
        <v>478</v>
      </c>
      <c r="R422" s="6">
        <v>13175</v>
      </c>
      <c r="S422" s="3" t="s">
        <v>29</v>
      </c>
    </row>
    <row r="423" spans="11:19" x14ac:dyDescent="0.2">
      <c r="K423" s="4" t="str">
        <f>PROPER(TEXT(Tabla8[[#This Row],[FECHA]],"mmm"))</f>
        <v>Ene</v>
      </c>
      <c r="L423" s="5">
        <v>46041</v>
      </c>
      <c r="M423" s="3" t="s">
        <v>46</v>
      </c>
      <c r="N423" s="3" t="s">
        <v>788</v>
      </c>
      <c r="O423" s="8" t="s">
        <v>789</v>
      </c>
      <c r="P423" s="3" t="s">
        <v>24</v>
      </c>
      <c r="Q423" s="3" t="s">
        <v>533</v>
      </c>
      <c r="R423" s="6">
        <v>54300</v>
      </c>
      <c r="S423" s="3" t="s">
        <v>25</v>
      </c>
    </row>
    <row r="424" spans="11:19" x14ac:dyDescent="0.2">
      <c r="K424" s="4" t="str">
        <f>PROPER(TEXT(Tabla8[[#This Row],[FECHA]],"mmm"))</f>
        <v>Ene</v>
      </c>
      <c r="L424" s="5">
        <v>46041</v>
      </c>
      <c r="M424" s="3" t="s">
        <v>23</v>
      </c>
      <c r="N424" s="3" t="s">
        <v>579</v>
      </c>
      <c r="O424" s="8" t="s">
        <v>580</v>
      </c>
      <c r="P424" s="3" t="s">
        <v>24</v>
      </c>
      <c r="Q424" s="3" t="s">
        <v>581</v>
      </c>
      <c r="R424" s="6">
        <v>165600</v>
      </c>
      <c r="S424" s="3" t="s">
        <v>25</v>
      </c>
    </row>
    <row r="425" spans="11:19" x14ac:dyDescent="0.2">
      <c r="K425" s="4" t="str">
        <f>PROPER(TEXT(Tabla8[[#This Row],[FECHA]],"mmm"))</f>
        <v>Ene</v>
      </c>
      <c r="L425" s="5">
        <v>46041</v>
      </c>
      <c r="M425" s="3" t="s">
        <v>37</v>
      </c>
      <c r="N425" s="3" t="s">
        <v>785</v>
      </c>
      <c r="O425" s="8" t="s">
        <v>783</v>
      </c>
      <c r="P425" s="3" t="s">
        <v>24</v>
      </c>
      <c r="Q425" s="3" t="s">
        <v>418</v>
      </c>
      <c r="R425" s="6">
        <v>49740</v>
      </c>
      <c r="S425" s="3" t="s">
        <v>25</v>
      </c>
    </row>
    <row r="426" spans="11:19" x14ac:dyDescent="0.2">
      <c r="K426" s="4" t="str">
        <f>PROPER(TEXT(Tabla8[[#This Row],[FECHA]],"mmm"))</f>
        <v>Ene</v>
      </c>
      <c r="L426" s="5">
        <v>46041</v>
      </c>
      <c r="M426" s="3" t="s">
        <v>23</v>
      </c>
      <c r="N426" s="3" t="s">
        <v>768</v>
      </c>
      <c r="O426" s="8" t="s">
        <v>769</v>
      </c>
      <c r="P426" s="3" t="s">
        <v>24</v>
      </c>
      <c r="Q426" s="3" t="s">
        <v>770</v>
      </c>
      <c r="R426" s="6">
        <v>750000</v>
      </c>
      <c r="S426" s="3" t="s">
        <v>29</v>
      </c>
    </row>
    <row r="427" spans="11:19" x14ac:dyDescent="0.2">
      <c r="K427" s="4" t="str">
        <f>PROPER(TEXT(Tabla8[[#This Row],[FECHA]],"mmm"))</f>
        <v>Ene</v>
      </c>
      <c r="L427" s="5">
        <v>46041</v>
      </c>
      <c r="M427" s="3" t="s">
        <v>37</v>
      </c>
      <c r="N427" s="3" t="s">
        <v>766</v>
      </c>
      <c r="O427" s="8" t="s">
        <v>767</v>
      </c>
      <c r="P427" s="3" t="s">
        <v>411</v>
      </c>
      <c r="Q427" s="3" t="s">
        <v>744</v>
      </c>
      <c r="R427" s="6">
        <v>20260</v>
      </c>
      <c r="S427" s="3" t="s">
        <v>25</v>
      </c>
    </row>
    <row r="428" spans="11:19" x14ac:dyDescent="0.2">
      <c r="K428" s="4" t="str">
        <f>PROPER(TEXT(Tabla8[[#This Row],[FECHA]],"mmm"))</f>
        <v>Ene</v>
      </c>
      <c r="L428" s="5">
        <v>46039</v>
      </c>
      <c r="M428" s="3" t="s">
        <v>23</v>
      </c>
      <c r="N428" s="3" t="s">
        <v>422</v>
      </c>
      <c r="O428" s="8" t="s">
        <v>21</v>
      </c>
      <c r="P428" s="3" t="s">
        <v>22</v>
      </c>
      <c r="Q428" s="3" t="s">
        <v>423</v>
      </c>
      <c r="R428" s="6">
        <v>34000</v>
      </c>
      <c r="S428" s="3" t="s">
        <v>20</v>
      </c>
    </row>
    <row r="429" spans="11:19" x14ac:dyDescent="0.2">
      <c r="K429" s="4" t="str">
        <f>PROPER(TEXT(Tabla8[[#This Row],[FECHA]],"mmm"))</f>
        <v>Ene</v>
      </c>
      <c r="L429" s="5">
        <v>46038</v>
      </c>
      <c r="M429" s="3" t="s">
        <v>35</v>
      </c>
      <c r="N429" s="3" t="s">
        <v>933</v>
      </c>
      <c r="O429" s="8" t="s">
        <v>989</v>
      </c>
      <c r="P429" s="3" t="s">
        <v>24</v>
      </c>
      <c r="Q429" s="3" t="s">
        <v>871</v>
      </c>
      <c r="R429" s="6">
        <v>63308</v>
      </c>
      <c r="S429" s="3" t="s">
        <v>29</v>
      </c>
    </row>
    <row r="430" spans="11:19" x14ac:dyDescent="0.2">
      <c r="K430" s="4" t="str">
        <f>PROPER(TEXT(Tabla8[[#This Row],[FECHA]],"mmm"))</f>
        <v>Ene</v>
      </c>
      <c r="L430" s="5">
        <v>46038</v>
      </c>
      <c r="M430" s="3" t="s">
        <v>37</v>
      </c>
      <c r="N430" s="3" t="s">
        <v>988</v>
      </c>
      <c r="O430" s="8" t="s">
        <v>414</v>
      </c>
      <c r="P430" s="3" t="s">
        <v>24</v>
      </c>
      <c r="Q430" s="3" t="s">
        <v>418</v>
      </c>
      <c r="R430" s="6">
        <v>38660</v>
      </c>
      <c r="S430" s="3" t="s">
        <v>25</v>
      </c>
    </row>
    <row r="431" spans="11:19" x14ac:dyDescent="0.2">
      <c r="K431" s="4" t="str">
        <f>PROPER(TEXT(Tabla8[[#This Row],[FECHA]],"mmm"))</f>
        <v>Ene</v>
      </c>
      <c r="L431" s="5">
        <v>46038</v>
      </c>
      <c r="M431" s="3" t="s">
        <v>31</v>
      </c>
      <c r="N431" s="3" t="s">
        <v>872</v>
      </c>
      <c r="O431" s="8" t="s">
        <v>873</v>
      </c>
      <c r="P431" s="3" t="s">
        <v>411</v>
      </c>
      <c r="Q431" s="3" t="s">
        <v>519</v>
      </c>
      <c r="R431" s="6">
        <v>39535</v>
      </c>
      <c r="S431" s="3" t="s">
        <v>25</v>
      </c>
    </row>
    <row r="432" spans="11:19" x14ac:dyDescent="0.2">
      <c r="K432" s="4" t="str">
        <f>PROPER(TEXT(Tabla8[[#This Row],[FECHA]],"mmm"))</f>
        <v>Ene</v>
      </c>
      <c r="L432" s="5">
        <v>46038</v>
      </c>
      <c r="M432" s="3" t="s">
        <v>37</v>
      </c>
      <c r="N432" s="3" t="s">
        <v>435</v>
      </c>
      <c r="O432" s="8" t="s">
        <v>21</v>
      </c>
      <c r="P432" s="3" t="s">
        <v>411</v>
      </c>
      <c r="Q432" s="3" t="s">
        <v>418</v>
      </c>
      <c r="R432" s="6">
        <v>28180</v>
      </c>
      <c r="S432" s="3" t="s">
        <v>25</v>
      </c>
    </row>
    <row r="433" spans="11:19" x14ac:dyDescent="0.2">
      <c r="K433" s="4" t="str">
        <f>PROPER(TEXT(Tabla8[[#This Row],[FECHA]],"mmm"))</f>
        <v>Ene</v>
      </c>
      <c r="L433" s="5">
        <v>46038</v>
      </c>
      <c r="M433" s="3" t="s">
        <v>23</v>
      </c>
      <c r="N433" s="3" t="s">
        <v>869</v>
      </c>
      <c r="O433" s="8" t="s">
        <v>870</v>
      </c>
      <c r="P433" s="3" t="s">
        <v>24</v>
      </c>
      <c r="Q433" s="3" t="s">
        <v>871</v>
      </c>
      <c r="R433" s="6">
        <v>35700</v>
      </c>
      <c r="S433" s="3" t="s">
        <v>29</v>
      </c>
    </row>
    <row r="434" spans="11:19" x14ac:dyDescent="0.2">
      <c r="K434" s="4" t="str">
        <f>PROPER(TEXT(Tabla8[[#This Row],[FECHA]],"mmm"))</f>
        <v>Ene</v>
      </c>
      <c r="L434" s="5">
        <v>46038</v>
      </c>
      <c r="M434" s="3" t="s">
        <v>23</v>
      </c>
      <c r="N434" s="3" t="s">
        <v>867</v>
      </c>
      <c r="O434" s="8" t="s">
        <v>21</v>
      </c>
      <c r="P434" s="3" t="s">
        <v>22</v>
      </c>
      <c r="Q434" s="3" t="s">
        <v>868</v>
      </c>
      <c r="R434" s="6">
        <v>107100</v>
      </c>
      <c r="S434" s="3" t="s">
        <v>29</v>
      </c>
    </row>
    <row r="435" spans="11:19" x14ac:dyDescent="0.2">
      <c r="K435" s="4" t="str">
        <f>PROPER(TEXT(Tabla8[[#This Row],[FECHA]],"mmm"))</f>
        <v>Ene</v>
      </c>
      <c r="L435" s="5">
        <v>46038</v>
      </c>
      <c r="M435" s="3" t="s">
        <v>31</v>
      </c>
      <c r="N435" s="3" t="s">
        <v>864</v>
      </c>
      <c r="O435" s="8" t="s">
        <v>865</v>
      </c>
      <c r="P435" s="3" t="s">
        <v>24</v>
      </c>
      <c r="Q435" s="3" t="s">
        <v>866</v>
      </c>
      <c r="R435" s="6">
        <v>757000</v>
      </c>
      <c r="S435" s="3" t="s">
        <v>29</v>
      </c>
    </row>
    <row r="436" spans="11:19" x14ac:dyDescent="0.2">
      <c r="K436" s="4" t="str">
        <f>PROPER(TEXT(Tabla8[[#This Row],[FECHA]],"mmm"))</f>
        <v>Ene</v>
      </c>
      <c r="L436" s="5">
        <v>46038</v>
      </c>
      <c r="M436" s="3" t="s">
        <v>23</v>
      </c>
      <c r="N436" s="3" t="s">
        <v>796</v>
      </c>
      <c r="O436" s="8" t="s">
        <v>797</v>
      </c>
      <c r="P436" s="3" t="s">
        <v>24</v>
      </c>
      <c r="Q436" s="3" t="s">
        <v>798</v>
      </c>
      <c r="R436" s="6">
        <v>316980</v>
      </c>
      <c r="S436" s="3" t="s">
        <v>29</v>
      </c>
    </row>
    <row r="437" spans="11:19" x14ac:dyDescent="0.2">
      <c r="K437" s="4" t="str">
        <f>PROPER(TEXT(Tabla8[[#This Row],[FECHA]],"mmm"))</f>
        <v>Ene</v>
      </c>
      <c r="L437" s="5">
        <v>46038</v>
      </c>
      <c r="M437" s="3" t="s">
        <v>39</v>
      </c>
      <c r="N437" s="3" t="s">
        <v>576</v>
      </c>
      <c r="O437" s="8" t="s">
        <v>21</v>
      </c>
      <c r="P437" s="3" t="s">
        <v>411</v>
      </c>
      <c r="Q437" s="3" t="s">
        <v>574</v>
      </c>
      <c r="R437" s="6">
        <v>100000</v>
      </c>
      <c r="S437" s="3" t="s">
        <v>20</v>
      </c>
    </row>
    <row r="438" spans="11:19" x14ac:dyDescent="0.2">
      <c r="K438" s="4" t="str">
        <f>PROPER(TEXT(Tabla8[[#This Row],[FECHA]],"mmm"))</f>
        <v>Ene</v>
      </c>
      <c r="L438" s="5">
        <v>46037</v>
      </c>
      <c r="M438" s="3" t="s">
        <v>35</v>
      </c>
      <c r="N438" s="3" t="s">
        <v>861</v>
      </c>
      <c r="O438" s="8" t="s">
        <v>414</v>
      </c>
      <c r="P438" s="3" t="s">
        <v>24</v>
      </c>
      <c r="Q438" s="3" t="s">
        <v>431</v>
      </c>
      <c r="R438" s="6">
        <v>570486</v>
      </c>
      <c r="S438" s="3" t="s">
        <v>29</v>
      </c>
    </row>
    <row r="439" spans="11:19" x14ac:dyDescent="0.2">
      <c r="K439" s="4" t="str">
        <f>PROPER(TEXT(Tabla8[[#This Row],[FECHA]],"mmm"))</f>
        <v>Ene</v>
      </c>
      <c r="L439" s="5">
        <v>46037</v>
      </c>
      <c r="M439" s="3" t="s">
        <v>39</v>
      </c>
      <c r="N439" s="3" t="s">
        <v>434</v>
      </c>
      <c r="O439" s="8" t="s">
        <v>572</v>
      </c>
      <c r="P439" s="3" t="s">
        <v>411</v>
      </c>
      <c r="Q439" s="3" t="s">
        <v>433</v>
      </c>
      <c r="R439" s="6">
        <v>200000</v>
      </c>
      <c r="S439" s="3" t="s">
        <v>20</v>
      </c>
    </row>
    <row r="440" spans="11:19" x14ac:dyDescent="0.2">
      <c r="K440" s="4" t="str">
        <f>PROPER(TEXT(Tabla8[[#This Row],[FECHA]],"mmm"))</f>
        <v>Ene</v>
      </c>
      <c r="L440" s="5">
        <v>46037</v>
      </c>
      <c r="M440" s="3" t="s">
        <v>37</v>
      </c>
      <c r="N440" s="3" t="s">
        <v>569</v>
      </c>
      <c r="O440" s="8" t="s">
        <v>570</v>
      </c>
      <c r="P440" s="3" t="s">
        <v>24</v>
      </c>
      <c r="Q440" s="3" t="s">
        <v>418</v>
      </c>
      <c r="R440" s="6">
        <v>14350</v>
      </c>
      <c r="S440" s="3" t="s">
        <v>25</v>
      </c>
    </row>
    <row r="441" spans="11:19" x14ac:dyDescent="0.2">
      <c r="K441" s="4" t="str">
        <f>PROPER(TEXT(Tabla8[[#This Row],[FECHA]],"mmm"))</f>
        <v>Ene</v>
      </c>
      <c r="L441" s="5">
        <v>46036</v>
      </c>
      <c r="M441" s="3" t="s">
        <v>23</v>
      </c>
      <c r="N441" s="3" t="s">
        <v>862</v>
      </c>
      <c r="O441" s="8" t="s">
        <v>863</v>
      </c>
      <c r="P441" s="3" t="s">
        <v>411</v>
      </c>
      <c r="Q441" s="3" t="s">
        <v>519</v>
      </c>
      <c r="R441" s="6">
        <v>131162</v>
      </c>
      <c r="S441" s="3" t="s">
        <v>25</v>
      </c>
    </row>
    <row r="442" spans="11:19" x14ac:dyDescent="0.2">
      <c r="K442" s="4" t="str">
        <f>PROPER(TEXT(Tabla8[[#This Row],[FECHA]],"mmm"))</f>
        <v>Ene</v>
      </c>
      <c r="L442" s="5">
        <v>46036</v>
      </c>
      <c r="M442" s="3" t="s">
        <v>74</v>
      </c>
      <c r="N442" s="3" t="s">
        <v>859</v>
      </c>
      <c r="O442" s="8" t="s">
        <v>21</v>
      </c>
      <c r="P442" s="3" t="s">
        <v>22</v>
      </c>
      <c r="Q442" s="3" t="s">
        <v>860</v>
      </c>
      <c r="R442" s="6">
        <v>40000</v>
      </c>
      <c r="S442" s="3" t="s">
        <v>29</v>
      </c>
    </row>
    <row r="443" spans="11:19" x14ac:dyDescent="0.2">
      <c r="K443" s="4" t="str">
        <f>PROPER(TEXT(Tabla8[[#This Row],[FECHA]],"mmm"))</f>
        <v>Ene</v>
      </c>
      <c r="L443" s="5">
        <v>46036</v>
      </c>
      <c r="M443" s="3" t="s">
        <v>35</v>
      </c>
      <c r="N443" s="3" t="s">
        <v>856</v>
      </c>
      <c r="O443" s="8" t="s">
        <v>857</v>
      </c>
      <c r="P443" s="3" t="s">
        <v>24</v>
      </c>
      <c r="Q443" s="3" t="s">
        <v>858</v>
      </c>
      <c r="R443" s="6">
        <v>480000</v>
      </c>
      <c r="S443" s="3" t="s">
        <v>29</v>
      </c>
    </row>
    <row r="444" spans="11:19" x14ac:dyDescent="0.2">
      <c r="K444" s="4" t="str">
        <f>PROPER(TEXT(Tabla8[[#This Row],[FECHA]],"mmm"))</f>
        <v>Ene</v>
      </c>
      <c r="L444" s="5">
        <v>46036</v>
      </c>
      <c r="M444" s="3" t="s">
        <v>23</v>
      </c>
      <c r="N444" s="3" t="s">
        <v>554</v>
      </c>
      <c r="O444" s="8" t="s">
        <v>555</v>
      </c>
      <c r="P444" s="3" t="s">
        <v>411</v>
      </c>
      <c r="Q444" s="3" t="s">
        <v>556</v>
      </c>
      <c r="R444" s="6">
        <v>10747</v>
      </c>
      <c r="S444" s="3" t="s">
        <v>25</v>
      </c>
    </row>
    <row r="445" spans="11:19" x14ac:dyDescent="0.2">
      <c r="K445" s="4" t="str">
        <f>PROPER(TEXT(Tabla8[[#This Row],[FECHA]],"mmm"))</f>
        <v>Ene</v>
      </c>
      <c r="L445" s="5">
        <v>46036</v>
      </c>
      <c r="M445" s="3" t="s">
        <v>539</v>
      </c>
      <c r="N445" s="3" t="s">
        <v>540</v>
      </c>
      <c r="O445" s="8" t="s">
        <v>541</v>
      </c>
      <c r="P445" s="3" t="s">
        <v>24</v>
      </c>
      <c r="Q445" s="3" t="s">
        <v>542</v>
      </c>
      <c r="R445" s="6">
        <v>38015</v>
      </c>
      <c r="S445" s="3" t="s">
        <v>25</v>
      </c>
    </row>
    <row r="446" spans="11:19" x14ac:dyDescent="0.2">
      <c r="K446" s="4" t="str">
        <f>PROPER(TEXT(Tabla8[[#This Row],[FECHA]],"mmm"))</f>
        <v>Ene</v>
      </c>
      <c r="L446" s="5">
        <v>46035</v>
      </c>
      <c r="M446" s="3" t="s">
        <v>23</v>
      </c>
      <c r="N446" s="3" t="s">
        <v>990</v>
      </c>
      <c r="O446" s="8" t="s">
        <v>852</v>
      </c>
      <c r="P446" s="3" t="s">
        <v>24</v>
      </c>
      <c r="Q446" s="3" t="s">
        <v>991</v>
      </c>
      <c r="R446" s="6">
        <v>35700</v>
      </c>
      <c r="S446" s="3" t="s">
        <v>29</v>
      </c>
    </row>
    <row r="447" spans="11:19" x14ac:dyDescent="0.2">
      <c r="K447" s="4" t="str">
        <f>PROPER(TEXT(Tabla8[[#This Row],[FECHA]],"mmm"))</f>
        <v>Ene</v>
      </c>
      <c r="L447" s="5">
        <v>46035</v>
      </c>
      <c r="M447" s="3" t="s">
        <v>23</v>
      </c>
      <c r="N447" s="3" t="s">
        <v>854</v>
      </c>
      <c r="O447" s="8" t="s">
        <v>855</v>
      </c>
      <c r="P447" s="3" t="s">
        <v>411</v>
      </c>
      <c r="Q447" s="3" t="s">
        <v>519</v>
      </c>
      <c r="R447" s="6">
        <v>88990</v>
      </c>
      <c r="S447" s="3" t="s">
        <v>25</v>
      </c>
    </row>
    <row r="448" spans="11:19" x14ac:dyDescent="0.2">
      <c r="K448" s="4" t="str">
        <f>PROPER(TEXT(Tabla8[[#This Row],[FECHA]],"mmm"))</f>
        <v>Ene</v>
      </c>
      <c r="L448" s="5">
        <v>46035</v>
      </c>
      <c r="M448" s="3" t="s">
        <v>23</v>
      </c>
      <c r="N448" s="3" t="s">
        <v>851</v>
      </c>
      <c r="O448" s="8" t="s">
        <v>852</v>
      </c>
      <c r="P448" s="3" t="s">
        <v>24</v>
      </c>
      <c r="Q448" s="3" t="s">
        <v>853</v>
      </c>
      <c r="R448" s="6">
        <v>35700</v>
      </c>
      <c r="S448" s="3" t="s">
        <v>29</v>
      </c>
    </row>
    <row r="449" spans="11:19" x14ac:dyDescent="0.2">
      <c r="K449" s="4" t="str">
        <f>PROPER(TEXT(Tabla8[[#This Row],[FECHA]],"mmm"))</f>
        <v>Ene</v>
      </c>
      <c r="L449" s="5">
        <v>46035</v>
      </c>
      <c r="M449" s="3" t="s">
        <v>23</v>
      </c>
      <c r="N449" s="3" t="s">
        <v>849</v>
      </c>
      <c r="O449" s="8" t="s">
        <v>850</v>
      </c>
      <c r="P449" s="3" t="s">
        <v>411</v>
      </c>
      <c r="Q449" s="3" t="s">
        <v>519</v>
      </c>
      <c r="R449" s="6">
        <v>65581</v>
      </c>
      <c r="S449" s="3" t="s">
        <v>25</v>
      </c>
    </row>
    <row r="450" spans="11:19" x14ac:dyDescent="0.2">
      <c r="K450" s="4" t="str">
        <f>PROPER(TEXT(Tabla8[[#This Row],[FECHA]],"mmm"))</f>
        <v>Ene</v>
      </c>
      <c r="L450" s="5">
        <v>46035</v>
      </c>
      <c r="M450" s="3" t="s">
        <v>23</v>
      </c>
      <c r="N450" s="3" t="s">
        <v>823</v>
      </c>
      <c r="O450" s="8" t="s">
        <v>21</v>
      </c>
      <c r="P450" s="3" t="s">
        <v>24</v>
      </c>
      <c r="Q450" s="3" t="s">
        <v>466</v>
      </c>
      <c r="R450" s="6">
        <v>80730</v>
      </c>
      <c r="S450" s="3" t="s">
        <v>25</v>
      </c>
    </row>
    <row r="451" spans="11:19" x14ac:dyDescent="0.2">
      <c r="K451" s="4" t="str">
        <f>PROPER(TEXT(Tabla8[[#This Row],[FECHA]],"mmm"))</f>
        <v>Ene</v>
      </c>
      <c r="L451" s="5">
        <v>46035</v>
      </c>
      <c r="M451" s="3" t="s">
        <v>23</v>
      </c>
      <c r="N451" s="3" t="s">
        <v>479</v>
      </c>
      <c r="O451" s="8" t="s">
        <v>480</v>
      </c>
      <c r="P451" s="3" t="s">
        <v>24</v>
      </c>
      <c r="Q451" s="3" t="s">
        <v>481</v>
      </c>
      <c r="R451" s="6">
        <v>5400</v>
      </c>
      <c r="S451" s="3" t="s">
        <v>20</v>
      </c>
    </row>
    <row r="452" spans="11:19" x14ac:dyDescent="0.2">
      <c r="K452" s="4" t="str">
        <f>PROPER(TEXT(Tabla8[[#This Row],[FECHA]],"mmm"))</f>
        <v>Ene</v>
      </c>
      <c r="L452" s="5">
        <v>46035</v>
      </c>
      <c r="M452" s="3" t="s">
        <v>23</v>
      </c>
      <c r="N452" s="3" t="s">
        <v>471</v>
      </c>
      <c r="O452" s="8" t="s">
        <v>472</v>
      </c>
      <c r="P452" s="3" t="s">
        <v>24</v>
      </c>
      <c r="Q452" s="3" t="s">
        <v>473</v>
      </c>
      <c r="R452" s="6">
        <v>188434</v>
      </c>
      <c r="S452" s="3" t="s">
        <v>25</v>
      </c>
    </row>
    <row r="453" spans="11:19" x14ac:dyDescent="0.2">
      <c r="K453" s="4" t="str">
        <f>PROPER(TEXT(Tabla8[[#This Row],[FECHA]],"mmm"))</f>
        <v>Ene</v>
      </c>
      <c r="L453" s="5">
        <v>46034</v>
      </c>
      <c r="M453" s="3" t="s">
        <v>23</v>
      </c>
      <c r="N453" s="3" t="s">
        <v>992</v>
      </c>
      <c r="O453" s="8" t="s">
        <v>21</v>
      </c>
      <c r="P453" s="3" t="s">
        <v>22</v>
      </c>
      <c r="Q453" s="3" t="s">
        <v>545</v>
      </c>
      <c r="R453" s="6">
        <v>20000</v>
      </c>
      <c r="S453" s="3" t="s">
        <v>29</v>
      </c>
    </row>
    <row r="454" spans="11:19" x14ac:dyDescent="0.2">
      <c r="K454" s="4" t="str">
        <f>PROPER(TEXT(Tabla8[[#This Row],[FECHA]],"mmm"))</f>
        <v>Ene</v>
      </c>
      <c r="L454" s="5">
        <v>46034</v>
      </c>
      <c r="M454" s="3" t="s">
        <v>23</v>
      </c>
      <c r="N454" s="3" t="s">
        <v>847</v>
      </c>
      <c r="O454" s="8" t="s">
        <v>848</v>
      </c>
      <c r="P454" s="3" t="s">
        <v>411</v>
      </c>
      <c r="Q454" s="3" t="s">
        <v>519</v>
      </c>
      <c r="R454" s="6">
        <v>14441</v>
      </c>
      <c r="S454" s="3" t="s">
        <v>25</v>
      </c>
    </row>
    <row r="455" spans="11:19" x14ac:dyDescent="0.2">
      <c r="K455" s="4" t="str">
        <f>PROPER(TEXT(Tabla8[[#This Row],[FECHA]],"mmm"))</f>
        <v>Ene</v>
      </c>
      <c r="L455" s="5">
        <v>46034</v>
      </c>
      <c r="M455" s="3" t="s">
        <v>39</v>
      </c>
      <c r="N455" s="3" t="s">
        <v>461</v>
      </c>
      <c r="O455" s="8" t="s">
        <v>462</v>
      </c>
      <c r="P455" s="3" t="s">
        <v>411</v>
      </c>
      <c r="Q455" s="3" t="s">
        <v>461</v>
      </c>
      <c r="R455" s="6">
        <v>15000</v>
      </c>
      <c r="S455" s="3" t="s">
        <v>29</v>
      </c>
    </row>
    <row r="456" spans="11:19" x14ac:dyDescent="0.2">
      <c r="K456" s="4" t="str">
        <f>PROPER(TEXT(Tabla8[[#This Row],[FECHA]],"mmm"))</f>
        <v>Ene</v>
      </c>
      <c r="L456" s="5">
        <v>46034</v>
      </c>
      <c r="M456" s="3" t="s">
        <v>23</v>
      </c>
      <c r="N456" s="3" t="s">
        <v>422</v>
      </c>
      <c r="O456" s="8" t="s">
        <v>21</v>
      </c>
      <c r="P456" s="3" t="s">
        <v>22</v>
      </c>
      <c r="Q456" s="3" t="s">
        <v>423</v>
      </c>
      <c r="R456" s="6">
        <v>22000</v>
      </c>
      <c r="S456" s="3" t="s">
        <v>20</v>
      </c>
    </row>
    <row r="457" spans="11:19" x14ac:dyDescent="0.2">
      <c r="K457" s="4" t="str">
        <f>PROPER(TEXT(Tabla8[[#This Row],[FECHA]],"mmm"))</f>
        <v>Ene</v>
      </c>
      <c r="L457" s="5">
        <v>46034</v>
      </c>
      <c r="M457" s="3" t="s">
        <v>39</v>
      </c>
      <c r="N457" s="3" t="s">
        <v>448</v>
      </c>
      <c r="O457" s="8" t="s">
        <v>449</v>
      </c>
      <c r="P457" s="3" t="s">
        <v>411</v>
      </c>
      <c r="Q457" s="3" t="s">
        <v>412</v>
      </c>
      <c r="R457" s="6">
        <v>50000</v>
      </c>
      <c r="S457" s="3" t="s">
        <v>20</v>
      </c>
    </row>
    <row r="458" spans="11:19" x14ac:dyDescent="0.2">
      <c r="K458" s="4" t="str">
        <f>PROPER(TEXT(Tabla8[[#This Row],[FECHA]],"mmm"))</f>
        <v>Ene</v>
      </c>
      <c r="L458" s="5">
        <v>46032</v>
      </c>
      <c r="M458" s="3" t="s">
        <v>23</v>
      </c>
      <c r="N458" s="3" t="s">
        <v>774</v>
      </c>
      <c r="O458" s="8" t="s">
        <v>775</v>
      </c>
      <c r="P458" s="3" t="s">
        <v>24</v>
      </c>
      <c r="Q458" s="3" t="s">
        <v>511</v>
      </c>
      <c r="R458" s="6">
        <v>259394</v>
      </c>
      <c r="S458" s="3" t="s">
        <v>25</v>
      </c>
    </row>
    <row r="459" spans="11:19" x14ac:dyDescent="0.2">
      <c r="K459" s="4" t="str">
        <f>PROPER(TEXT(Tabla8[[#This Row],[FECHA]],"mmm"))</f>
        <v>Ene</v>
      </c>
      <c r="L459" s="5">
        <v>46032</v>
      </c>
      <c r="M459" s="3" t="s">
        <v>23</v>
      </c>
      <c r="N459" s="3" t="s">
        <v>531</v>
      </c>
      <c r="O459" s="8" t="s">
        <v>532</v>
      </c>
      <c r="P459" s="3" t="s">
        <v>24</v>
      </c>
      <c r="Q459" s="3" t="s">
        <v>533</v>
      </c>
      <c r="R459" s="6">
        <v>426600</v>
      </c>
      <c r="S459" s="3" t="s">
        <v>29</v>
      </c>
    </row>
    <row r="460" spans="11:19" x14ac:dyDescent="0.2">
      <c r="K460" s="4" t="str">
        <f>PROPER(TEXT(Tabla8[[#This Row],[FECHA]],"mmm"))</f>
        <v>Ene</v>
      </c>
      <c r="L460" s="5">
        <v>46032</v>
      </c>
      <c r="M460" s="3" t="s">
        <v>23</v>
      </c>
      <c r="N460" s="3" t="s">
        <v>445</v>
      </c>
      <c r="O460" s="8" t="s">
        <v>414</v>
      </c>
      <c r="P460" s="3" t="s">
        <v>411</v>
      </c>
      <c r="Q460" s="3" t="s">
        <v>447</v>
      </c>
      <c r="R460" s="6">
        <v>10000</v>
      </c>
      <c r="S460" s="3" t="s">
        <v>20</v>
      </c>
    </row>
    <row r="461" spans="11:19" x14ac:dyDescent="0.2">
      <c r="K461" s="4" t="str">
        <f>PROPER(TEXT(Tabla8[[#This Row],[FECHA]],"mmm"))</f>
        <v>Ene</v>
      </c>
      <c r="L461" s="5">
        <v>46032</v>
      </c>
      <c r="M461" s="3" t="s">
        <v>23</v>
      </c>
      <c r="N461" s="3" t="s">
        <v>445</v>
      </c>
      <c r="O461" s="8" t="s">
        <v>993</v>
      </c>
      <c r="P461" s="3" t="s">
        <v>411</v>
      </c>
      <c r="Q461" s="3" t="s">
        <v>446</v>
      </c>
      <c r="R461" s="6">
        <v>250000</v>
      </c>
      <c r="S461" s="3" t="s">
        <v>29</v>
      </c>
    </row>
    <row r="462" spans="11:19" x14ac:dyDescent="0.2">
      <c r="K462" s="4" t="str">
        <f>PROPER(TEXT(Tabla8[[#This Row],[FECHA]],"mmm"))</f>
        <v>Ene</v>
      </c>
      <c r="L462" s="5">
        <v>46031</v>
      </c>
      <c r="M462" s="3" t="s">
        <v>23</v>
      </c>
      <c r="N462" s="3" t="s">
        <v>1241</v>
      </c>
      <c r="O462" s="8" t="s">
        <v>1242</v>
      </c>
      <c r="P462" s="3" t="s">
        <v>24</v>
      </c>
      <c r="Q462" s="3" t="s">
        <v>1243</v>
      </c>
      <c r="R462" s="6">
        <v>53000</v>
      </c>
      <c r="S462" s="3" t="s">
        <v>25</v>
      </c>
    </row>
    <row r="463" spans="11:19" x14ac:dyDescent="0.2">
      <c r="K463" s="4" t="str">
        <f>PROPER(TEXT(Tabla8[[#This Row],[FECHA]],"mmm"))</f>
        <v>Ene</v>
      </c>
      <c r="L463" s="5">
        <v>46031</v>
      </c>
      <c r="M463" s="3" t="s">
        <v>23</v>
      </c>
      <c r="N463" s="3" t="s">
        <v>772</v>
      </c>
      <c r="O463" s="8" t="s">
        <v>773</v>
      </c>
      <c r="P463" s="3" t="s">
        <v>24</v>
      </c>
      <c r="Q463" s="3" t="s">
        <v>466</v>
      </c>
      <c r="R463" s="6">
        <v>190127</v>
      </c>
      <c r="S463" s="3" t="s">
        <v>25</v>
      </c>
    </row>
    <row r="464" spans="11:19" x14ac:dyDescent="0.2">
      <c r="K464" s="4" t="str">
        <f>PROPER(TEXT(Tabla8[[#This Row],[FECHA]],"mmm"))</f>
        <v>Ene</v>
      </c>
      <c r="L464" s="5">
        <v>46031</v>
      </c>
      <c r="M464" s="3" t="s">
        <v>23</v>
      </c>
      <c r="N464" s="3" t="s">
        <v>474</v>
      </c>
      <c r="O464" s="8" t="s">
        <v>771</v>
      </c>
      <c r="P464" s="3" t="s">
        <v>24</v>
      </c>
      <c r="Q464" s="3" t="s">
        <v>466</v>
      </c>
      <c r="R464" s="6">
        <v>607021</v>
      </c>
      <c r="S464" s="3" t="s">
        <v>25</v>
      </c>
    </row>
    <row r="465" spans="11:19" x14ac:dyDescent="0.2">
      <c r="K465" s="4" t="str">
        <f>PROPER(TEXT(Tabla8[[#This Row],[FECHA]],"mmm"))</f>
        <v>Ene</v>
      </c>
      <c r="L465" s="5">
        <v>46031</v>
      </c>
      <c r="M465" s="3" t="s">
        <v>45</v>
      </c>
      <c r="N465" s="3" t="s">
        <v>748</v>
      </c>
      <c r="O465" s="8" t="s">
        <v>764</v>
      </c>
      <c r="P465" s="3" t="s">
        <v>24</v>
      </c>
      <c r="Q465" s="3" t="s">
        <v>765</v>
      </c>
      <c r="R465" s="6">
        <v>34380</v>
      </c>
      <c r="S465" s="3" t="s">
        <v>25</v>
      </c>
    </row>
    <row r="466" spans="11:19" x14ac:dyDescent="0.2">
      <c r="K466" s="4" t="str">
        <f>PROPER(TEXT(Tabla8[[#This Row],[FECHA]],"mmm"))</f>
        <v>Ene</v>
      </c>
      <c r="L466" s="5">
        <v>46031</v>
      </c>
      <c r="M466" s="3" t="s">
        <v>37</v>
      </c>
      <c r="N466" s="3" t="s">
        <v>476</v>
      </c>
      <c r="O466" s="8" t="s">
        <v>477</v>
      </c>
      <c r="P466" s="3" t="s">
        <v>411</v>
      </c>
      <c r="Q466" s="3" t="s">
        <v>478</v>
      </c>
      <c r="R466" s="6">
        <v>14358</v>
      </c>
      <c r="S466" s="3" t="s">
        <v>29</v>
      </c>
    </row>
    <row r="467" spans="11:19" x14ac:dyDescent="0.2">
      <c r="K467" s="4" t="str">
        <f>PROPER(TEXT(Tabla8[[#This Row],[FECHA]],"mmm"))</f>
        <v>Ene</v>
      </c>
      <c r="L467" s="5">
        <v>46031</v>
      </c>
      <c r="M467" s="3" t="s">
        <v>37</v>
      </c>
      <c r="N467" s="3" t="s">
        <v>467</v>
      </c>
      <c r="O467" s="8" t="s">
        <v>468</v>
      </c>
      <c r="P467" s="3" t="s">
        <v>24</v>
      </c>
      <c r="Q467" s="3" t="s">
        <v>418</v>
      </c>
      <c r="R467" s="6">
        <v>122500</v>
      </c>
      <c r="S467" s="3" t="s">
        <v>25</v>
      </c>
    </row>
    <row r="468" spans="11:19" x14ac:dyDescent="0.2">
      <c r="K468" s="4" t="str">
        <f>PROPER(TEXT(Tabla8[[#This Row],[FECHA]],"mmm"))</f>
        <v>Ene</v>
      </c>
      <c r="L468" s="5">
        <v>46031</v>
      </c>
      <c r="M468" s="3" t="s">
        <v>39</v>
      </c>
      <c r="N468" s="3" t="s">
        <v>129</v>
      </c>
      <c r="O468" s="8" t="s">
        <v>456</v>
      </c>
      <c r="P468" s="3" t="s">
        <v>411</v>
      </c>
      <c r="Q468" s="3" t="s">
        <v>452</v>
      </c>
      <c r="R468" s="6">
        <v>150000</v>
      </c>
      <c r="S468" s="3" t="s">
        <v>29</v>
      </c>
    </row>
    <row r="469" spans="11:19" x14ac:dyDescent="0.2">
      <c r="K469" s="4" t="str">
        <f>PROPER(TEXT(Tabla8[[#This Row],[FECHA]],"mmm"))</f>
        <v>Ene</v>
      </c>
      <c r="L469" s="5">
        <v>46031</v>
      </c>
      <c r="M469" s="3" t="s">
        <v>23</v>
      </c>
      <c r="N469" s="3" t="s">
        <v>441</v>
      </c>
      <c r="O469" s="8" t="s">
        <v>442</v>
      </c>
      <c r="P469" s="3" t="s">
        <v>24</v>
      </c>
      <c r="Q469" s="3" t="s">
        <v>443</v>
      </c>
      <c r="R469" s="6">
        <v>27948</v>
      </c>
      <c r="S469" s="3" t="s">
        <v>25</v>
      </c>
    </row>
    <row r="470" spans="11:19" x14ac:dyDescent="0.2">
      <c r="K470" s="4" t="str">
        <f>PROPER(TEXT(Tabla8[[#This Row],[FECHA]],"mmm"))</f>
        <v>Ene</v>
      </c>
      <c r="L470" s="5">
        <v>46031</v>
      </c>
      <c r="M470" s="3" t="s">
        <v>23</v>
      </c>
      <c r="N470" s="3" t="s">
        <v>437</v>
      </c>
      <c r="O470" s="8" t="s">
        <v>21</v>
      </c>
      <c r="P470" s="3" t="s">
        <v>22</v>
      </c>
      <c r="Q470" s="3" t="s">
        <v>438</v>
      </c>
      <c r="R470" s="6">
        <v>60000</v>
      </c>
      <c r="S470" s="3" t="s">
        <v>20</v>
      </c>
    </row>
    <row r="471" spans="11:19" x14ac:dyDescent="0.2">
      <c r="K471" s="4" t="str">
        <f>PROPER(TEXT(Tabla8[[#This Row],[FECHA]],"mmm"))</f>
        <v>Ene</v>
      </c>
      <c r="L471" s="5">
        <v>46030</v>
      </c>
      <c r="M471" s="3" t="s">
        <v>23</v>
      </c>
      <c r="N471" s="3" t="s">
        <v>823</v>
      </c>
      <c r="O471" s="8" t="s">
        <v>824</v>
      </c>
      <c r="P471" s="3" t="s">
        <v>24</v>
      </c>
      <c r="Q471" s="3" t="s">
        <v>466</v>
      </c>
      <c r="R471" s="6">
        <v>81991</v>
      </c>
      <c r="S471" s="3" t="s">
        <v>25</v>
      </c>
    </row>
    <row r="472" spans="11:19" x14ac:dyDescent="0.2">
      <c r="K472" s="4" t="str">
        <f>PROPER(TEXT(Tabla8[[#This Row],[FECHA]],"mmm"))</f>
        <v>Ene</v>
      </c>
      <c r="L472" s="5">
        <v>46030</v>
      </c>
      <c r="M472" s="3" t="s">
        <v>23</v>
      </c>
      <c r="N472" s="3" t="s">
        <v>558</v>
      </c>
      <c r="O472" s="8" t="s">
        <v>559</v>
      </c>
      <c r="P472" s="3" t="s">
        <v>24</v>
      </c>
      <c r="Q472" s="3" t="s">
        <v>560</v>
      </c>
      <c r="R472" s="6">
        <v>290000</v>
      </c>
      <c r="S472" s="3" t="s">
        <v>25</v>
      </c>
    </row>
    <row r="473" spans="11:19" x14ac:dyDescent="0.2">
      <c r="K473" s="4" t="str">
        <f>PROPER(TEXT(Tabla8[[#This Row],[FECHA]],"mmm"))</f>
        <v>Ene</v>
      </c>
      <c r="L473" s="5">
        <v>46030</v>
      </c>
      <c r="M473" s="3" t="s">
        <v>55</v>
      </c>
      <c r="N473" s="3" t="s">
        <v>474</v>
      </c>
      <c r="O473" s="8" t="s">
        <v>484</v>
      </c>
      <c r="P473" s="3" t="s">
        <v>24</v>
      </c>
      <c r="Q473" s="3" t="s">
        <v>483</v>
      </c>
      <c r="R473" s="6">
        <v>107115</v>
      </c>
      <c r="S473" s="3" t="s">
        <v>29</v>
      </c>
    </row>
    <row r="474" spans="11:19" x14ac:dyDescent="0.2">
      <c r="K474" s="4" t="str">
        <f>PROPER(TEXT(Tabla8[[#This Row],[FECHA]],"mmm"))</f>
        <v>Ene</v>
      </c>
      <c r="L474" s="5">
        <v>46030</v>
      </c>
      <c r="M474" s="3" t="s">
        <v>55</v>
      </c>
      <c r="N474" s="3" t="s">
        <v>429</v>
      </c>
      <c r="O474" s="8" t="s">
        <v>482</v>
      </c>
      <c r="P474" s="3" t="s">
        <v>24</v>
      </c>
      <c r="Q474" s="3" t="s">
        <v>483</v>
      </c>
      <c r="R474" s="6">
        <v>123226</v>
      </c>
      <c r="S474" s="3" t="s">
        <v>29</v>
      </c>
    </row>
    <row r="475" spans="11:19" x14ac:dyDescent="0.2">
      <c r="K475" s="4" t="str">
        <f>PROPER(TEXT(Tabla8[[#This Row],[FECHA]],"mmm"))</f>
        <v>Ene</v>
      </c>
      <c r="L475" s="5">
        <v>46030</v>
      </c>
      <c r="M475" s="3" t="s">
        <v>37</v>
      </c>
      <c r="N475" s="3" t="s">
        <v>435</v>
      </c>
      <c r="O475" s="8" t="s">
        <v>436</v>
      </c>
      <c r="P475" s="3" t="s">
        <v>24</v>
      </c>
      <c r="Q475" s="3" t="s">
        <v>418</v>
      </c>
      <c r="R475" s="6">
        <v>58200</v>
      </c>
      <c r="S475" s="3" t="s">
        <v>25</v>
      </c>
    </row>
    <row r="476" spans="11:19" x14ac:dyDescent="0.2">
      <c r="K476" s="4" t="str">
        <f>PROPER(TEXT(Tabla8[[#This Row],[FECHA]],"mmm"))</f>
        <v>Ene</v>
      </c>
      <c r="L476" s="5">
        <v>46030</v>
      </c>
      <c r="M476" s="3" t="s">
        <v>39</v>
      </c>
      <c r="N476" s="3" t="s">
        <v>61</v>
      </c>
      <c r="O476" s="8" t="s">
        <v>432</v>
      </c>
      <c r="P476" s="3" t="s">
        <v>411</v>
      </c>
      <c r="Q476" s="3" t="s">
        <v>433</v>
      </c>
      <c r="R476" s="6">
        <v>20000</v>
      </c>
      <c r="S476" s="3" t="s">
        <v>20</v>
      </c>
    </row>
    <row r="477" spans="11:19" x14ac:dyDescent="0.2">
      <c r="K477" s="4" t="str">
        <f>PROPER(TEXT(Tabla8[[#This Row],[FECHA]],"mmm"))</f>
        <v>Ene</v>
      </c>
      <c r="L477" s="5">
        <v>46030</v>
      </c>
      <c r="M477" s="3" t="s">
        <v>39</v>
      </c>
      <c r="N477" s="3" t="s">
        <v>434</v>
      </c>
      <c r="O477" s="8" t="s">
        <v>432</v>
      </c>
      <c r="P477" s="3" t="s">
        <v>411</v>
      </c>
      <c r="Q477" s="3" t="s">
        <v>433</v>
      </c>
      <c r="R477" s="6">
        <v>180000</v>
      </c>
      <c r="S477" s="3" t="s">
        <v>29</v>
      </c>
    </row>
    <row r="478" spans="11:19" x14ac:dyDescent="0.2">
      <c r="K478" s="4" t="str">
        <f>PROPER(TEXT(Tabla8[[#This Row],[FECHA]],"mmm"))</f>
        <v>Ene</v>
      </c>
      <c r="L478" s="5">
        <v>46029</v>
      </c>
      <c r="M478" s="3" t="s">
        <v>23</v>
      </c>
      <c r="N478" s="3" t="s">
        <v>822</v>
      </c>
      <c r="O478" s="8" t="s">
        <v>21</v>
      </c>
      <c r="P478" s="3" t="s">
        <v>411</v>
      </c>
      <c r="Q478" s="3" t="s">
        <v>556</v>
      </c>
      <c r="R478" s="6">
        <v>7152</v>
      </c>
      <c r="S478" s="3" t="s">
        <v>25</v>
      </c>
    </row>
    <row r="479" spans="11:19" x14ac:dyDescent="0.2">
      <c r="K479" s="4" t="str">
        <f>PROPER(TEXT(Tabla8[[#This Row],[FECHA]],"mmm"))</f>
        <v>Ene</v>
      </c>
      <c r="L479" s="5">
        <v>46029</v>
      </c>
      <c r="M479" s="3" t="s">
        <v>512</v>
      </c>
      <c r="N479" s="3" t="s">
        <v>553</v>
      </c>
      <c r="O479" s="8" t="s">
        <v>21</v>
      </c>
      <c r="P479" s="3" t="s">
        <v>411</v>
      </c>
      <c r="Q479" s="3" t="s">
        <v>52</v>
      </c>
      <c r="R479" s="6">
        <v>3400</v>
      </c>
      <c r="S479" s="3" t="s">
        <v>25</v>
      </c>
    </row>
    <row r="480" spans="11:19" x14ac:dyDescent="0.2">
      <c r="K480" s="4" t="str">
        <f>PROPER(TEXT(Tabla8[[#This Row],[FECHA]],"mmm"))</f>
        <v>Ene</v>
      </c>
      <c r="L480" s="5">
        <v>46029</v>
      </c>
      <c r="M480" s="3" t="s">
        <v>23</v>
      </c>
      <c r="N480" s="3" t="s">
        <v>551</v>
      </c>
      <c r="O480" s="8" t="s">
        <v>21</v>
      </c>
      <c r="P480" s="3" t="s">
        <v>22</v>
      </c>
      <c r="Q480" s="3" t="s">
        <v>552</v>
      </c>
      <c r="R480" s="6">
        <v>250000</v>
      </c>
      <c r="S480" s="3" t="s">
        <v>29</v>
      </c>
    </row>
    <row r="481" spans="11:19" x14ac:dyDescent="0.2">
      <c r="K481" s="4" t="str">
        <f>PROPER(TEXT(Tabla8[[#This Row],[FECHA]],"mmm"))</f>
        <v>Ene</v>
      </c>
      <c r="L481" s="5">
        <v>46029</v>
      </c>
      <c r="M481" s="3" t="s">
        <v>23</v>
      </c>
      <c r="N481" s="3" t="s">
        <v>548</v>
      </c>
      <c r="O481" s="8" t="s">
        <v>549</v>
      </c>
      <c r="P481" s="3" t="s">
        <v>24</v>
      </c>
      <c r="Q481" s="3" t="s">
        <v>550</v>
      </c>
      <c r="R481" s="6">
        <v>527468</v>
      </c>
      <c r="S481" s="3" t="s">
        <v>25</v>
      </c>
    </row>
    <row r="482" spans="11:19" x14ac:dyDescent="0.2">
      <c r="K482" s="4" t="str">
        <f>PROPER(TEXT(Tabla8[[#This Row],[FECHA]],"mmm"))</f>
        <v>Ene</v>
      </c>
      <c r="L482" s="5">
        <v>46029</v>
      </c>
      <c r="M482" s="3" t="s">
        <v>23</v>
      </c>
      <c r="N482" s="3" t="s">
        <v>544</v>
      </c>
      <c r="O482" s="8" t="s">
        <v>21</v>
      </c>
      <c r="P482" s="3" t="s">
        <v>22</v>
      </c>
      <c r="Q482" s="3" t="s">
        <v>545</v>
      </c>
      <c r="R482" s="6">
        <v>20000</v>
      </c>
      <c r="S482" s="3" t="s">
        <v>29</v>
      </c>
    </row>
    <row r="483" spans="11:19" x14ac:dyDescent="0.2">
      <c r="K483" s="4" t="str">
        <f>PROPER(TEXT(Tabla8[[#This Row],[FECHA]],"mmm"))</f>
        <v>Ene</v>
      </c>
      <c r="L483" s="5">
        <v>46029</v>
      </c>
      <c r="M483" s="3" t="s">
        <v>31</v>
      </c>
      <c r="N483" s="3" t="s">
        <v>537</v>
      </c>
      <c r="O483" s="8" t="s">
        <v>538</v>
      </c>
      <c r="P483" s="3" t="s">
        <v>411</v>
      </c>
      <c r="Q483" s="3" t="s">
        <v>519</v>
      </c>
      <c r="R483" s="6">
        <v>60291</v>
      </c>
      <c r="S483" s="3" t="s">
        <v>25</v>
      </c>
    </row>
    <row r="484" spans="11:19" x14ac:dyDescent="0.2">
      <c r="K484" s="4" t="str">
        <f>PROPER(TEXT(Tabla8[[#This Row],[FECHA]],"mmm"))</f>
        <v>Ene</v>
      </c>
      <c r="L484" s="5">
        <v>46029</v>
      </c>
      <c r="M484" s="3" t="s">
        <v>23</v>
      </c>
      <c r="N484" s="3" t="s">
        <v>474</v>
      </c>
      <c r="O484" s="8" t="s">
        <v>475</v>
      </c>
      <c r="P484" s="3" t="s">
        <v>24</v>
      </c>
      <c r="Q484" s="3" t="s">
        <v>466</v>
      </c>
      <c r="R484" s="6">
        <v>75292</v>
      </c>
      <c r="S484" s="3" t="s">
        <v>25</v>
      </c>
    </row>
    <row r="485" spans="11:19" x14ac:dyDescent="0.2">
      <c r="K485" s="4" t="str">
        <f>PROPER(TEXT(Tabla8[[#This Row],[FECHA]],"mmm"))</f>
        <v>Ene</v>
      </c>
      <c r="L485" s="5">
        <v>46029</v>
      </c>
      <c r="M485" s="3" t="s">
        <v>23</v>
      </c>
      <c r="N485" s="3" t="s">
        <v>464</v>
      </c>
      <c r="O485" s="8" t="s">
        <v>465</v>
      </c>
      <c r="P485" s="3" t="s">
        <v>24</v>
      </c>
      <c r="Q485" s="3" t="s">
        <v>466</v>
      </c>
      <c r="R485" s="6">
        <v>170170</v>
      </c>
      <c r="S485" s="3" t="s">
        <v>25</v>
      </c>
    </row>
    <row r="486" spans="11:19" x14ac:dyDescent="0.2">
      <c r="K486" s="4" t="str">
        <f>PROPER(TEXT(Tabla8[[#This Row],[FECHA]],"mmm"))</f>
        <v>Ene</v>
      </c>
      <c r="L486" s="5">
        <v>46029</v>
      </c>
      <c r="M486" s="3" t="s">
        <v>55</v>
      </c>
      <c r="N486" s="3" t="s">
        <v>429</v>
      </c>
      <c r="O486" s="8" t="s">
        <v>430</v>
      </c>
      <c r="P486" s="3" t="s">
        <v>24</v>
      </c>
      <c r="Q486" s="3" t="s">
        <v>431</v>
      </c>
      <c r="R486" s="6">
        <v>879101</v>
      </c>
      <c r="S486" s="3" t="s">
        <v>29</v>
      </c>
    </row>
    <row r="487" spans="11:19" x14ac:dyDescent="0.2">
      <c r="K487" s="4" t="str">
        <f>PROPER(TEXT(Tabla8[[#This Row],[FECHA]],"mmm"))</f>
        <v>Ene</v>
      </c>
      <c r="L487" s="5">
        <v>46028</v>
      </c>
      <c r="M487" s="3" t="s">
        <v>23</v>
      </c>
      <c r="N487" s="3" t="s">
        <v>474</v>
      </c>
      <c r="O487" s="8" t="s">
        <v>543</v>
      </c>
      <c r="P487" s="3" t="s">
        <v>24</v>
      </c>
      <c r="Q487" s="3" t="s">
        <v>466</v>
      </c>
      <c r="R487" s="6">
        <v>346094</v>
      </c>
      <c r="S487" s="3" t="s">
        <v>25</v>
      </c>
    </row>
    <row r="488" spans="11:19" x14ac:dyDescent="0.2">
      <c r="K488" s="4" t="str">
        <f>PROPER(TEXT(Tabla8[[#This Row],[FECHA]],"mmm"))</f>
        <v>Ene</v>
      </c>
      <c r="L488" s="5">
        <v>46028</v>
      </c>
      <c r="M488" s="3" t="s">
        <v>23</v>
      </c>
      <c r="N488" s="3" t="s">
        <v>528</v>
      </c>
      <c r="O488" s="8" t="s">
        <v>529</v>
      </c>
      <c r="P488" s="3" t="s">
        <v>24</v>
      </c>
      <c r="Q488" s="3" t="s">
        <v>527</v>
      </c>
      <c r="R488" s="6">
        <v>255200</v>
      </c>
      <c r="S488" s="3" t="s">
        <v>29</v>
      </c>
    </row>
    <row r="489" spans="11:19" x14ac:dyDescent="0.2">
      <c r="K489" s="4" t="str">
        <f>PROPER(TEXT(Tabla8[[#This Row],[FECHA]],"mmm"))</f>
        <v>Ene</v>
      </c>
      <c r="L489" s="5">
        <v>46028</v>
      </c>
      <c r="M489" s="3" t="s">
        <v>23</v>
      </c>
      <c r="N489" s="3" t="s">
        <v>525</v>
      </c>
      <c r="O489" s="8" t="s">
        <v>526</v>
      </c>
      <c r="P489" s="3" t="s">
        <v>24</v>
      </c>
      <c r="Q489" s="3" t="s">
        <v>527</v>
      </c>
      <c r="R489" s="6">
        <v>1291552</v>
      </c>
      <c r="S489" s="3" t="s">
        <v>29</v>
      </c>
    </row>
    <row r="490" spans="11:19" x14ac:dyDescent="0.2">
      <c r="K490" s="4" t="str">
        <f>PROPER(TEXT(Tabla8[[#This Row],[FECHA]],"mmm"))</f>
        <v>Ene</v>
      </c>
      <c r="L490" s="5">
        <v>46028</v>
      </c>
      <c r="M490" s="3" t="s">
        <v>37</v>
      </c>
      <c r="N490" s="3" t="s">
        <v>524</v>
      </c>
      <c r="O490" s="8" t="s">
        <v>21</v>
      </c>
      <c r="P490" s="3" t="s">
        <v>411</v>
      </c>
      <c r="Q490" s="3" t="s">
        <v>415</v>
      </c>
      <c r="R490" s="6">
        <v>11177</v>
      </c>
      <c r="S490" s="3" t="s">
        <v>25</v>
      </c>
    </row>
    <row r="491" spans="11:19" x14ac:dyDescent="0.2">
      <c r="K491" s="4" t="str">
        <f>PROPER(TEXT(Tabla8[[#This Row],[FECHA]],"mmm"))</f>
        <v>Ene</v>
      </c>
      <c r="L491" s="5">
        <v>46028</v>
      </c>
      <c r="M491" s="3" t="s">
        <v>35</v>
      </c>
      <c r="N491" s="3" t="s">
        <v>429</v>
      </c>
      <c r="O491" s="8" t="s">
        <v>522</v>
      </c>
      <c r="P491" s="3" t="s">
        <v>24</v>
      </c>
      <c r="Q491" s="3" t="s">
        <v>523</v>
      </c>
      <c r="R491" s="6">
        <v>369049</v>
      </c>
      <c r="S491" s="3" t="s">
        <v>29</v>
      </c>
    </row>
    <row r="492" spans="11:19" x14ac:dyDescent="0.2">
      <c r="K492" s="4" t="str">
        <f>PROPER(TEXT(Tabla8[[#This Row],[FECHA]],"mmm"))</f>
        <v>Ene</v>
      </c>
      <c r="L492" s="5">
        <v>46028</v>
      </c>
      <c r="M492" s="3" t="s">
        <v>23</v>
      </c>
      <c r="N492" s="3" t="s">
        <v>517</v>
      </c>
      <c r="O492" s="8" t="s">
        <v>518</v>
      </c>
      <c r="P492" s="3" t="s">
        <v>411</v>
      </c>
      <c r="Q492" s="3" t="s">
        <v>519</v>
      </c>
      <c r="R492" s="6">
        <v>196743</v>
      </c>
      <c r="S492" s="3" t="s">
        <v>25</v>
      </c>
    </row>
    <row r="493" spans="11:19" x14ac:dyDescent="0.2">
      <c r="K493" s="4" t="str">
        <f>PROPER(TEXT(Tabla8[[#This Row],[FECHA]],"mmm"))</f>
        <v>Ene</v>
      </c>
      <c r="L493" s="5">
        <v>46028</v>
      </c>
      <c r="M493" s="3" t="s">
        <v>23</v>
      </c>
      <c r="N493" s="3" t="s">
        <v>485</v>
      </c>
      <c r="O493" s="8" t="s">
        <v>486</v>
      </c>
      <c r="P493" s="3" t="s">
        <v>24</v>
      </c>
      <c r="Q493" s="3" t="s">
        <v>487</v>
      </c>
      <c r="R493" s="6">
        <v>165001</v>
      </c>
      <c r="S493" s="3" t="s">
        <v>25</v>
      </c>
    </row>
    <row r="494" spans="11:19" x14ac:dyDescent="0.2">
      <c r="K494" s="4" t="str">
        <f>PROPER(TEXT(Tabla8[[#This Row],[FECHA]],"mmm"))</f>
        <v>Ene</v>
      </c>
      <c r="L494" s="5">
        <v>46028</v>
      </c>
      <c r="M494" s="3" t="s">
        <v>23</v>
      </c>
      <c r="N494" s="3" t="s">
        <v>422</v>
      </c>
      <c r="O494" s="8" t="s">
        <v>21</v>
      </c>
      <c r="P494" s="3" t="s">
        <v>22</v>
      </c>
      <c r="Q494" s="3" t="s">
        <v>423</v>
      </c>
      <c r="R494" s="6">
        <v>38000</v>
      </c>
      <c r="S494" s="3" t="s">
        <v>20</v>
      </c>
    </row>
    <row r="495" spans="11:19" x14ac:dyDescent="0.2">
      <c r="K495" s="4" t="str">
        <f>PROPER(TEXT(Tabla8[[#This Row],[FECHA]],"mmm"))</f>
        <v>Ene</v>
      </c>
      <c r="L495" s="5">
        <v>46027</v>
      </c>
      <c r="M495" s="3" t="s">
        <v>282</v>
      </c>
      <c r="N495" s="3" t="s">
        <v>821</v>
      </c>
      <c r="O495" s="8" t="s">
        <v>420</v>
      </c>
      <c r="P495" s="3" t="s">
        <v>411</v>
      </c>
      <c r="Q495" s="3" t="s">
        <v>574</v>
      </c>
      <c r="R495" s="6">
        <v>1000000</v>
      </c>
      <c r="S495" s="3" t="s">
        <v>29</v>
      </c>
    </row>
    <row r="496" spans="11:19" x14ac:dyDescent="0.2">
      <c r="K496" s="4" t="str">
        <f>PROPER(TEXT(Tabla8[[#This Row],[FECHA]],"mmm"))</f>
        <v>Ene</v>
      </c>
      <c r="L496" s="5">
        <v>46027</v>
      </c>
      <c r="M496" s="3" t="s">
        <v>512</v>
      </c>
      <c r="N496" s="3" t="s">
        <v>513</v>
      </c>
      <c r="O496" s="8" t="s">
        <v>514</v>
      </c>
      <c r="P496" s="3" t="s">
        <v>411</v>
      </c>
      <c r="Q496" s="3" t="s">
        <v>52</v>
      </c>
      <c r="R496" s="6">
        <v>169300</v>
      </c>
      <c r="S496" s="3" t="s">
        <v>25</v>
      </c>
    </row>
    <row r="497" spans="11:19" x14ac:dyDescent="0.2">
      <c r="K497" s="4" t="str">
        <f>PROPER(TEXT(Tabla8[[#This Row],[FECHA]],"mmm"))</f>
        <v>Ene</v>
      </c>
      <c r="L497" s="5">
        <v>46027</v>
      </c>
      <c r="M497" s="3" t="s">
        <v>23</v>
      </c>
      <c r="N497" s="3" t="s">
        <v>510</v>
      </c>
      <c r="O497" s="8" t="s">
        <v>414</v>
      </c>
      <c r="P497" s="3" t="s">
        <v>24</v>
      </c>
      <c r="Q497" s="3" t="s">
        <v>511</v>
      </c>
      <c r="R497" s="6">
        <v>1304045</v>
      </c>
      <c r="S497" s="3" t="s">
        <v>29</v>
      </c>
    </row>
    <row r="498" spans="11:19" x14ac:dyDescent="0.2">
      <c r="K498" s="4" t="str">
        <f>PROPER(TEXT(Tabla8[[#This Row],[FECHA]],"mmm"))</f>
        <v>Ene</v>
      </c>
      <c r="L498" s="5">
        <v>46027</v>
      </c>
      <c r="M498" s="3" t="s">
        <v>39</v>
      </c>
      <c r="N498" s="3" t="s">
        <v>996</v>
      </c>
      <c r="O498" s="8" t="s">
        <v>420</v>
      </c>
      <c r="P498" s="3" t="s">
        <v>411</v>
      </c>
      <c r="Q498" s="3" t="s">
        <v>508</v>
      </c>
      <c r="R498" s="6">
        <v>370000</v>
      </c>
      <c r="S498" s="3" t="s">
        <v>29</v>
      </c>
    </row>
    <row r="499" spans="11:19" x14ac:dyDescent="0.2">
      <c r="K499" s="4" t="str">
        <f>PROPER(TEXT(Tabla8[[#This Row],[FECHA]],"mmm"))</f>
        <v>Ene</v>
      </c>
      <c r="L499" s="5">
        <v>46027</v>
      </c>
      <c r="M499" s="3" t="s">
        <v>49</v>
      </c>
      <c r="N499" s="3" t="s">
        <v>505</v>
      </c>
      <c r="O499" s="8" t="s">
        <v>506</v>
      </c>
      <c r="P499" s="3" t="s">
        <v>24</v>
      </c>
      <c r="Q499" s="3" t="s">
        <v>507</v>
      </c>
      <c r="R499" s="6">
        <v>2000000</v>
      </c>
      <c r="S499" s="3" t="s">
        <v>29</v>
      </c>
    </row>
    <row r="500" spans="11:19" x14ac:dyDescent="0.2">
      <c r="K500" s="4" t="str">
        <f>PROPER(TEXT(Tabla8[[#This Row],[FECHA]],"mmm"))</f>
        <v>Ene</v>
      </c>
      <c r="L500" s="5">
        <v>46027</v>
      </c>
      <c r="M500" s="3" t="s">
        <v>74</v>
      </c>
      <c r="N500" s="3" t="s">
        <v>416</v>
      </c>
      <c r="O500" s="8" t="s">
        <v>417</v>
      </c>
      <c r="P500" s="3" t="s">
        <v>24</v>
      </c>
      <c r="Q500" s="3" t="s">
        <v>418</v>
      </c>
      <c r="R500" s="6">
        <v>16000</v>
      </c>
      <c r="S500" s="3" t="s">
        <v>20</v>
      </c>
    </row>
    <row r="501" spans="11:19" x14ac:dyDescent="0.2">
      <c r="K501" s="4" t="str">
        <f>PROPER(TEXT(Tabla8[[#This Row],[FECHA]],"mmm"))</f>
        <v>Ene</v>
      </c>
      <c r="L501" s="5">
        <v>46027</v>
      </c>
      <c r="M501" s="3" t="s">
        <v>37</v>
      </c>
      <c r="N501" s="3" t="s">
        <v>413</v>
      </c>
      <c r="O501" s="8" t="s">
        <v>414</v>
      </c>
      <c r="P501" s="3" t="s">
        <v>414</v>
      </c>
      <c r="Q501" s="3" t="s">
        <v>415</v>
      </c>
      <c r="R501" s="6">
        <v>11170</v>
      </c>
      <c r="S501" s="3" t="s">
        <v>20</v>
      </c>
    </row>
    <row r="502" spans="11:19" x14ac:dyDescent="0.2">
      <c r="K502" s="4" t="str">
        <f>PROPER(TEXT(Tabla8[[#This Row],[FECHA]],"mmm"))</f>
        <v>Ene</v>
      </c>
      <c r="L502" s="5">
        <v>46027</v>
      </c>
      <c r="M502" s="3" t="s">
        <v>39</v>
      </c>
      <c r="N502" s="3" t="s">
        <v>409</v>
      </c>
      <c r="O502" s="8" t="s">
        <v>410</v>
      </c>
      <c r="P502" s="3" t="s">
        <v>411</v>
      </c>
      <c r="Q502" s="3" t="s">
        <v>412</v>
      </c>
      <c r="R502" s="6">
        <v>200000</v>
      </c>
      <c r="S502" s="3" t="s">
        <v>20</v>
      </c>
    </row>
    <row r="503" spans="11:19" x14ac:dyDescent="0.2">
      <c r="K503" s="4" t="str">
        <f>PROPER(TEXT(Tabla8[[#This Row],[FECHA]],"mmm"))</f>
        <v>Ene</v>
      </c>
      <c r="L503" s="5">
        <v>46025</v>
      </c>
      <c r="M503" s="3" t="s">
        <v>23</v>
      </c>
      <c r="N503" s="3" t="s">
        <v>401</v>
      </c>
      <c r="O503" s="8" t="s">
        <v>402</v>
      </c>
      <c r="P503" s="3" t="s">
        <v>22</v>
      </c>
      <c r="Q503" s="3" t="s">
        <v>403</v>
      </c>
      <c r="R503" s="6">
        <v>18000</v>
      </c>
      <c r="S503" s="3" t="s">
        <v>20</v>
      </c>
    </row>
    <row r="504" spans="11:19" x14ac:dyDescent="0.2">
      <c r="K504" s="4" t="str">
        <f>PROPER(TEXT(Tabla8[[#This Row],[FECHA]],"mmm"))</f>
        <v>Ene</v>
      </c>
      <c r="L504" s="5">
        <v>46025</v>
      </c>
      <c r="M504" s="3" t="s">
        <v>23</v>
      </c>
      <c r="N504" s="3" t="s">
        <v>398</v>
      </c>
      <c r="O504" s="8" t="s">
        <v>22</v>
      </c>
      <c r="P504" s="3" t="s">
        <v>22</v>
      </c>
      <c r="Q504" s="3" t="s">
        <v>399</v>
      </c>
      <c r="R504" s="6">
        <v>29500</v>
      </c>
      <c r="S504" s="3" t="s">
        <v>20</v>
      </c>
    </row>
    <row r="505" spans="11:19" x14ac:dyDescent="0.2">
      <c r="K505" s="4" t="str">
        <f>PROPER(TEXT(Tabla8[[#This Row],[FECHA]],"mmm"))</f>
        <v>Ene</v>
      </c>
      <c r="L505" s="5">
        <v>46024</v>
      </c>
      <c r="M505" s="3" t="s">
        <v>31</v>
      </c>
      <c r="N505" s="3" t="s">
        <v>501</v>
      </c>
      <c r="O505" s="8" t="s">
        <v>21</v>
      </c>
      <c r="P505" s="3" t="s">
        <v>22</v>
      </c>
      <c r="Q505" s="3" t="s">
        <v>60</v>
      </c>
      <c r="R505" s="6">
        <v>75000</v>
      </c>
      <c r="S505" s="3" t="s">
        <v>29</v>
      </c>
    </row>
    <row r="506" spans="11:19" x14ac:dyDescent="0.2">
      <c r="K506" s="4" t="str">
        <f>PROPER(TEXT(Tabla8[[#This Row],[FECHA]],"mmm"))</f>
        <v>Ene</v>
      </c>
      <c r="L506" s="5">
        <v>46024</v>
      </c>
      <c r="M506" s="3" t="s">
        <v>23</v>
      </c>
      <c r="N506" s="3" t="s">
        <v>499</v>
      </c>
      <c r="O506" s="8" t="s">
        <v>21</v>
      </c>
      <c r="P506" s="3" t="s">
        <v>22</v>
      </c>
      <c r="Q506" s="3" t="s">
        <v>500</v>
      </c>
      <c r="R506" s="6">
        <v>220000</v>
      </c>
      <c r="S506" s="3" t="s">
        <v>29</v>
      </c>
    </row>
    <row r="507" spans="11:19" x14ac:dyDescent="0.2">
      <c r="K507" s="4" t="str">
        <f>PROPER(TEXT(Tabla8[[#This Row],[FECHA]],"mmm"))</f>
        <v>Ene</v>
      </c>
      <c r="L507" s="5">
        <v>46024</v>
      </c>
      <c r="M507" s="3" t="s">
        <v>39</v>
      </c>
      <c r="N507" s="3" t="s">
        <v>434</v>
      </c>
      <c r="O507" s="8" t="s">
        <v>414</v>
      </c>
      <c r="P507" s="3" t="s">
        <v>411</v>
      </c>
      <c r="Q507" s="3" t="s">
        <v>433</v>
      </c>
      <c r="R507" s="6">
        <v>20000</v>
      </c>
      <c r="S507" s="3" t="s">
        <v>20</v>
      </c>
    </row>
    <row r="508" spans="11:19" x14ac:dyDescent="0.2">
      <c r="K508" s="4" t="str">
        <f>PROPER(TEXT(Tabla8[[#This Row],[FECHA]],"mmm"))</f>
        <v>Ene</v>
      </c>
      <c r="L508" s="5">
        <v>46024</v>
      </c>
      <c r="M508" s="3" t="s">
        <v>39</v>
      </c>
      <c r="N508" s="3" t="s">
        <v>412</v>
      </c>
      <c r="O508" s="8" t="s">
        <v>414</v>
      </c>
      <c r="P508" s="3" t="s">
        <v>411</v>
      </c>
      <c r="Q508" s="3" t="s">
        <v>412</v>
      </c>
      <c r="R508" s="6">
        <v>200000</v>
      </c>
      <c r="S508" s="3" t="s">
        <v>29</v>
      </c>
    </row>
    <row r="509" spans="11:19" x14ac:dyDescent="0.2">
      <c r="K509" s="4" t="str">
        <f>PROPER(TEXT(Tabla8[[#This Row],[FECHA]],"mmm"))</f>
        <v>Ene</v>
      </c>
      <c r="L509" s="5">
        <v>46024</v>
      </c>
      <c r="M509" s="3" t="s">
        <v>39</v>
      </c>
      <c r="N509" s="3" t="s">
        <v>451</v>
      </c>
      <c r="O509" s="8" t="s">
        <v>414</v>
      </c>
      <c r="P509" s="3" t="s">
        <v>411</v>
      </c>
      <c r="Q509" s="3" t="s">
        <v>452</v>
      </c>
      <c r="R509" s="6">
        <v>200000</v>
      </c>
      <c r="S509" s="3" t="s">
        <v>29</v>
      </c>
    </row>
    <row r="510" spans="11:19" x14ac:dyDescent="0.2">
      <c r="K510" s="4" t="str">
        <f>PROPER(TEXT(Tabla8[[#This Row],[FECHA]],"mmm"))</f>
        <v>Ene</v>
      </c>
      <c r="L510" s="5">
        <v>46024</v>
      </c>
      <c r="M510" s="3" t="s">
        <v>45</v>
      </c>
      <c r="N510" s="3" t="s">
        <v>326</v>
      </c>
      <c r="O510" s="8" t="s">
        <v>396</v>
      </c>
      <c r="P510" s="3" t="s">
        <v>24</v>
      </c>
      <c r="Q510" s="3" t="s">
        <v>397</v>
      </c>
      <c r="R510" s="6">
        <v>72214</v>
      </c>
      <c r="S510" s="3" t="s">
        <v>20</v>
      </c>
    </row>
    <row r="511" spans="11:19" x14ac:dyDescent="0.2">
      <c r="O511" s="7" t="s">
        <v>80</v>
      </c>
    </row>
  </sheetData>
  <mergeCells count="3">
    <mergeCell ref="B2:I4"/>
    <mergeCell ref="U2:Y4"/>
    <mergeCell ref="K2:S4"/>
  </mergeCells>
  <phoneticPr fontId="27" type="noConversion"/>
  <pageMargins left="0.7" right="0.7" top="0.75" bottom="0.75" header="0.3" footer="0.3"/>
  <pageSetup orientation="landscape" horizontalDpi="360" verticalDpi="360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C058E-14D2-498C-8B99-401D9D9AD7F7}">
  <sheetPr codeName="Hoja6"/>
  <dimension ref="B2:AJ233"/>
  <sheetViews>
    <sheetView topLeftCell="Q1" zoomScale="106" zoomScaleNormal="106" workbookViewId="0">
      <selection activeCell="AF9" sqref="AF9"/>
    </sheetView>
  </sheetViews>
  <sheetFormatPr baseColWidth="10" defaultRowHeight="15" x14ac:dyDescent="0.25"/>
  <cols>
    <col min="1" max="1" width="6.28515625" customWidth="1"/>
    <col min="2" max="2" width="17.5703125" hidden="1" customWidth="1"/>
    <col min="3" max="3" width="15.7109375" hidden="1" customWidth="1"/>
    <col min="4" max="6" width="0" hidden="1" customWidth="1"/>
    <col min="7" max="7" width="4.7109375" customWidth="1"/>
    <col min="8" max="8" width="20.42578125" customWidth="1"/>
    <col min="9" max="12" width="11.42578125" customWidth="1"/>
    <col min="13" max="13" width="3.5703125" customWidth="1"/>
    <col min="14" max="14" width="17.5703125" bestFit="1" customWidth="1"/>
    <col min="20" max="20" width="17.5703125" bestFit="1" customWidth="1"/>
    <col min="26" max="26" width="22.140625" customWidth="1"/>
  </cols>
  <sheetData>
    <row r="2" spans="2:36" x14ac:dyDescent="0.25">
      <c r="B2" s="179" t="s">
        <v>384</v>
      </c>
      <c r="C2" s="179"/>
      <c r="D2" s="179"/>
      <c r="E2" s="179"/>
      <c r="F2" s="179"/>
      <c r="H2" s="179" t="s">
        <v>666</v>
      </c>
      <c r="I2" s="179"/>
      <c r="J2" s="179"/>
      <c r="K2" s="179"/>
      <c r="L2" s="179"/>
      <c r="N2" s="179" t="s">
        <v>1063</v>
      </c>
      <c r="O2" s="179"/>
      <c r="P2" s="179"/>
      <c r="Q2" s="179"/>
      <c r="R2" s="179"/>
      <c r="T2" s="179" t="s">
        <v>1274</v>
      </c>
      <c r="U2" s="179"/>
      <c r="V2" s="179"/>
      <c r="W2" s="179"/>
      <c r="X2" s="179"/>
      <c r="Z2" s="179" t="s">
        <v>1562</v>
      </c>
      <c r="AA2" s="179"/>
      <c r="AB2" s="179"/>
      <c r="AC2" s="179"/>
      <c r="AD2" s="179"/>
      <c r="AF2" s="179" t="s">
        <v>1666</v>
      </c>
      <c r="AG2" s="179"/>
      <c r="AH2" s="179"/>
      <c r="AI2" s="179"/>
      <c r="AJ2" s="179"/>
    </row>
    <row r="3" spans="2:36" x14ac:dyDescent="0.25">
      <c r="B3" s="77" t="s">
        <v>238</v>
      </c>
      <c r="C3" s="77" t="s">
        <v>239</v>
      </c>
      <c r="D3" s="77" t="s">
        <v>240</v>
      </c>
      <c r="E3" s="77" t="s">
        <v>241</v>
      </c>
      <c r="F3" s="77" t="s">
        <v>242</v>
      </c>
      <c r="H3" s="77" t="s">
        <v>238</v>
      </c>
      <c r="I3" s="77" t="s">
        <v>239</v>
      </c>
      <c r="J3" s="77" t="s">
        <v>240</v>
      </c>
      <c r="K3" s="77" t="s">
        <v>241</v>
      </c>
      <c r="L3" s="77" t="s">
        <v>242</v>
      </c>
      <c r="N3" s="77" t="s">
        <v>238</v>
      </c>
      <c r="O3" s="77" t="s">
        <v>239</v>
      </c>
      <c r="P3" s="77" t="s">
        <v>240</v>
      </c>
      <c r="Q3" s="77" t="s">
        <v>241</v>
      </c>
      <c r="R3" s="77" t="s">
        <v>242</v>
      </c>
      <c r="T3" s="77" t="s">
        <v>238</v>
      </c>
      <c r="U3" s="77" t="s">
        <v>239</v>
      </c>
      <c r="V3" s="77" t="s">
        <v>240</v>
      </c>
      <c r="W3" s="77" t="s">
        <v>241</v>
      </c>
      <c r="X3" s="77" t="s">
        <v>242</v>
      </c>
      <c r="Z3" s="77" t="s">
        <v>238</v>
      </c>
      <c r="AA3" s="77" t="s">
        <v>239</v>
      </c>
      <c r="AB3" s="77" t="s">
        <v>240</v>
      </c>
      <c r="AC3" s="77" t="s">
        <v>241</v>
      </c>
      <c r="AD3" s="77" t="s">
        <v>242</v>
      </c>
      <c r="AF3" s="77" t="s">
        <v>238</v>
      </c>
      <c r="AG3" s="77" t="s">
        <v>239</v>
      </c>
      <c r="AH3" s="77" t="s">
        <v>240</v>
      </c>
      <c r="AI3" s="77" t="s">
        <v>241</v>
      </c>
      <c r="AJ3" s="77" t="s">
        <v>242</v>
      </c>
    </row>
    <row r="4" spans="2:36" x14ac:dyDescent="0.25">
      <c r="B4" s="42" t="s">
        <v>62</v>
      </c>
      <c r="C4" s="42" t="s">
        <v>48</v>
      </c>
      <c r="D4" s="78">
        <v>1</v>
      </c>
      <c r="E4" s="79">
        <v>1500</v>
      </c>
      <c r="F4" s="79">
        <f t="shared" ref="F4:F10" si="0">D4*E4</f>
        <v>1500</v>
      </c>
      <c r="H4" s="118" t="s">
        <v>62</v>
      </c>
      <c r="I4" s="118" t="s">
        <v>246</v>
      </c>
      <c r="J4" s="119">
        <v>1</v>
      </c>
      <c r="K4" s="120">
        <v>1500</v>
      </c>
      <c r="L4" s="79">
        <f t="shared" ref="L4:L67" si="1">J4*K4</f>
        <v>1500</v>
      </c>
      <c r="N4" s="118" t="s">
        <v>62</v>
      </c>
      <c r="O4" s="118" t="s">
        <v>48</v>
      </c>
      <c r="P4" s="119">
        <v>2</v>
      </c>
      <c r="Q4" s="120">
        <v>1500</v>
      </c>
      <c r="R4" s="79">
        <f t="shared" ref="R4:R35" si="2">P4*Q4</f>
        <v>3000</v>
      </c>
      <c r="T4" s="138" t="s">
        <v>62</v>
      </c>
      <c r="U4" s="138" t="s">
        <v>81</v>
      </c>
      <c r="V4" s="139">
        <v>1</v>
      </c>
      <c r="W4" s="140">
        <v>2000</v>
      </c>
      <c r="X4" s="140">
        <f t="shared" ref="X4:X35" si="3">V4*W4</f>
        <v>2000</v>
      </c>
      <c r="Z4" s="81" t="s">
        <v>62</v>
      </c>
      <c r="AA4" s="81" t="s">
        <v>81</v>
      </c>
      <c r="AB4" s="82">
        <v>1</v>
      </c>
      <c r="AC4" s="80">
        <v>2000</v>
      </c>
      <c r="AD4" s="80">
        <f t="shared" ref="AD4:AD67" si="4">AB4*AC4</f>
        <v>2000</v>
      </c>
      <c r="AF4" s="118" t="s">
        <v>582</v>
      </c>
      <c r="AG4" s="118" t="s">
        <v>48</v>
      </c>
      <c r="AH4" s="119">
        <v>1</v>
      </c>
      <c r="AI4" s="120">
        <v>1500</v>
      </c>
      <c r="AJ4" s="120">
        <f t="shared" ref="AJ4:AJ67" si="5">AH4*AI4</f>
        <v>1500</v>
      </c>
    </row>
    <row r="5" spans="2:36" x14ac:dyDescent="0.25">
      <c r="B5" s="42" t="s">
        <v>62</v>
      </c>
      <c r="C5" s="42" t="s">
        <v>388</v>
      </c>
      <c r="D5" s="78">
        <v>1</v>
      </c>
      <c r="E5" s="79">
        <v>3000</v>
      </c>
      <c r="F5" s="79">
        <f t="shared" si="0"/>
        <v>3000</v>
      </c>
      <c r="H5" s="118" t="s">
        <v>62</v>
      </c>
      <c r="I5" s="118" t="s">
        <v>81</v>
      </c>
      <c r="J5" s="119">
        <v>1</v>
      </c>
      <c r="K5" s="120">
        <v>2000</v>
      </c>
      <c r="L5" s="79">
        <f t="shared" si="1"/>
        <v>2000</v>
      </c>
      <c r="N5" s="118" t="s">
        <v>62</v>
      </c>
      <c r="O5" s="118" t="s">
        <v>81</v>
      </c>
      <c r="P5" s="119">
        <v>2</v>
      </c>
      <c r="Q5" s="120">
        <v>2000</v>
      </c>
      <c r="R5" s="79">
        <f t="shared" si="2"/>
        <v>4000</v>
      </c>
      <c r="T5" s="138" t="s">
        <v>62</v>
      </c>
      <c r="U5" s="138" t="s">
        <v>78</v>
      </c>
      <c r="V5" s="139">
        <v>1</v>
      </c>
      <c r="W5" s="140">
        <v>2000</v>
      </c>
      <c r="X5" s="140">
        <f t="shared" si="3"/>
        <v>2000</v>
      </c>
      <c r="Z5" s="81" t="s">
        <v>62</v>
      </c>
      <c r="AA5" s="81" t="s">
        <v>917</v>
      </c>
      <c r="AB5" s="82">
        <v>1</v>
      </c>
      <c r="AC5" s="80">
        <v>2000</v>
      </c>
      <c r="AD5" s="80">
        <f t="shared" si="4"/>
        <v>2000</v>
      </c>
      <c r="AF5" s="118" t="s">
        <v>62</v>
      </c>
      <c r="AG5" s="118" t="s">
        <v>48</v>
      </c>
      <c r="AH5" s="119">
        <v>1</v>
      </c>
      <c r="AI5" s="120">
        <v>1500</v>
      </c>
      <c r="AJ5" s="120">
        <f t="shared" si="5"/>
        <v>1500</v>
      </c>
    </row>
    <row r="6" spans="2:36" x14ac:dyDescent="0.25">
      <c r="B6" s="42" t="s">
        <v>62</v>
      </c>
      <c r="C6" s="42" t="s">
        <v>391</v>
      </c>
      <c r="D6" s="78">
        <v>1</v>
      </c>
      <c r="E6" s="79">
        <v>2000</v>
      </c>
      <c r="F6" s="79">
        <f t="shared" si="0"/>
        <v>2000</v>
      </c>
      <c r="H6" s="118" t="s">
        <v>62</v>
      </c>
      <c r="I6" s="118" t="s">
        <v>246</v>
      </c>
      <c r="J6" s="119">
        <v>1</v>
      </c>
      <c r="K6" s="120">
        <v>1500</v>
      </c>
      <c r="L6" s="79">
        <f t="shared" si="1"/>
        <v>1500</v>
      </c>
      <c r="N6" s="118" t="s">
        <v>62</v>
      </c>
      <c r="O6" s="118" t="s">
        <v>48</v>
      </c>
      <c r="P6" s="119">
        <v>2</v>
      </c>
      <c r="Q6" s="120">
        <v>1500</v>
      </c>
      <c r="R6" s="79">
        <f t="shared" si="2"/>
        <v>3000</v>
      </c>
      <c r="T6" s="138" t="s">
        <v>62</v>
      </c>
      <c r="U6" s="138" t="s">
        <v>48</v>
      </c>
      <c r="V6" s="139">
        <v>1</v>
      </c>
      <c r="W6" s="140">
        <v>1500</v>
      </c>
      <c r="X6" s="140">
        <f t="shared" si="3"/>
        <v>1500</v>
      </c>
      <c r="Z6" s="81" t="s">
        <v>62</v>
      </c>
      <c r="AA6" s="81" t="s">
        <v>78</v>
      </c>
      <c r="AB6" s="82">
        <v>1</v>
      </c>
      <c r="AC6" s="80">
        <v>2000</v>
      </c>
      <c r="AD6" s="80">
        <f t="shared" si="4"/>
        <v>2000</v>
      </c>
      <c r="AF6" s="118" t="s">
        <v>72</v>
      </c>
      <c r="AG6" s="118" t="s">
        <v>917</v>
      </c>
      <c r="AH6" s="119">
        <v>1</v>
      </c>
      <c r="AI6" s="120">
        <v>2000</v>
      </c>
      <c r="AJ6" s="120">
        <f t="shared" si="5"/>
        <v>2000</v>
      </c>
    </row>
    <row r="7" spans="2:36" x14ac:dyDescent="0.25">
      <c r="B7" s="42" t="s">
        <v>62</v>
      </c>
      <c r="C7" s="42" t="s">
        <v>246</v>
      </c>
      <c r="D7" s="78">
        <v>1</v>
      </c>
      <c r="E7" s="79">
        <v>1500</v>
      </c>
      <c r="F7" s="79">
        <f t="shared" si="0"/>
        <v>1500</v>
      </c>
      <c r="H7" s="118" t="s">
        <v>62</v>
      </c>
      <c r="I7" s="118" t="s">
        <v>81</v>
      </c>
      <c r="J7" s="119">
        <v>1</v>
      </c>
      <c r="K7" s="120">
        <v>2000</v>
      </c>
      <c r="L7" s="79">
        <f t="shared" si="1"/>
        <v>2000</v>
      </c>
      <c r="N7" s="118" t="s">
        <v>62</v>
      </c>
      <c r="O7" s="118" t="s">
        <v>54</v>
      </c>
      <c r="P7" s="119">
        <v>2</v>
      </c>
      <c r="Q7" s="120">
        <v>1000</v>
      </c>
      <c r="R7" s="79">
        <f t="shared" si="2"/>
        <v>2000</v>
      </c>
      <c r="T7" s="138" t="s">
        <v>62</v>
      </c>
      <c r="U7" s="138" t="s">
        <v>246</v>
      </c>
      <c r="V7" s="139">
        <v>1</v>
      </c>
      <c r="W7" s="140">
        <v>1500</v>
      </c>
      <c r="X7" s="140">
        <f t="shared" si="3"/>
        <v>1500</v>
      </c>
      <c r="Z7" s="81" t="s">
        <v>62</v>
      </c>
      <c r="AA7" s="81" t="s">
        <v>78</v>
      </c>
      <c r="AB7" s="82">
        <v>1</v>
      </c>
      <c r="AC7" s="80">
        <v>2000</v>
      </c>
      <c r="AD7" s="80">
        <f t="shared" si="4"/>
        <v>2000</v>
      </c>
      <c r="AF7" s="118" t="s">
        <v>72</v>
      </c>
      <c r="AG7" s="118" t="s">
        <v>48</v>
      </c>
      <c r="AH7" s="119">
        <v>1</v>
      </c>
      <c r="AI7" s="120">
        <v>1500</v>
      </c>
      <c r="AJ7" s="120">
        <f t="shared" si="5"/>
        <v>1500</v>
      </c>
    </row>
    <row r="8" spans="2:36" x14ac:dyDescent="0.25">
      <c r="B8" s="42" t="s">
        <v>62</v>
      </c>
      <c r="C8" s="42" t="s">
        <v>81</v>
      </c>
      <c r="D8" s="78">
        <v>1</v>
      </c>
      <c r="E8" s="79">
        <v>2000</v>
      </c>
      <c r="F8" s="79">
        <f t="shared" si="0"/>
        <v>2000</v>
      </c>
      <c r="H8" s="118" t="s">
        <v>62</v>
      </c>
      <c r="I8" s="118" t="s">
        <v>246</v>
      </c>
      <c r="J8" s="119">
        <v>1</v>
      </c>
      <c r="K8" s="120">
        <v>1500</v>
      </c>
      <c r="L8" s="79">
        <f t="shared" si="1"/>
        <v>1500</v>
      </c>
      <c r="N8" s="118" t="s">
        <v>62</v>
      </c>
      <c r="O8" s="118" t="s">
        <v>81</v>
      </c>
      <c r="P8" s="119">
        <v>2</v>
      </c>
      <c r="Q8" s="120">
        <v>2000</v>
      </c>
      <c r="R8" s="79">
        <f t="shared" si="2"/>
        <v>4000</v>
      </c>
      <c r="T8" s="138" t="s">
        <v>62</v>
      </c>
      <c r="U8" s="138" t="s">
        <v>81</v>
      </c>
      <c r="V8" s="139">
        <v>1</v>
      </c>
      <c r="W8" s="140">
        <v>2000</v>
      </c>
      <c r="X8" s="140">
        <f t="shared" si="3"/>
        <v>2000</v>
      </c>
      <c r="Z8" s="81" t="s">
        <v>62</v>
      </c>
      <c r="AA8" s="81" t="s">
        <v>81</v>
      </c>
      <c r="AB8" s="82">
        <v>1</v>
      </c>
      <c r="AC8" s="80">
        <v>2000</v>
      </c>
      <c r="AD8" s="80">
        <f t="shared" si="4"/>
        <v>2000</v>
      </c>
      <c r="AF8" s="118" t="s">
        <v>1666</v>
      </c>
      <c r="AG8" s="118" t="s">
        <v>48</v>
      </c>
      <c r="AH8" s="119">
        <v>1</v>
      </c>
      <c r="AI8" s="120">
        <v>1500</v>
      </c>
      <c r="AJ8" s="120">
        <f t="shared" si="5"/>
        <v>1500</v>
      </c>
    </row>
    <row r="9" spans="2:36" x14ac:dyDescent="0.25">
      <c r="B9" s="42" t="s">
        <v>62</v>
      </c>
      <c r="C9" s="42" t="s">
        <v>391</v>
      </c>
      <c r="D9" s="78">
        <v>1</v>
      </c>
      <c r="E9" s="79">
        <v>2000</v>
      </c>
      <c r="F9" s="79">
        <f t="shared" si="0"/>
        <v>2000</v>
      </c>
      <c r="H9" s="118" t="s">
        <v>62</v>
      </c>
      <c r="I9" s="118" t="s">
        <v>81</v>
      </c>
      <c r="J9" s="119">
        <v>1</v>
      </c>
      <c r="K9" s="120">
        <v>2000</v>
      </c>
      <c r="L9" s="79">
        <f t="shared" si="1"/>
        <v>2000</v>
      </c>
      <c r="N9" s="118" t="s">
        <v>62</v>
      </c>
      <c r="O9" s="118" t="s">
        <v>48</v>
      </c>
      <c r="P9" s="119">
        <v>3</v>
      </c>
      <c r="Q9" s="120">
        <v>1500</v>
      </c>
      <c r="R9" s="79">
        <f t="shared" si="2"/>
        <v>4500</v>
      </c>
      <c r="T9" s="138" t="s">
        <v>62</v>
      </c>
      <c r="U9" s="138" t="s">
        <v>1330</v>
      </c>
      <c r="V9" s="139">
        <v>1</v>
      </c>
      <c r="W9" s="140">
        <v>1000</v>
      </c>
      <c r="X9" s="140">
        <f t="shared" si="3"/>
        <v>1000</v>
      </c>
      <c r="Z9" s="81" t="s">
        <v>62</v>
      </c>
      <c r="AA9" s="81" t="s">
        <v>48</v>
      </c>
      <c r="AB9" s="82">
        <v>1</v>
      </c>
      <c r="AC9" s="80">
        <v>1500</v>
      </c>
      <c r="AD9" s="80">
        <f t="shared" si="4"/>
        <v>1500</v>
      </c>
      <c r="AF9" s="118"/>
      <c r="AG9" s="118"/>
      <c r="AH9" s="119"/>
      <c r="AI9" s="120"/>
      <c r="AJ9" s="120">
        <f t="shared" si="5"/>
        <v>0</v>
      </c>
    </row>
    <row r="10" spans="2:36" x14ac:dyDescent="0.25">
      <c r="B10" s="42" t="s">
        <v>62</v>
      </c>
      <c r="C10" s="42" t="s">
        <v>48</v>
      </c>
      <c r="D10" s="78">
        <v>1</v>
      </c>
      <c r="E10" s="79">
        <v>1500</v>
      </c>
      <c r="F10" s="79">
        <f t="shared" si="0"/>
        <v>1500</v>
      </c>
      <c r="H10" s="118" t="s">
        <v>62</v>
      </c>
      <c r="I10" s="118" t="s">
        <v>246</v>
      </c>
      <c r="J10" s="119">
        <v>1</v>
      </c>
      <c r="K10" s="120">
        <v>1500</v>
      </c>
      <c r="L10" s="79">
        <f t="shared" si="1"/>
        <v>1500</v>
      </c>
      <c r="N10" s="118" t="s">
        <v>62</v>
      </c>
      <c r="O10" s="118" t="s">
        <v>81</v>
      </c>
      <c r="P10" s="119">
        <v>2</v>
      </c>
      <c r="Q10" s="120">
        <v>2000</v>
      </c>
      <c r="R10" s="79">
        <f t="shared" si="2"/>
        <v>4000</v>
      </c>
      <c r="T10" s="138" t="s">
        <v>62</v>
      </c>
      <c r="U10" s="138" t="s">
        <v>246</v>
      </c>
      <c r="V10" s="139">
        <v>1</v>
      </c>
      <c r="W10" s="140">
        <v>1500</v>
      </c>
      <c r="X10" s="140">
        <f t="shared" si="3"/>
        <v>1500</v>
      </c>
      <c r="Z10" s="81" t="s">
        <v>62</v>
      </c>
      <c r="AA10" s="81" t="s">
        <v>78</v>
      </c>
      <c r="AB10" s="82">
        <v>1</v>
      </c>
      <c r="AC10" s="80">
        <v>2000</v>
      </c>
      <c r="AD10" s="80">
        <f t="shared" si="4"/>
        <v>2000</v>
      </c>
      <c r="AF10" s="118"/>
      <c r="AG10" s="118"/>
      <c r="AH10" s="119"/>
      <c r="AI10" s="120"/>
      <c r="AJ10" s="120">
        <f t="shared" si="5"/>
        <v>0</v>
      </c>
    </row>
    <row r="11" spans="2:36" x14ac:dyDescent="0.25">
      <c r="B11" s="42" t="s">
        <v>62</v>
      </c>
      <c r="C11" s="42" t="s">
        <v>280</v>
      </c>
      <c r="D11" s="78">
        <v>1</v>
      </c>
      <c r="E11" s="79">
        <v>1500</v>
      </c>
      <c r="F11" s="79">
        <v>1500</v>
      </c>
      <c r="H11" s="118" t="s">
        <v>62</v>
      </c>
      <c r="I11" s="118" t="s">
        <v>78</v>
      </c>
      <c r="J11" s="119">
        <v>1</v>
      </c>
      <c r="K11" s="120">
        <v>2000</v>
      </c>
      <c r="L11" s="79">
        <f t="shared" si="1"/>
        <v>2000</v>
      </c>
      <c r="N11" s="118" t="s">
        <v>62</v>
      </c>
      <c r="O11" s="118" t="s">
        <v>81</v>
      </c>
      <c r="P11" s="119">
        <v>1</v>
      </c>
      <c r="Q11" s="120">
        <v>2000</v>
      </c>
      <c r="R11" s="79">
        <f t="shared" si="2"/>
        <v>2000</v>
      </c>
      <c r="T11" s="138" t="s">
        <v>62</v>
      </c>
      <c r="U11" s="138" t="s">
        <v>78</v>
      </c>
      <c r="V11" s="139">
        <v>1</v>
      </c>
      <c r="W11" s="140">
        <v>2000</v>
      </c>
      <c r="X11" s="140">
        <f t="shared" si="3"/>
        <v>2000</v>
      </c>
      <c r="Z11" s="81" t="s">
        <v>62</v>
      </c>
      <c r="AA11" s="81" t="s">
        <v>81</v>
      </c>
      <c r="AB11" s="82">
        <v>1</v>
      </c>
      <c r="AC11" s="80">
        <v>2000</v>
      </c>
      <c r="AD11" s="80">
        <f t="shared" si="4"/>
        <v>2000</v>
      </c>
      <c r="AF11" s="118"/>
      <c r="AG11" s="118"/>
      <c r="AH11" s="119"/>
      <c r="AI11" s="120"/>
      <c r="AJ11" s="120">
        <f t="shared" si="5"/>
        <v>0</v>
      </c>
    </row>
    <row r="12" spans="2:36" x14ac:dyDescent="0.25">
      <c r="B12" s="42" t="s">
        <v>62</v>
      </c>
      <c r="C12" s="42" t="s">
        <v>54</v>
      </c>
      <c r="D12" s="78">
        <v>1</v>
      </c>
      <c r="E12" s="79">
        <v>1000</v>
      </c>
      <c r="F12" s="79">
        <f t="shared" ref="F12:F25" si="6">D12*E12</f>
        <v>1000</v>
      </c>
      <c r="H12" s="118" t="s">
        <v>62</v>
      </c>
      <c r="I12" s="118" t="s">
        <v>246</v>
      </c>
      <c r="J12" s="119">
        <v>1</v>
      </c>
      <c r="K12" s="120">
        <v>1500</v>
      </c>
      <c r="L12" s="79">
        <f t="shared" si="1"/>
        <v>1500</v>
      </c>
      <c r="N12" s="118" t="s">
        <v>62</v>
      </c>
      <c r="O12" s="118" t="s">
        <v>81</v>
      </c>
      <c r="P12" s="119">
        <v>1</v>
      </c>
      <c r="Q12" s="120">
        <v>2000</v>
      </c>
      <c r="R12" s="79">
        <f t="shared" si="2"/>
        <v>2000</v>
      </c>
      <c r="T12" s="138" t="s">
        <v>62</v>
      </c>
      <c r="U12" s="138" t="s">
        <v>81</v>
      </c>
      <c r="V12" s="139">
        <v>1</v>
      </c>
      <c r="W12" s="140">
        <v>2000</v>
      </c>
      <c r="X12" s="140">
        <f t="shared" si="3"/>
        <v>2000</v>
      </c>
      <c r="Z12" s="81" t="s">
        <v>62</v>
      </c>
      <c r="AA12" s="81" t="s">
        <v>78</v>
      </c>
      <c r="AB12" s="82">
        <v>1</v>
      </c>
      <c r="AC12" s="80">
        <v>2000</v>
      </c>
      <c r="AD12" s="80">
        <f t="shared" si="4"/>
        <v>2000</v>
      </c>
      <c r="AF12" s="118"/>
      <c r="AG12" s="118"/>
      <c r="AH12" s="119"/>
      <c r="AI12" s="120"/>
      <c r="AJ12" s="120">
        <f t="shared" si="5"/>
        <v>0</v>
      </c>
    </row>
    <row r="13" spans="2:36" x14ac:dyDescent="0.25">
      <c r="B13" s="42" t="s">
        <v>62</v>
      </c>
      <c r="C13" s="42" t="s">
        <v>280</v>
      </c>
      <c r="D13" s="78">
        <v>1</v>
      </c>
      <c r="E13" s="79">
        <v>1500</v>
      </c>
      <c r="F13" s="79">
        <f t="shared" si="6"/>
        <v>1500</v>
      </c>
      <c r="H13" s="118" t="s">
        <v>62</v>
      </c>
      <c r="I13" s="118" t="s">
        <v>54</v>
      </c>
      <c r="J13" s="119">
        <v>2</v>
      </c>
      <c r="K13" s="120">
        <v>1000</v>
      </c>
      <c r="L13" s="79">
        <f t="shared" si="1"/>
        <v>2000</v>
      </c>
      <c r="N13" s="118" t="s">
        <v>62</v>
      </c>
      <c r="O13" s="118" t="s">
        <v>78</v>
      </c>
      <c r="P13" s="119">
        <v>1</v>
      </c>
      <c r="Q13" s="120">
        <v>2000</v>
      </c>
      <c r="R13" s="79">
        <f t="shared" si="2"/>
        <v>2000</v>
      </c>
      <c r="T13" s="138" t="s">
        <v>62</v>
      </c>
      <c r="U13" s="138" t="s">
        <v>48</v>
      </c>
      <c r="V13" s="139">
        <v>1</v>
      </c>
      <c r="W13" s="140">
        <v>1500</v>
      </c>
      <c r="X13" s="140">
        <f t="shared" si="3"/>
        <v>1500</v>
      </c>
      <c r="Z13" s="81" t="s">
        <v>62</v>
      </c>
      <c r="AA13" s="81" t="s">
        <v>48</v>
      </c>
      <c r="AB13" s="82">
        <v>1</v>
      </c>
      <c r="AC13" s="80">
        <v>1500</v>
      </c>
      <c r="AD13" s="80">
        <f t="shared" si="4"/>
        <v>1500</v>
      </c>
      <c r="AF13" s="118"/>
      <c r="AG13" s="118"/>
      <c r="AH13" s="119"/>
      <c r="AI13" s="120"/>
      <c r="AJ13" s="120">
        <f t="shared" si="5"/>
        <v>0</v>
      </c>
    </row>
    <row r="14" spans="2:36" x14ac:dyDescent="0.25">
      <c r="B14" s="42" t="s">
        <v>62</v>
      </c>
      <c r="C14" s="42" t="s">
        <v>246</v>
      </c>
      <c r="D14" s="78">
        <v>1</v>
      </c>
      <c r="E14" s="79">
        <v>1500</v>
      </c>
      <c r="F14" s="79">
        <f t="shared" si="6"/>
        <v>1500</v>
      </c>
      <c r="H14" s="118" t="s">
        <v>62</v>
      </c>
      <c r="I14" s="118" t="s">
        <v>246</v>
      </c>
      <c r="J14" s="119">
        <v>1</v>
      </c>
      <c r="K14" s="120">
        <v>1500</v>
      </c>
      <c r="L14" s="79">
        <f t="shared" si="1"/>
        <v>1500</v>
      </c>
      <c r="N14" s="118" t="s">
        <v>62</v>
      </c>
      <c r="O14" s="118" t="s">
        <v>48</v>
      </c>
      <c r="P14" s="119">
        <v>1</v>
      </c>
      <c r="Q14" s="120">
        <v>1500</v>
      </c>
      <c r="R14" s="79">
        <f t="shared" si="2"/>
        <v>1500</v>
      </c>
      <c r="T14" s="138" t="s">
        <v>62</v>
      </c>
      <c r="U14" s="138" t="s">
        <v>78</v>
      </c>
      <c r="V14" s="139">
        <v>1</v>
      </c>
      <c r="W14" s="140">
        <v>2000</v>
      </c>
      <c r="X14" s="140">
        <f t="shared" si="3"/>
        <v>2000</v>
      </c>
      <c r="Z14" s="81" t="s">
        <v>62</v>
      </c>
      <c r="AA14" s="81" t="s">
        <v>246</v>
      </c>
      <c r="AB14" s="82">
        <v>1</v>
      </c>
      <c r="AC14" s="80">
        <v>1500</v>
      </c>
      <c r="AD14" s="80">
        <f t="shared" si="4"/>
        <v>1500</v>
      </c>
      <c r="AF14" s="118"/>
      <c r="AG14" s="118"/>
      <c r="AH14" s="119"/>
      <c r="AI14" s="120"/>
      <c r="AJ14" s="120">
        <f t="shared" si="5"/>
        <v>0</v>
      </c>
    </row>
    <row r="15" spans="2:36" x14ac:dyDescent="0.25">
      <c r="B15" s="42" t="s">
        <v>62</v>
      </c>
      <c r="C15" s="42" t="s">
        <v>81</v>
      </c>
      <c r="D15" s="78">
        <v>1</v>
      </c>
      <c r="E15" s="79">
        <v>2000</v>
      </c>
      <c r="F15" s="79">
        <f t="shared" si="6"/>
        <v>2000</v>
      </c>
      <c r="H15" s="118" t="s">
        <v>62</v>
      </c>
      <c r="I15" s="118" t="s">
        <v>246</v>
      </c>
      <c r="J15" s="119">
        <v>1</v>
      </c>
      <c r="K15" s="120">
        <v>1500</v>
      </c>
      <c r="L15" s="79">
        <f t="shared" si="1"/>
        <v>1500</v>
      </c>
      <c r="N15" s="118" t="s">
        <v>62</v>
      </c>
      <c r="O15" s="118" t="s">
        <v>81</v>
      </c>
      <c r="P15" s="119">
        <v>1</v>
      </c>
      <c r="Q15" s="120">
        <v>2000</v>
      </c>
      <c r="R15" s="79">
        <f t="shared" si="2"/>
        <v>2000</v>
      </c>
      <c r="T15" s="118" t="s">
        <v>62</v>
      </c>
      <c r="U15" s="118" t="s">
        <v>1330</v>
      </c>
      <c r="V15" s="119">
        <v>2</v>
      </c>
      <c r="W15" s="120">
        <v>1000</v>
      </c>
      <c r="X15" s="140">
        <f t="shared" si="3"/>
        <v>2000</v>
      </c>
      <c r="Z15" s="81" t="s">
        <v>62</v>
      </c>
      <c r="AA15" s="81" t="s">
        <v>81</v>
      </c>
      <c r="AB15" s="82">
        <v>1</v>
      </c>
      <c r="AC15" s="80">
        <v>2000</v>
      </c>
      <c r="AD15" s="80">
        <f t="shared" si="4"/>
        <v>2000</v>
      </c>
      <c r="AF15" s="118"/>
      <c r="AG15" s="118"/>
      <c r="AH15" s="119"/>
      <c r="AI15" s="120"/>
      <c r="AJ15" s="120">
        <f t="shared" si="5"/>
        <v>0</v>
      </c>
    </row>
    <row r="16" spans="2:36" x14ac:dyDescent="0.25">
      <c r="B16" s="42" t="s">
        <v>62</v>
      </c>
      <c r="C16" s="42" t="s">
        <v>78</v>
      </c>
      <c r="D16" s="78">
        <v>1</v>
      </c>
      <c r="E16" s="79">
        <v>2000</v>
      </c>
      <c r="F16" s="79">
        <f t="shared" si="6"/>
        <v>2000</v>
      </c>
      <c r="H16" s="118" t="s">
        <v>62</v>
      </c>
      <c r="I16" s="118" t="s">
        <v>246</v>
      </c>
      <c r="J16" s="119">
        <v>1</v>
      </c>
      <c r="K16" s="120">
        <v>1500</v>
      </c>
      <c r="L16" s="79">
        <f t="shared" si="1"/>
        <v>1500</v>
      </c>
      <c r="N16" s="81" t="s">
        <v>243</v>
      </c>
      <c r="O16" s="81" t="s">
        <v>48</v>
      </c>
      <c r="P16" s="82">
        <v>1</v>
      </c>
      <c r="Q16" s="80">
        <v>2000</v>
      </c>
      <c r="R16" s="80">
        <f t="shared" si="2"/>
        <v>2000</v>
      </c>
      <c r="T16" s="118" t="s">
        <v>62</v>
      </c>
      <c r="U16" s="118" t="s">
        <v>81</v>
      </c>
      <c r="V16" s="119">
        <v>2</v>
      </c>
      <c r="W16" s="120">
        <v>2000</v>
      </c>
      <c r="X16" s="140">
        <f t="shared" si="3"/>
        <v>4000</v>
      </c>
      <c r="Z16" s="81" t="s">
        <v>62</v>
      </c>
      <c r="AA16" s="81" t="s">
        <v>1330</v>
      </c>
      <c r="AB16" s="82">
        <v>1</v>
      </c>
      <c r="AC16" s="80">
        <v>1000</v>
      </c>
      <c r="AD16" s="80">
        <f t="shared" si="4"/>
        <v>1000</v>
      </c>
      <c r="AF16" s="118"/>
      <c r="AG16" s="118"/>
      <c r="AH16" s="119"/>
      <c r="AI16" s="120"/>
      <c r="AJ16" s="120">
        <f t="shared" si="5"/>
        <v>0</v>
      </c>
    </row>
    <row r="17" spans="2:36" x14ac:dyDescent="0.25">
      <c r="B17" s="42" t="s">
        <v>62</v>
      </c>
      <c r="C17" s="42" t="s">
        <v>246</v>
      </c>
      <c r="D17" s="78">
        <v>1</v>
      </c>
      <c r="E17" s="79">
        <v>1500</v>
      </c>
      <c r="F17" s="79">
        <f t="shared" si="6"/>
        <v>1500</v>
      </c>
      <c r="H17" s="118" t="s">
        <v>62</v>
      </c>
      <c r="I17" s="118" t="s">
        <v>81</v>
      </c>
      <c r="J17" s="119">
        <v>1</v>
      </c>
      <c r="K17" s="120">
        <v>2000</v>
      </c>
      <c r="L17" s="79">
        <f t="shared" si="1"/>
        <v>2000</v>
      </c>
      <c r="N17" s="81" t="s">
        <v>243</v>
      </c>
      <c r="O17" s="81" t="s">
        <v>81</v>
      </c>
      <c r="P17" s="82">
        <v>1</v>
      </c>
      <c r="Q17" s="80">
        <v>2000</v>
      </c>
      <c r="R17" s="80">
        <f t="shared" si="2"/>
        <v>2000</v>
      </c>
      <c r="T17" s="118" t="s">
        <v>62</v>
      </c>
      <c r="U17" s="118" t="s">
        <v>48</v>
      </c>
      <c r="V17" s="119">
        <v>2</v>
      </c>
      <c r="W17" s="120">
        <v>1500</v>
      </c>
      <c r="X17" s="140">
        <f t="shared" si="3"/>
        <v>3000</v>
      </c>
      <c r="Z17" s="81" t="s">
        <v>62</v>
      </c>
      <c r="AA17" s="81" t="s">
        <v>246</v>
      </c>
      <c r="AB17" s="82">
        <v>1</v>
      </c>
      <c r="AC17" s="80">
        <v>1500</v>
      </c>
      <c r="AD17" s="80">
        <f t="shared" si="4"/>
        <v>1500</v>
      </c>
      <c r="AF17" s="118"/>
      <c r="AG17" s="118"/>
      <c r="AH17" s="119"/>
      <c r="AI17" s="120"/>
      <c r="AJ17" s="120">
        <f t="shared" si="5"/>
        <v>0</v>
      </c>
    </row>
    <row r="18" spans="2:36" x14ac:dyDescent="0.25">
      <c r="B18" s="42" t="s">
        <v>62</v>
      </c>
      <c r="C18" s="42" t="s">
        <v>81</v>
      </c>
      <c r="D18" s="78">
        <v>1</v>
      </c>
      <c r="E18" s="79">
        <v>2000</v>
      </c>
      <c r="F18" s="79">
        <f t="shared" si="6"/>
        <v>2000</v>
      </c>
      <c r="H18" s="118" t="s">
        <v>62</v>
      </c>
      <c r="I18" s="118" t="s">
        <v>81</v>
      </c>
      <c r="J18" s="119">
        <v>1</v>
      </c>
      <c r="K18" s="120">
        <v>2000</v>
      </c>
      <c r="L18" s="79">
        <f t="shared" si="1"/>
        <v>2000</v>
      </c>
      <c r="N18" s="81" t="s">
        <v>243</v>
      </c>
      <c r="O18" s="81" t="s">
        <v>48</v>
      </c>
      <c r="P18" s="82">
        <v>1</v>
      </c>
      <c r="Q18" s="80">
        <v>1500</v>
      </c>
      <c r="R18" s="80">
        <f t="shared" si="2"/>
        <v>1500</v>
      </c>
      <c r="T18" s="118" t="s">
        <v>62</v>
      </c>
      <c r="U18" s="118" t="s">
        <v>54</v>
      </c>
      <c r="V18" s="119">
        <v>2</v>
      </c>
      <c r="W18" s="120">
        <v>1000</v>
      </c>
      <c r="X18" s="140">
        <f t="shared" si="3"/>
        <v>2000</v>
      </c>
      <c r="Z18" s="81" t="s">
        <v>62</v>
      </c>
      <c r="AA18" s="81" t="s">
        <v>78</v>
      </c>
      <c r="AB18" s="82">
        <v>1</v>
      </c>
      <c r="AC18" s="80">
        <v>2000</v>
      </c>
      <c r="AD18" s="80">
        <f t="shared" si="4"/>
        <v>2000</v>
      </c>
      <c r="AF18" s="118"/>
      <c r="AG18" s="118"/>
      <c r="AH18" s="119"/>
      <c r="AI18" s="120"/>
      <c r="AJ18" s="120">
        <f t="shared" si="5"/>
        <v>0</v>
      </c>
    </row>
    <row r="19" spans="2:36" x14ac:dyDescent="0.25">
      <c r="B19" s="42" t="s">
        <v>62</v>
      </c>
      <c r="C19" s="42" t="s">
        <v>81</v>
      </c>
      <c r="D19" s="78">
        <v>1</v>
      </c>
      <c r="E19" s="79">
        <v>2000</v>
      </c>
      <c r="F19" s="79">
        <f t="shared" si="6"/>
        <v>2000</v>
      </c>
      <c r="H19" s="118" t="s">
        <v>62</v>
      </c>
      <c r="I19" s="118" t="s">
        <v>81</v>
      </c>
      <c r="J19" s="119">
        <v>1</v>
      </c>
      <c r="K19" s="120">
        <v>2000</v>
      </c>
      <c r="L19" s="79">
        <f t="shared" si="1"/>
        <v>2000</v>
      </c>
      <c r="N19" s="81" t="s">
        <v>243</v>
      </c>
      <c r="O19" s="81" t="s">
        <v>48</v>
      </c>
      <c r="P19" s="82">
        <v>1</v>
      </c>
      <c r="Q19" s="80">
        <v>1500</v>
      </c>
      <c r="R19" s="80">
        <f t="shared" si="2"/>
        <v>1500</v>
      </c>
      <c r="T19" s="118" t="s">
        <v>62</v>
      </c>
      <c r="U19" s="118" t="s">
        <v>81</v>
      </c>
      <c r="V19" s="119">
        <v>2</v>
      </c>
      <c r="W19" s="120">
        <v>2000</v>
      </c>
      <c r="X19" s="140">
        <f t="shared" si="3"/>
        <v>4000</v>
      </c>
      <c r="Z19" s="81" t="s">
        <v>62</v>
      </c>
      <c r="AA19" s="81" t="s">
        <v>81</v>
      </c>
      <c r="AB19" s="82">
        <v>1</v>
      </c>
      <c r="AC19" s="80">
        <v>2000</v>
      </c>
      <c r="AD19" s="80">
        <f t="shared" si="4"/>
        <v>2000</v>
      </c>
      <c r="AF19" s="118"/>
      <c r="AG19" s="118"/>
      <c r="AH19" s="119"/>
      <c r="AI19" s="120"/>
      <c r="AJ19" s="120">
        <f t="shared" si="5"/>
        <v>0</v>
      </c>
    </row>
    <row r="20" spans="2:36" x14ac:dyDescent="0.25">
      <c r="B20" s="42" t="s">
        <v>62</v>
      </c>
      <c r="C20" s="42" t="s">
        <v>246</v>
      </c>
      <c r="D20" s="78">
        <v>1</v>
      </c>
      <c r="E20" s="79">
        <v>1500</v>
      </c>
      <c r="F20" s="79">
        <f t="shared" si="6"/>
        <v>1500</v>
      </c>
      <c r="H20" s="118" t="s">
        <v>62</v>
      </c>
      <c r="I20" s="118" t="s">
        <v>27</v>
      </c>
      <c r="J20" s="119">
        <v>1</v>
      </c>
      <c r="K20" s="120">
        <v>1500</v>
      </c>
      <c r="L20" s="79">
        <f t="shared" si="1"/>
        <v>1500</v>
      </c>
      <c r="N20" s="81" t="s">
        <v>243</v>
      </c>
      <c r="O20" s="81" t="s">
        <v>48</v>
      </c>
      <c r="P20" s="82">
        <v>1</v>
      </c>
      <c r="Q20" s="80">
        <v>1500</v>
      </c>
      <c r="R20" s="80">
        <f t="shared" si="2"/>
        <v>1500</v>
      </c>
      <c r="T20" s="138" t="s">
        <v>243</v>
      </c>
      <c r="U20" s="138" t="s">
        <v>78</v>
      </c>
      <c r="V20" s="139">
        <v>1</v>
      </c>
      <c r="W20" s="140">
        <v>2000</v>
      </c>
      <c r="X20" s="140">
        <f t="shared" si="3"/>
        <v>2000</v>
      </c>
      <c r="Z20" s="81" t="s">
        <v>62</v>
      </c>
      <c r="AA20" s="81" t="s">
        <v>48</v>
      </c>
      <c r="AB20" s="82">
        <v>1</v>
      </c>
      <c r="AC20" s="80">
        <v>1500</v>
      </c>
      <c r="AD20" s="80">
        <f t="shared" si="4"/>
        <v>1500</v>
      </c>
      <c r="AF20" s="118"/>
      <c r="AG20" s="118"/>
      <c r="AH20" s="119"/>
      <c r="AI20" s="120"/>
      <c r="AJ20" s="120">
        <f t="shared" si="5"/>
        <v>0</v>
      </c>
    </row>
    <row r="21" spans="2:36" x14ac:dyDescent="0.25">
      <c r="B21" s="42" t="s">
        <v>62</v>
      </c>
      <c r="C21" s="42" t="s">
        <v>54</v>
      </c>
      <c r="D21" s="78">
        <v>1</v>
      </c>
      <c r="E21" s="79">
        <v>1500</v>
      </c>
      <c r="F21" s="79">
        <f t="shared" si="6"/>
        <v>1500</v>
      </c>
      <c r="H21" s="118" t="s">
        <v>62</v>
      </c>
      <c r="I21" s="118" t="s">
        <v>246</v>
      </c>
      <c r="J21" s="119">
        <v>1</v>
      </c>
      <c r="K21" s="120">
        <v>1500</v>
      </c>
      <c r="L21" s="79">
        <f t="shared" si="1"/>
        <v>1500</v>
      </c>
      <c r="N21" s="81" t="s">
        <v>243</v>
      </c>
      <c r="O21" s="81" t="s">
        <v>48</v>
      </c>
      <c r="P21" s="82">
        <v>1</v>
      </c>
      <c r="Q21" s="80">
        <v>1500</v>
      </c>
      <c r="R21" s="80">
        <f t="shared" si="2"/>
        <v>1500</v>
      </c>
      <c r="T21" s="138" t="s">
        <v>243</v>
      </c>
      <c r="U21" s="138" t="s">
        <v>78</v>
      </c>
      <c r="V21" s="139">
        <v>2</v>
      </c>
      <c r="W21" s="140">
        <v>2000</v>
      </c>
      <c r="X21" s="140">
        <f t="shared" si="3"/>
        <v>4000</v>
      </c>
      <c r="Z21" s="81" t="s">
        <v>62</v>
      </c>
      <c r="AA21" s="81" t="s">
        <v>78</v>
      </c>
      <c r="AB21" s="82">
        <v>1</v>
      </c>
      <c r="AC21" s="80">
        <v>2000</v>
      </c>
      <c r="AD21" s="80">
        <f t="shared" si="4"/>
        <v>2000</v>
      </c>
      <c r="AF21" s="118"/>
      <c r="AG21" s="118"/>
      <c r="AH21" s="119"/>
      <c r="AI21" s="120"/>
      <c r="AJ21" s="120">
        <f t="shared" si="5"/>
        <v>0</v>
      </c>
    </row>
    <row r="22" spans="2:36" x14ac:dyDescent="0.25">
      <c r="B22" s="42" t="s">
        <v>62</v>
      </c>
      <c r="C22" s="42" t="s">
        <v>246</v>
      </c>
      <c r="D22" s="78">
        <v>1</v>
      </c>
      <c r="E22" s="79">
        <v>1500</v>
      </c>
      <c r="F22" s="79">
        <f t="shared" si="6"/>
        <v>1500</v>
      </c>
      <c r="H22" s="118" t="s">
        <v>62</v>
      </c>
      <c r="I22" s="118" t="s">
        <v>81</v>
      </c>
      <c r="J22" s="119">
        <v>1</v>
      </c>
      <c r="K22" s="120">
        <v>2000</v>
      </c>
      <c r="L22" s="79">
        <f t="shared" si="1"/>
        <v>2000</v>
      </c>
      <c r="N22" s="81" t="s">
        <v>243</v>
      </c>
      <c r="O22" s="81" t="s">
        <v>78</v>
      </c>
      <c r="P22" s="82">
        <v>1</v>
      </c>
      <c r="Q22" s="80">
        <v>2000</v>
      </c>
      <c r="R22" s="80">
        <f t="shared" si="2"/>
        <v>2000</v>
      </c>
      <c r="T22" s="138" t="s">
        <v>243</v>
      </c>
      <c r="U22" s="138" t="s">
        <v>48</v>
      </c>
      <c r="V22" s="139">
        <v>1</v>
      </c>
      <c r="W22" s="140">
        <v>2000</v>
      </c>
      <c r="X22" s="140">
        <f t="shared" si="3"/>
        <v>2000</v>
      </c>
      <c r="Z22" s="81" t="s">
        <v>62</v>
      </c>
      <c r="AA22" s="81" t="s">
        <v>1330</v>
      </c>
      <c r="AB22" s="82">
        <v>2</v>
      </c>
      <c r="AC22" s="80">
        <v>1000</v>
      </c>
      <c r="AD22" s="80">
        <f t="shared" si="4"/>
        <v>2000</v>
      </c>
      <c r="AF22" s="118"/>
      <c r="AG22" s="118"/>
      <c r="AH22" s="119"/>
      <c r="AI22" s="120"/>
      <c r="AJ22" s="120">
        <f t="shared" si="5"/>
        <v>0</v>
      </c>
    </row>
    <row r="23" spans="2:36" x14ac:dyDescent="0.25">
      <c r="B23" s="42" t="s">
        <v>604</v>
      </c>
      <c r="C23" s="42" t="s">
        <v>79</v>
      </c>
      <c r="D23" s="78">
        <v>5</v>
      </c>
      <c r="E23" s="79">
        <v>2000</v>
      </c>
      <c r="F23" s="79">
        <f t="shared" si="6"/>
        <v>10000</v>
      </c>
      <c r="H23" s="118" t="s">
        <v>62</v>
      </c>
      <c r="I23" s="118" t="s">
        <v>917</v>
      </c>
      <c r="J23" s="119">
        <v>1</v>
      </c>
      <c r="K23" s="120">
        <v>2000</v>
      </c>
      <c r="L23" s="79">
        <f t="shared" si="1"/>
        <v>2000</v>
      </c>
      <c r="N23" s="81" t="s">
        <v>243</v>
      </c>
      <c r="O23" s="81" t="s">
        <v>78</v>
      </c>
      <c r="P23" s="82">
        <v>1</v>
      </c>
      <c r="Q23" s="80">
        <v>2000</v>
      </c>
      <c r="R23" s="80">
        <f t="shared" si="2"/>
        <v>2000</v>
      </c>
      <c r="T23" s="138" t="s">
        <v>243</v>
      </c>
      <c r="U23" s="138" t="s">
        <v>78</v>
      </c>
      <c r="V23" s="139">
        <v>1</v>
      </c>
      <c r="W23" s="140">
        <v>2000</v>
      </c>
      <c r="X23" s="140">
        <f t="shared" si="3"/>
        <v>2000</v>
      </c>
      <c r="Z23" s="81" t="s">
        <v>62</v>
      </c>
      <c r="AA23" s="81" t="s">
        <v>81</v>
      </c>
      <c r="AB23" s="82">
        <v>1</v>
      </c>
      <c r="AC23" s="80">
        <v>2000</v>
      </c>
      <c r="AD23" s="80">
        <f t="shared" si="4"/>
        <v>2000</v>
      </c>
      <c r="AF23" s="118"/>
      <c r="AG23" s="118"/>
      <c r="AH23" s="119"/>
      <c r="AI23" s="120"/>
      <c r="AJ23" s="120">
        <f t="shared" si="5"/>
        <v>0</v>
      </c>
    </row>
    <row r="24" spans="2:36" x14ac:dyDescent="0.25">
      <c r="B24" s="42" t="s">
        <v>243</v>
      </c>
      <c r="C24" s="42" t="s">
        <v>81</v>
      </c>
      <c r="D24" s="78">
        <v>1</v>
      </c>
      <c r="E24" s="79">
        <v>2000</v>
      </c>
      <c r="F24" s="79">
        <f t="shared" si="6"/>
        <v>2000</v>
      </c>
      <c r="H24" s="118" t="s">
        <v>62</v>
      </c>
      <c r="I24" s="118" t="s">
        <v>81</v>
      </c>
      <c r="J24" s="119">
        <v>1</v>
      </c>
      <c r="K24" s="120">
        <v>2000</v>
      </c>
      <c r="L24" s="79">
        <f t="shared" si="1"/>
        <v>2000</v>
      </c>
      <c r="N24" s="81" t="s">
        <v>243</v>
      </c>
      <c r="O24" s="81" t="s">
        <v>78</v>
      </c>
      <c r="P24" s="82">
        <v>1</v>
      </c>
      <c r="Q24" s="80">
        <v>2000</v>
      </c>
      <c r="R24" s="80">
        <f t="shared" si="2"/>
        <v>2000</v>
      </c>
      <c r="T24" s="138" t="s">
        <v>243</v>
      </c>
      <c r="U24" s="138" t="s">
        <v>78</v>
      </c>
      <c r="V24" s="139">
        <v>1</v>
      </c>
      <c r="W24" s="140">
        <v>2000</v>
      </c>
      <c r="X24" s="140">
        <f t="shared" si="3"/>
        <v>2000</v>
      </c>
      <c r="Z24" s="81" t="s">
        <v>243</v>
      </c>
      <c r="AA24" s="81" t="s">
        <v>78</v>
      </c>
      <c r="AB24" s="82">
        <v>1</v>
      </c>
      <c r="AC24" s="80">
        <v>2000</v>
      </c>
      <c r="AD24" s="80">
        <f t="shared" si="4"/>
        <v>2000</v>
      </c>
      <c r="AF24" s="118"/>
      <c r="AG24" s="118"/>
      <c r="AH24" s="119"/>
      <c r="AI24" s="120"/>
      <c r="AJ24" s="120">
        <f t="shared" si="5"/>
        <v>0</v>
      </c>
    </row>
    <row r="25" spans="2:36" x14ac:dyDescent="0.25">
      <c r="B25" s="42" t="s">
        <v>243</v>
      </c>
      <c r="C25" s="42" t="s">
        <v>246</v>
      </c>
      <c r="D25" s="78">
        <v>1</v>
      </c>
      <c r="E25" s="79">
        <v>1500</v>
      </c>
      <c r="F25" s="79">
        <f t="shared" si="6"/>
        <v>1500</v>
      </c>
      <c r="H25" s="118" t="s">
        <v>62</v>
      </c>
      <c r="I25" s="118" t="s">
        <v>54</v>
      </c>
      <c r="J25" s="119">
        <v>1</v>
      </c>
      <c r="K25" s="120">
        <v>1000</v>
      </c>
      <c r="L25" s="79">
        <f t="shared" si="1"/>
        <v>1000</v>
      </c>
      <c r="N25" s="81" t="s">
        <v>243</v>
      </c>
      <c r="O25" s="81" t="s">
        <v>78</v>
      </c>
      <c r="P25" s="82">
        <v>1</v>
      </c>
      <c r="Q25" s="80">
        <v>2000</v>
      </c>
      <c r="R25" s="80">
        <f t="shared" si="2"/>
        <v>2000</v>
      </c>
      <c r="T25" s="138" t="s">
        <v>243</v>
      </c>
      <c r="U25" s="138" t="s">
        <v>78</v>
      </c>
      <c r="V25" s="139">
        <v>1</v>
      </c>
      <c r="W25" s="140">
        <v>2000</v>
      </c>
      <c r="X25" s="140">
        <f t="shared" si="3"/>
        <v>2000</v>
      </c>
      <c r="Z25" s="81" t="s">
        <v>243</v>
      </c>
      <c r="AA25" s="81" t="s">
        <v>78</v>
      </c>
      <c r="AB25" s="82">
        <v>1</v>
      </c>
      <c r="AC25" s="80">
        <v>2000</v>
      </c>
      <c r="AD25" s="80">
        <f t="shared" si="4"/>
        <v>2000</v>
      </c>
      <c r="AF25" s="118"/>
      <c r="AG25" s="118"/>
      <c r="AH25" s="119"/>
      <c r="AI25" s="120"/>
      <c r="AJ25" s="120">
        <f t="shared" si="5"/>
        <v>0</v>
      </c>
    </row>
    <row r="26" spans="2:36" x14ac:dyDescent="0.25">
      <c r="B26" s="42" t="s">
        <v>243</v>
      </c>
      <c r="C26" s="42" t="s">
        <v>406</v>
      </c>
      <c r="D26" s="78">
        <v>1</v>
      </c>
      <c r="E26" s="79">
        <v>2000</v>
      </c>
      <c r="F26" s="79">
        <v>2000</v>
      </c>
      <c r="H26" s="118" t="s">
        <v>62</v>
      </c>
      <c r="I26" s="118" t="s">
        <v>81</v>
      </c>
      <c r="J26" s="119">
        <v>1</v>
      </c>
      <c r="K26" s="120">
        <v>2000</v>
      </c>
      <c r="L26" s="79">
        <f t="shared" si="1"/>
        <v>2000</v>
      </c>
      <c r="N26" s="81" t="s">
        <v>243</v>
      </c>
      <c r="O26" s="81" t="s">
        <v>81</v>
      </c>
      <c r="P26" s="82">
        <v>1</v>
      </c>
      <c r="Q26" s="80">
        <v>2000</v>
      </c>
      <c r="R26" s="80">
        <f t="shared" si="2"/>
        <v>2000</v>
      </c>
      <c r="T26" s="138" t="s">
        <v>243</v>
      </c>
      <c r="U26" s="138" t="s">
        <v>81</v>
      </c>
      <c r="V26" s="139">
        <v>1</v>
      </c>
      <c r="W26" s="140">
        <v>2000</v>
      </c>
      <c r="X26" s="140">
        <f t="shared" si="3"/>
        <v>2000</v>
      </c>
      <c r="Z26" s="81" t="s">
        <v>243</v>
      </c>
      <c r="AA26" s="81" t="s">
        <v>246</v>
      </c>
      <c r="AB26" s="82">
        <v>1</v>
      </c>
      <c r="AC26" s="80">
        <v>1500</v>
      </c>
      <c r="AD26" s="80">
        <f t="shared" si="4"/>
        <v>1500</v>
      </c>
      <c r="AF26" s="118"/>
      <c r="AG26" s="118"/>
      <c r="AH26" s="119"/>
      <c r="AI26" s="120"/>
      <c r="AJ26" s="120">
        <f t="shared" si="5"/>
        <v>0</v>
      </c>
    </row>
    <row r="27" spans="2:36" x14ac:dyDescent="0.25">
      <c r="B27" s="42" t="s">
        <v>243</v>
      </c>
      <c r="C27" s="42" t="s">
        <v>246</v>
      </c>
      <c r="D27" s="78">
        <v>1</v>
      </c>
      <c r="E27" s="79">
        <v>1500</v>
      </c>
      <c r="F27" s="79">
        <f t="shared" ref="F27:F58" si="7">D27*E27</f>
        <v>1500</v>
      </c>
      <c r="H27" s="118" t="s">
        <v>62</v>
      </c>
      <c r="I27" s="118" t="s">
        <v>81</v>
      </c>
      <c r="J27" s="119">
        <v>1</v>
      </c>
      <c r="K27" s="120">
        <v>2000</v>
      </c>
      <c r="L27" s="79">
        <f t="shared" si="1"/>
        <v>2000</v>
      </c>
      <c r="N27" s="81" t="s">
        <v>243</v>
      </c>
      <c r="O27" s="81" t="s">
        <v>917</v>
      </c>
      <c r="P27" s="82">
        <v>1</v>
      </c>
      <c r="Q27" s="80">
        <v>2000</v>
      </c>
      <c r="R27" s="80">
        <f t="shared" si="2"/>
        <v>2000</v>
      </c>
      <c r="T27" s="138" t="s">
        <v>243</v>
      </c>
      <c r="U27" s="138" t="s">
        <v>246</v>
      </c>
      <c r="V27" s="139">
        <v>1</v>
      </c>
      <c r="W27" s="140">
        <v>1500</v>
      </c>
      <c r="X27" s="140">
        <f t="shared" si="3"/>
        <v>1500</v>
      </c>
      <c r="Z27" s="81" t="s">
        <v>243</v>
      </c>
      <c r="AA27" s="81" t="s">
        <v>78</v>
      </c>
      <c r="AB27" s="82">
        <v>1</v>
      </c>
      <c r="AC27" s="80">
        <v>2000</v>
      </c>
      <c r="AD27" s="80">
        <f t="shared" si="4"/>
        <v>2000</v>
      </c>
      <c r="AF27" s="118"/>
      <c r="AG27" s="118"/>
      <c r="AH27" s="119"/>
      <c r="AI27" s="120"/>
      <c r="AJ27" s="120">
        <f t="shared" si="5"/>
        <v>0</v>
      </c>
    </row>
    <row r="28" spans="2:36" x14ac:dyDescent="0.25">
      <c r="B28" s="42" t="s">
        <v>243</v>
      </c>
      <c r="C28" s="42" t="s">
        <v>78</v>
      </c>
      <c r="D28" s="78">
        <v>2</v>
      </c>
      <c r="E28" s="79">
        <v>2000</v>
      </c>
      <c r="F28" s="79">
        <f t="shared" si="7"/>
        <v>4000</v>
      </c>
      <c r="H28" s="81" t="s">
        <v>243</v>
      </c>
      <c r="I28" s="81" t="s">
        <v>79</v>
      </c>
      <c r="J28" s="82">
        <v>1</v>
      </c>
      <c r="K28" s="80">
        <v>2000</v>
      </c>
      <c r="L28" s="80">
        <f t="shared" si="1"/>
        <v>2000</v>
      </c>
      <c r="N28" s="81" t="s">
        <v>243</v>
      </c>
      <c r="O28" s="81" t="s">
        <v>48</v>
      </c>
      <c r="P28" s="82">
        <v>1</v>
      </c>
      <c r="Q28" s="80">
        <v>1500</v>
      </c>
      <c r="R28" s="80">
        <f t="shared" si="2"/>
        <v>1500</v>
      </c>
      <c r="T28" s="138" t="s">
        <v>243</v>
      </c>
      <c r="U28" s="138" t="s">
        <v>79</v>
      </c>
      <c r="V28" s="139">
        <v>1</v>
      </c>
      <c r="W28" s="140">
        <v>2000</v>
      </c>
      <c r="X28" s="140">
        <f t="shared" si="3"/>
        <v>2000</v>
      </c>
      <c r="Z28" s="81" t="s">
        <v>243</v>
      </c>
      <c r="AA28" s="81" t="s">
        <v>246</v>
      </c>
      <c r="AB28" s="82">
        <v>1</v>
      </c>
      <c r="AC28" s="80">
        <v>1500</v>
      </c>
      <c r="AD28" s="80">
        <f t="shared" si="4"/>
        <v>1500</v>
      </c>
      <c r="AF28" s="118"/>
      <c r="AG28" s="118"/>
      <c r="AH28" s="119"/>
      <c r="AI28" s="120"/>
      <c r="AJ28" s="120">
        <f t="shared" si="5"/>
        <v>0</v>
      </c>
    </row>
    <row r="29" spans="2:36" x14ac:dyDescent="0.25">
      <c r="B29" s="42" t="s">
        <v>243</v>
      </c>
      <c r="C29" s="42" t="s">
        <v>79</v>
      </c>
      <c r="D29" s="78">
        <v>1</v>
      </c>
      <c r="E29" s="79">
        <v>2000</v>
      </c>
      <c r="F29" s="79">
        <f t="shared" si="7"/>
        <v>2000</v>
      </c>
      <c r="H29" s="81" t="s">
        <v>243</v>
      </c>
      <c r="I29" s="81" t="s">
        <v>81</v>
      </c>
      <c r="J29" s="82">
        <v>1</v>
      </c>
      <c r="K29" s="80">
        <v>2000</v>
      </c>
      <c r="L29" s="80">
        <f t="shared" si="1"/>
        <v>2000</v>
      </c>
      <c r="N29" s="81" t="s">
        <v>243</v>
      </c>
      <c r="O29" s="81" t="s">
        <v>81</v>
      </c>
      <c r="P29" s="82">
        <v>1</v>
      </c>
      <c r="Q29" s="80">
        <v>2000</v>
      </c>
      <c r="R29" s="80">
        <f t="shared" si="2"/>
        <v>2000</v>
      </c>
      <c r="T29" s="138" t="s">
        <v>243</v>
      </c>
      <c r="U29" s="138" t="s">
        <v>917</v>
      </c>
      <c r="V29" s="139">
        <v>1</v>
      </c>
      <c r="W29" s="140">
        <v>2000</v>
      </c>
      <c r="X29" s="140">
        <f t="shared" si="3"/>
        <v>2000</v>
      </c>
      <c r="Z29" s="81" t="s">
        <v>243</v>
      </c>
      <c r="AA29" s="81" t="s">
        <v>81</v>
      </c>
      <c r="AB29" s="82">
        <v>1</v>
      </c>
      <c r="AC29" s="80">
        <v>2000</v>
      </c>
      <c r="AD29" s="80">
        <f t="shared" si="4"/>
        <v>2000</v>
      </c>
      <c r="AF29" s="118"/>
      <c r="AG29" s="118"/>
      <c r="AH29" s="119"/>
      <c r="AI29" s="120"/>
      <c r="AJ29" s="120">
        <f t="shared" si="5"/>
        <v>0</v>
      </c>
    </row>
    <row r="30" spans="2:36" x14ac:dyDescent="0.25">
      <c r="B30" s="81" t="s">
        <v>243</v>
      </c>
      <c r="C30" s="81" t="s">
        <v>78</v>
      </c>
      <c r="D30" s="82">
        <v>1</v>
      </c>
      <c r="E30" s="80">
        <v>2000</v>
      </c>
      <c r="F30" s="80">
        <f t="shared" si="7"/>
        <v>2000</v>
      </c>
      <c r="H30" s="81" t="s">
        <v>243</v>
      </c>
      <c r="I30" s="81" t="s">
        <v>246</v>
      </c>
      <c r="J30" s="82">
        <v>1</v>
      </c>
      <c r="K30" s="80">
        <v>1000</v>
      </c>
      <c r="L30" s="80">
        <f t="shared" si="1"/>
        <v>1000</v>
      </c>
      <c r="N30" s="81" t="s">
        <v>243</v>
      </c>
      <c r="O30" s="81" t="s">
        <v>48</v>
      </c>
      <c r="P30" s="82">
        <v>1</v>
      </c>
      <c r="Q30" s="80">
        <v>1500</v>
      </c>
      <c r="R30" s="80">
        <f t="shared" si="2"/>
        <v>1500</v>
      </c>
      <c r="T30" s="138" t="s">
        <v>243</v>
      </c>
      <c r="U30" s="138" t="s">
        <v>917</v>
      </c>
      <c r="V30" s="139">
        <v>1</v>
      </c>
      <c r="W30" s="140">
        <v>2000</v>
      </c>
      <c r="X30" s="140">
        <f t="shared" si="3"/>
        <v>2000</v>
      </c>
      <c r="Z30" s="81" t="s">
        <v>243</v>
      </c>
      <c r="AA30" s="81" t="s">
        <v>78</v>
      </c>
      <c r="AB30" s="82">
        <v>1</v>
      </c>
      <c r="AC30" s="80">
        <v>2000</v>
      </c>
      <c r="AD30" s="80">
        <f t="shared" si="4"/>
        <v>2000</v>
      </c>
      <c r="AF30" s="118"/>
      <c r="AG30" s="118"/>
      <c r="AH30" s="119"/>
      <c r="AI30" s="120"/>
      <c r="AJ30" s="120">
        <f t="shared" si="5"/>
        <v>0</v>
      </c>
    </row>
    <row r="31" spans="2:36" x14ac:dyDescent="0.25">
      <c r="B31" s="42" t="s">
        <v>243</v>
      </c>
      <c r="C31" s="42" t="s">
        <v>246</v>
      </c>
      <c r="D31" s="78">
        <v>1</v>
      </c>
      <c r="E31" s="79">
        <v>1500</v>
      </c>
      <c r="F31" s="79">
        <f t="shared" si="7"/>
        <v>1500</v>
      </c>
      <c r="H31" s="81" t="s">
        <v>243</v>
      </c>
      <c r="I31" s="81" t="s">
        <v>79</v>
      </c>
      <c r="J31" s="82">
        <v>1</v>
      </c>
      <c r="K31" s="80">
        <v>2000</v>
      </c>
      <c r="L31" s="80">
        <f t="shared" si="1"/>
        <v>2000</v>
      </c>
      <c r="N31" s="81" t="s">
        <v>243</v>
      </c>
      <c r="O31" s="81" t="s">
        <v>81</v>
      </c>
      <c r="P31" s="82">
        <v>1</v>
      </c>
      <c r="Q31" s="80">
        <v>2000</v>
      </c>
      <c r="R31" s="80">
        <f t="shared" si="2"/>
        <v>2000</v>
      </c>
      <c r="T31" s="138" t="s">
        <v>243</v>
      </c>
      <c r="U31" s="138" t="s">
        <v>78</v>
      </c>
      <c r="V31" s="139">
        <v>1</v>
      </c>
      <c r="W31" s="140">
        <v>2000</v>
      </c>
      <c r="X31" s="140">
        <f t="shared" si="3"/>
        <v>2000</v>
      </c>
      <c r="Z31" s="81" t="s">
        <v>243</v>
      </c>
      <c r="AA31" s="81" t="s">
        <v>79</v>
      </c>
      <c r="AB31" s="82">
        <v>1</v>
      </c>
      <c r="AC31" s="80">
        <v>2000</v>
      </c>
      <c r="AD31" s="80">
        <f t="shared" si="4"/>
        <v>2000</v>
      </c>
      <c r="AF31" s="118"/>
      <c r="AG31" s="118"/>
      <c r="AH31" s="119"/>
      <c r="AI31" s="120"/>
      <c r="AJ31" s="120">
        <f t="shared" si="5"/>
        <v>0</v>
      </c>
    </row>
    <row r="32" spans="2:36" x14ac:dyDescent="0.25">
      <c r="B32" s="81" t="s">
        <v>243</v>
      </c>
      <c r="C32" s="81" t="s">
        <v>79</v>
      </c>
      <c r="D32" s="82">
        <v>1</v>
      </c>
      <c r="E32" s="80">
        <v>2000</v>
      </c>
      <c r="F32" s="80">
        <f t="shared" si="7"/>
        <v>2000</v>
      </c>
      <c r="H32" s="81" t="s">
        <v>243</v>
      </c>
      <c r="I32" s="81" t="s">
        <v>78</v>
      </c>
      <c r="J32" s="82">
        <v>1</v>
      </c>
      <c r="K32" s="80">
        <v>1500</v>
      </c>
      <c r="L32" s="80">
        <f t="shared" si="1"/>
        <v>1500</v>
      </c>
      <c r="N32" s="118" t="s">
        <v>72</v>
      </c>
      <c r="O32" s="118" t="s">
        <v>81</v>
      </c>
      <c r="P32" s="119">
        <v>1</v>
      </c>
      <c r="Q32" s="120">
        <v>2000</v>
      </c>
      <c r="R32" s="79">
        <f t="shared" si="2"/>
        <v>2000</v>
      </c>
      <c r="T32" s="138" t="s">
        <v>243</v>
      </c>
      <c r="U32" s="138" t="s">
        <v>78</v>
      </c>
      <c r="V32" s="139">
        <v>2</v>
      </c>
      <c r="W32" s="140">
        <v>2000</v>
      </c>
      <c r="X32" s="140">
        <f t="shared" si="3"/>
        <v>4000</v>
      </c>
      <c r="Z32" s="81" t="s">
        <v>243</v>
      </c>
      <c r="AA32" s="81" t="s">
        <v>917</v>
      </c>
      <c r="AB32" s="82">
        <v>1</v>
      </c>
      <c r="AC32" s="80">
        <v>2000</v>
      </c>
      <c r="AD32" s="80">
        <f t="shared" si="4"/>
        <v>2000</v>
      </c>
      <c r="AF32" s="118"/>
      <c r="AG32" s="118"/>
      <c r="AH32" s="119"/>
      <c r="AI32" s="120"/>
      <c r="AJ32" s="120">
        <f t="shared" si="5"/>
        <v>0</v>
      </c>
    </row>
    <row r="33" spans="2:36" x14ac:dyDescent="0.25">
      <c r="B33" s="81" t="s">
        <v>243</v>
      </c>
      <c r="C33" s="81" t="s">
        <v>78</v>
      </c>
      <c r="D33" s="82">
        <v>1</v>
      </c>
      <c r="E33" s="80">
        <v>2000</v>
      </c>
      <c r="F33" s="80">
        <f t="shared" si="7"/>
        <v>2000</v>
      </c>
      <c r="H33" s="81" t="s">
        <v>243</v>
      </c>
      <c r="I33" s="81" t="s">
        <v>246</v>
      </c>
      <c r="J33" s="82">
        <v>1</v>
      </c>
      <c r="K33" s="80">
        <v>1500</v>
      </c>
      <c r="L33" s="80">
        <f t="shared" si="1"/>
        <v>1500</v>
      </c>
      <c r="N33" s="118" t="s">
        <v>72</v>
      </c>
      <c r="O33" s="118" t="s">
        <v>48</v>
      </c>
      <c r="P33" s="119">
        <v>1</v>
      </c>
      <c r="Q33" s="120">
        <v>1500</v>
      </c>
      <c r="R33" s="79">
        <f t="shared" si="2"/>
        <v>1500</v>
      </c>
      <c r="T33" s="138" t="s">
        <v>243</v>
      </c>
      <c r="U33" s="138" t="s">
        <v>246</v>
      </c>
      <c r="V33" s="139">
        <v>1</v>
      </c>
      <c r="W33" s="140">
        <v>1500</v>
      </c>
      <c r="X33" s="140">
        <f t="shared" si="3"/>
        <v>1500</v>
      </c>
      <c r="Z33" s="81" t="s">
        <v>243</v>
      </c>
      <c r="AA33" s="81" t="s">
        <v>917</v>
      </c>
      <c r="AB33" s="82">
        <v>1</v>
      </c>
      <c r="AC33" s="80">
        <v>2000</v>
      </c>
      <c r="AD33" s="80">
        <f t="shared" si="4"/>
        <v>2000</v>
      </c>
      <c r="AF33" s="118"/>
      <c r="AG33" s="118"/>
      <c r="AH33" s="119"/>
      <c r="AI33" s="120"/>
      <c r="AJ33" s="120">
        <f t="shared" si="5"/>
        <v>0</v>
      </c>
    </row>
    <row r="34" spans="2:36" x14ac:dyDescent="0.25">
      <c r="B34" s="81" t="s">
        <v>243</v>
      </c>
      <c r="C34" s="81" t="s">
        <v>78</v>
      </c>
      <c r="D34" s="82">
        <v>1</v>
      </c>
      <c r="E34" s="80">
        <v>2000</v>
      </c>
      <c r="F34" s="80">
        <f t="shared" si="7"/>
        <v>2000</v>
      </c>
      <c r="H34" s="81" t="s">
        <v>243</v>
      </c>
      <c r="I34" s="81" t="s">
        <v>81</v>
      </c>
      <c r="J34" s="82">
        <v>1</v>
      </c>
      <c r="K34" s="80">
        <v>2000</v>
      </c>
      <c r="L34" s="80">
        <f t="shared" si="1"/>
        <v>2000</v>
      </c>
      <c r="N34" s="118" t="s">
        <v>72</v>
      </c>
      <c r="O34" s="118" t="s">
        <v>81</v>
      </c>
      <c r="P34" s="119">
        <v>1</v>
      </c>
      <c r="Q34" s="120">
        <v>2000</v>
      </c>
      <c r="R34" s="79">
        <f t="shared" si="2"/>
        <v>2000</v>
      </c>
      <c r="T34" s="138" t="s">
        <v>243</v>
      </c>
      <c r="U34" s="138" t="s">
        <v>78</v>
      </c>
      <c r="V34" s="139">
        <v>1</v>
      </c>
      <c r="W34" s="140">
        <v>2000</v>
      </c>
      <c r="X34" s="140">
        <f t="shared" si="3"/>
        <v>2000</v>
      </c>
      <c r="Z34" s="81" t="s">
        <v>243</v>
      </c>
      <c r="AA34" s="81" t="s">
        <v>78</v>
      </c>
      <c r="AB34" s="82">
        <v>1</v>
      </c>
      <c r="AC34" s="80">
        <v>2000</v>
      </c>
      <c r="AD34" s="80">
        <f t="shared" si="4"/>
        <v>2000</v>
      </c>
      <c r="AF34" s="118"/>
      <c r="AG34" s="118"/>
      <c r="AH34" s="119"/>
      <c r="AI34" s="120"/>
      <c r="AJ34" s="120">
        <f t="shared" si="5"/>
        <v>0</v>
      </c>
    </row>
    <row r="35" spans="2:36" x14ac:dyDescent="0.25">
      <c r="B35" s="81" t="s">
        <v>243</v>
      </c>
      <c r="C35" s="81" t="s">
        <v>246</v>
      </c>
      <c r="D35" s="82">
        <v>1</v>
      </c>
      <c r="E35" s="80">
        <v>1500</v>
      </c>
      <c r="F35" s="80">
        <f t="shared" si="7"/>
        <v>1500</v>
      </c>
      <c r="H35" s="81" t="s">
        <v>243</v>
      </c>
      <c r="I35" s="81" t="s">
        <v>917</v>
      </c>
      <c r="J35" s="82">
        <v>1</v>
      </c>
      <c r="K35" s="80">
        <v>2000</v>
      </c>
      <c r="L35" s="80">
        <f t="shared" si="1"/>
        <v>2000</v>
      </c>
      <c r="N35" s="118" t="s">
        <v>72</v>
      </c>
      <c r="O35" s="118" t="s">
        <v>917</v>
      </c>
      <c r="P35" s="119">
        <v>3</v>
      </c>
      <c r="Q35" s="120">
        <v>2000</v>
      </c>
      <c r="R35" s="79">
        <f t="shared" si="2"/>
        <v>6000</v>
      </c>
      <c r="T35" s="138" t="s">
        <v>243</v>
      </c>
      <c r="U35" s="138" t="s">
        <v>246</v>
      </c>
      <c r="V35" s="139">
        <v>1</v>
      </c>
      <c r="W35" s="140">
        <v>1500</v>
      </c>
      <c r="X35" s="140">
        <f t="shared" si="3"/>
        <v>1500</v>
      </c>
      <c r="Z35" s="81" t="s">
        <v>243</v>
      </c>
      <c r="AA35" s="81" t="s">
        <v>48</v>
      </c>
      <c r="AB35" s="82">
        <v>1</v>
      </c>
      <c r="AC35" s="80">
        <v>1500</v>
      </c>
      <c r="AD35" s="80">
        <f t="shared" si="4"/>
        <v>1500</v>
      </c>
      <c r="AF35" s="118"/>
      <c r="AG35" s="118"/>
      <c r="AH35" s="119"/>
      <c r="AI35" s="120"/>
      <c r="AJ35" s="120">
        <f t="shared" si="5"/>
        <v>0</v>
      </c>
    </row>
    <row r="36" spans="2:36" x14ac:dyDescent="0.25">
      <c r="B36" s="81" t="s">
        <v>243</v>
      </c>
      <c r="C36" s="81" t="s">
        <v>391</v>
      </c>
      <c r="D36" s="82">
        <v>2</v>
      </c>
      <c r="E36" s="80">
        <v>2000</v>
      </c>
      <c r="F36" s="80">
        <f t="shared" si="7"/>
        <v>4000</v>
      </c>
      <c r="H36" s="81" t="s">
        <v>243</v>
      </c>
      <c r="I36" s="81" t="s">
        <v>78</v>
      </c>
      <c r="J36" s="82">
        <v>4</v>
      </c>
      <c r="K36" s="80">
        <v>2000</v>
      </c>
      <c r="L36" s="80">
        <f t="shared" si="1"/>
        <v>8000</v>
      </c>
      <c r="N36" s="118" t="s">
        <v>72</v>
      </c>
      <c r="O36" s="118" t="s">
        <v>48</v>
      </c>
      <c r="P36" s="119">
        <v>2</v>
      </c>
      <c r="Q36" s="120">
        <v>1500</v>
      </c>
      <c r="R36" s="79">
        <f t="shared" ref="R36:R67" si="8">P36*Q36</f>
        <v>3000</v>
      </c>
      <c r="T36" s="138" t="s">
        <v>243</v>
      </c>
      <c r="U36" s="138" t="s">
        <v>917</v>
      </c>
      <c r="V36" s="139">
        <v>1</v>
      </c>
      <c r="W36" s="140">
        <v>2000</v>
      </c>
      <c r="X36" s="140">
        <f t="shared" ref="X36:X67" si="9">V36*W36</f>
        <v>2000</v>
      </c>
      <c r="Z36" s="81" t="s">
        <v>243</v>
      </c>
      <c r="AA36" s="81" t="s">
        <v>48</v>
      </c>
      <c r="AB36" s="82">
        <v>1</v>
      </c>
      <c r="AC36" s="80">
        <v>1500</v>
      </c>
      <c r="AD36" s="80">
        <f t="shared" si="4"/>
        <v>1500</v>
      </c>
      <c r="AF36" s="118"/>
      <c r="AG36" s="118"/>
      <c r="AH36" s="119"/>
      <c r="AI36" s="120"/>
      <c r="AJ36" s="120">
        <f t="shared" si="5"/>
        <v>0</v>
      </c>
    </row>
    <row r="37" spans="2:36" x14ac:dyDescent="0.25">
      <c r="B37" s="81" t="s">
        <v>243</v>
      </c>
      <c r="C37" s="81" t="s">
        <v>246</v>
      </c>
      <c r="D37" s="82">
        <v>1</v>
      </c>
      <c r="E37" s="80">
        <v>1500</v>
      </c>
      <c r="F37" s="80">
        <f t="shared" si="7"/>
        <v>1500</v>
      </c>
      <c r="H37" s="81" t="s">
        <v>243</v>
      </c>
      <c r="I37" s="81" t="s">
        <v>917</v>
      </c>
      <c r="J37" s="82">
        <v>1</v>
      </c>
      <c r="K37" s="80">
        <v>2000</v>
      </c>
      <c r="L37" s="80">
        <f t="shared" si="1"/>
        <v>2000</v>
      </c>
      <c r="N37" s="118" t="s">
        <v>72</v>
      </c>
      <c r="O37" s="118" t="s">
        <v>48</v>
      </c>
      <c r="P37" s="119">
        <v>3</v>
      </c>
      <c r="Q37" s="120">
        <v>1500</v>
      </c>
      <c r="R37" s="79">
        <f t="shared" si="8"/>
        <v>4500</v>
      </c>
      <c r="T37" s="138" t="s">
        <v>243</v>
      </c>
      <c r="U37" s="138" t="s">
        <v>78</v>
      </c>
      <c r="V37" s="139">
        <v>1</v>
      </c>
      <c r="W37" s="140">
        <v>2000</v>
      </c>
      <c r="X37" s="140">
        <f t="shared" si="9"/>
        <v>2000</v>
      </c>
      <c r="Z37" s="81" t="s">
        <v>243</v>
      </c>
      <c r="AA37" s="81" t="s">
        <v>48</v>
      </c>
      <c r="AB37" s="82">
        <v>1</v>
      </c>
      <c r="AC37" s="80">
        <v>1500</v>
      </c>
      <c r="AD37" s="80">
        <f t="shared" si="4"/>
        <v>1500</v>
      </c>
      <c r="AF37" s="118"/>
      <c r="AG37" s="118"/>
      <c r="AH37" s="119"/>
      <c r="AI37" s="120"/>
      <c r="AJ37" s="120">
        <f t="shared" si="5"/>
        <v>0</v>
      </c>
    </row>
    <row r="38" spans="2:36" x14ac:dyDescent="0.25">
      <c r="B38" s="81" t="s">
        <v>243</v>
      </c>
      <c r="C38" s="81" t="s">
        <v>79</v>
      </c>
      <c r="D38" s="82">
        <v>1</v>
      </c>
      <c r="E38" s="80">
        <v>2000</v>
      </c>
      <c r="F38" s="80">
        <f t="shared" si="7"/>
        <v>2000</v>
      </c>
      <c r="H38" s="81" t="s">
        <v>243</v>
      </c>
      <c r="I38" s="81" t="s">
        <v>81</v>
      </c>
      <c r="J38" s="82">
        <v>2</v>
      </c>
      <c r="K38" s="80">
        <v>2000</v>
      </c>
      <c r="L38" s="80">
        <f t="shared" si="1"/>
        <v>4000</v>
      </c>
      <c r="N38" s="81" t="s">
        <v>986</v>
      </c>
      <c r="O38" s="81" t="s">
        <v>78</v>
      </c>
      <c r="P38" s="82">
        <v>1</v>
      </c>
      <c r="Q38" s="80">
        <v>2000</v>
      </c>
      <c r="R38" s="80">
        <f t="shared" si="8"/>
        <v>2000</v>
      </c>
      <c r="T38" s="138" t="s">
        <v>72</v>
      </c>
      <c r="U38" s="138" t="s">
        <v>81</v>
      </c>
      <c r="V38" s="139">
        <v>1</v>
      </c>
      <c r="W38" s="140">
        <v>2000</v>
      </c>
      <c r="X38" s="140">
        <f t="shared" si="9"/>
        <v>2000</v>
      </c>
      <c r="Z38" s="81" t="s">
        <v>243</v>
      </c>
      <c r="AA38" s="81" t="s">
        <v>79</v>
      </c>
      <c r="AB38" s="82">
        <v>1</v>
      </c>
      <c r="AC38" s="80">
        <v>2000</v>
      </c>
      <c r="AD38" s="80">
        <f t="shared" si="4"/>
        <v>2000</v>
      </c>
      <c r="AF38" s="118"/>
      <c r="AG38" s="118"/>
      <c r="AH38" s="119"/>
      <c r="AI38" s="120"/>
      <c r="AJ38" s="120">
        <f t="shared" si="5"/>
        <v>0</v>
      </c>
    </row>
    <row r="39" spans="2:36" x14ac:dyDescent="0.25">
      <c r="B39" s="81" t="s">
        <v>243</v>
      </c>
      <c r="C39" s="81" t="s">
        <v>246</v>
      </c>
      <c r="D39" s="82">
        <v>1</v>
      </c>
      <c r="E39" s="80">
        <v>1500</v>
      </c>
      <c r="F39" s="80">
        <f t="shared" si="7"/>
        <v>1500</v>
      </c>
      <c r="H39" s="81" t="s">
        <v>243</v>
      </c>
      <c r="I39" s="81" t="s">
        <v>81</v>
      </c>
      <c r="J39" s="82">
        <v>1</v>
      </c>
      <c r="K39" s="80">
        <v>2000</v>
      </c>
      <c r="L39" s="80">
        <f t="shared" si="1"/>
        <v>2000</v>
      </c>
      <c r="N39" s="81" t="s">
        <v>986</v>
      </c>
      <c r="O39" s="81" t="s">
        <v>48</v>
      </c>
      <c r="P39" s="82">
        <v>1</v>
      </c>
      <c r="Q39" s="80">
        <v>1500</v>
      </c>
      <c r="R39" s="80">
        <f t="shared" si="8"/>
        <v>1500</v>
      </c>
      <c r="T39" s="138" t="s">
        <v>72</v>
      </c>
      <c r="U39" s="138" t="s">
        <v>81</v>
      </c>
      <c r="V39" s="139">
        <v>1</v>
      </c>
      <c r="W39" s="140">
        <v>2000</v>
      </c>
      <c r="X39" s="140">
        <f t="shared" si="9"/>
        <v>2000</v>
      </c>
      <c r="Z39" s="81" t="s">
        <v>243</v>
      </c>
      <c r="AA39" s="81" t="s">
        <v>917</v>
      </c>
      <c r="AB39" s="82">
        <v>1</v>
      </c>
      <c r="AC39" s="80">
        <v>2000</v>
      </c>
      <c r="AD39" s="80">
        <f t="shared" si="4"/>
        <v>2000</v>
      </c>
      <c r="AF39" s="118"/>
      <c r="AG39" s="118"/>
      <c r="AH39" s="119"/>
      <c r="AI39" s="120"/>
      <c r="AJ39" s="120">
        <f t="shared" si="5"/>
        <v>0</v>
      </c>
    </row>
    <row r="40" spans="2:36" x14ac:dyDescent="0.25">
      <c r="B40" s="81" t="s">
        <v>243</v>
      </c>
      <c r="C40" s="81" t="s">
        <v>81</v>
      </c>
      <c r="D40" s="82">
        <v>1</v>
      </c>
      <c r="E40" s="80">
        <v>2000</v>
      </c>
      <c r="F40" s="80">
        <f t="shared" si="7"/>
        <v>2000</v>
      </c>
      <c r="H40" s="81" t="s">
        <v>243</v>
      </c>
      <c r="I40" s="81" t="s">
        <v>81</v>
      </c>
      <c r="J40" s="82">
        <v>1</v>
      </c>
      <c r="K40" s="80">
        <v>2000</v>
      </c>
      <c r="L40" s="80">
        <f t="shared" si="1"/>
        <v>2000</v>
      </c>
      <c r="N40" s="118" t="s">
        <v>986</v>
      </c>
      <c r="O40" s="118" t="s">
        <v>78</v>
      </c>
      <c r="P40" s="119">
        <v>4</v>
      </c>
      <c r="Q40" s="120">
        <v>2000</v>
      </c>
      <c r="R40" s="79">
        <f t="shared" si="8"/>
        <v>8000</v>
      </c>
      <c r="T40" s="138" t="s">
        <v>72</v>
      </c>
      <c r="U40" s="138" t="s">
        <v>48</v>
      </c>
      <c r="V40" s="139">
        <v>1</v>
      </c>
      <c r="W40" s="140">
        <v>1500</v>
      </c>
      <c r="X40" s="140">
        <f t="shared" si="9"/>
        <v>1500</v>
      </c>
      <c r="Z40" s="81" t="s">
        <v>243</v>
      </c>
      <c r="AA40" s="81" t="s">
        <v>917</v>
      </c>
      <c r="AB40" s="82">
        <v>1</v>
      </c>
      <c r="AC40" s="80">
        <v>2000</v>
      </c>
      <c r="AD40" s="80">
        <f t="shared" si="4"/>
        <v>2000</v>
      </c>
      <c r="AF40" s="118"/>
      <c r="AG40" s="118"/>
      <c r="AH40" s="119"/>
      <c r="AI40" s="120"/>
      <c r="AJ40" s="120">
        <f t="shared" si="5"/>
        <v>0</v>
      </c>
    </row>
    <row r="41" spans="2:36" x14ac:dyDescent="0.25">
      <c r="B41" s="81" t="s">
        <v>243</v>
      </c>
      <c r="C41" s="81" t="s">
        <v>78</v>
      </c>
      <c r="D41" s="82">
        <v>1</v>
      </c>
      <c r="E41" s="80">
        <v>2000</v>
      </c>
      <c r="F41" s="80">
        <f t="shared" si="7"/>
        <v>2000</v>
      </c>
      <c r="H41" s="81" t="s">
        <v>243</v>
      </c>
      <c r="I41" s="81" t="s">
        <v>81</v>
      </c>
      <c r="J41" s="82">
        <v>1</v>
      </c>
      <c r="K41" s="80">
        <v>2000</v>
      </c>
      <c r="L41" s="80">
        <f t="shared" si="1"/>
        <v>2000</v>
      </c>
      <c r="N41" s="118" t="s">
        <v>135</v>
      </c>
      <c r="O41" s="118" t="s">
        <v>48</v>
      </c>
      <c r="P41" s="119">
        <v>3</v>
      </c>
      <c r="Q41" s="120">
        <v>1500</v>
      </c>
      <c r="R41" s="79">
        <f t="shared" si="8"/>
        <v>4500</v>
      </c>
      <c r="T41" s="138" t="s">
        <v>72</v>
      </c>
      <c r="U41" s="138" t="s">
        <v>81</v>
      </c>
      <c r="V41" s="139">
        <v>1</v>
      </c>
      <c r="W41" s="140">
        <v>2000</v>
      </c>
      <c r="X41" s="140">
        <f t="shared" si="9"/>
        <v>2000</v>
      </c>
      <c r="Z41" s="81" t="s">
        <v>243</v>
      </c>
      <c r="AA41" s="81" t="s">
        <v>78</v>
      </c>
      <c r="AB41" s="82">
        <v>1</v>
      </c>
      <c r="AC41" s="80">
        <v>2000</v>
      </c>
      <c r="AD41" s="80">
        <f t="shared" si="4"/>
        <v>2000</v>
      </c>
      <c r="AF41" s="118"/>
      <c r="AG41" s="118"/>
      <c r="AH41" s="119"/>
      <c r="AI41" s="120"/>
      <c r="AJ41" s="120">
        <f t="shared" si="5"/>
        <v>0</v>
      </c>
    </row>
    <row r="42" spans="2:36" x14ac:dyDescent="0.25">
      <c r="B42" s="81" t="s">
        <v>243</v>
      </c>
      <c r="C42" s="81" t="s">
        <v>246</v>
      </c>
      <c r="D42" s="82">
        <v>1</v>
      </c>
      <c r="E42" s="80">
        <v>1500</v>
      </c>
      <c r="F42" s="80">
        <f t="shared" si="7"/>
        <v>1500</v>
      </c>
      <c r="H42" s="81" t="s">
        <v>243</v>
      </c>
      <c r="I42" s="81" t="s">
        <v>78</v>
      </c>
      <c r="J42" s="82">
        <v>1</v>
      </c>
      <c r="K42" s="80">
        <v>2000</v>
      </c>
      <c r="L42" s="80">
        <f t="shared" si="1"/>
        <v>2000</v>
      </c>
      <c r="N42" s="118" t="s">
        <v>135</v>
      </c>
      <c r="O42" s="118" t="s">
        <v>81</v>
      </c>
      <c r="P42" s="119">
        <v>2</v>
      </c>
      <c r="Q42" s="120">
        <v>2000</v>
      </c>
      <c r="R42" s="79">
        <f t="shared" si="8"/>
        <v>4000</v>
      </c>
      <c r="T42" s="138" t="s">
        <v>72</v>
      </c>
      <c r="U42" s="138" t="s">
        <v>81</v>
      </c>
      <c r="V42" s="139">
        <v>1</v>
      </c>
      <c r="W42" s="140">
        <v>2000</v>
      </c>
      <c r="X42" s="140">
        <f t="shared" si="9"/>
        <v>2000</v>
      </c>
      <c r="Z42" s="81" t="s">
        <v>243</v>
      </c>
      <c r="AA42" s="81" t="s">
        <v>78</v>
      </c>
      <c r="AB42" s="82">
        <v>2</v>
      </c>
      <c r="AC42" s="80">
        <v>2000</v>
      </c>
      <c r="AD42" s="80">
        <f t="shared" si="4"/>
        <v>4000</v>
      </c>
      <c r="AF42" s="118"/>
      <c r="AG42" s="118"/>
      <c r="AH42" s="119"/>
      <c r="AI42" s="120"/>
      <c r="AJ42" s="120">
        <f t="shared" si="5"/>
        <v>0</v>
      </c>
    </row>
    <row r="43" spans="2:36" x14ac:dyDescent="0.25">
      <c r="B43" s="81" t="s">
        <v>243</v>
      </c>
      <c r="C43" s="81" t="s">
        <v>81</v>
      </c>
      <c r="D43" s="82">
        <v>1</v>
      </c>
      <c r="E43" s="80">
        <v>2000</v>
      </c>
      <c r="F43" s="80">
        <f t="shared" si="7"/>
        <v>2000</v>
      </c>
      <c r="H43" s="81" t="s">
        <v>243</v>
      </c>
      <c r="I43" s="81" t="s">
        <v>81</v>
      </c>
      <c r="J43" s="82">
        <v>1</v>
      </c>
      <c r="K43" s="80">
        <v>2000</v>
      </c>
      <c r="L43" s="80">
        <f t="shared" si="1"/>
        <v>2000</v>
      </c>
      <c r="N43" s="118" t="s">
        <v>135</v>
      </c>
      <c r="O43" s="118" t="s">
        <v>48</v>
      </c>
      <c r="P43" s="119">
        <v>2</v>
      </c>
      <c r="Q43" s="120">
        <v>1500</v>
      </c>
      <c r="R43" s="79">
        <f t="shared" si="8"/>
        <v>3000</v>
      </c>
      <c r="T43" s="138" t="s">
        <v>72</v>
      </c>
      <c r="U43" s="138" t="s">
        <v>81</v>
      </c>
      <c r="V43" s="139">
        <v>1</v>
      </c>
      <c r="W43" s="140">
        <v>2000</v>
      </c>
      <c r="X43" s="140">
        <f t="shared" si="9"/>
        <v>2000</v>
      </c>
      <c r="Z43" s="81" t="s">
        <v>243</v>
      </c>
      <c r="AA43" s="81" t="s">
        <v>246</v>
      </c>
      <c r="AB43" s="82">
        <v>1</v>
      </c>
      <c r="AC43" s="80">
        <v>1500</v>
      </c>
      <c r="AD43" s="80">
        <f t="shared" si="4"/>
        <v>1500</v>
      </c>
      <c r="AF43" s="118"/>
      <c r="AG43" s="118"/>
      <c r="AH43" s="119"/>
      <c r="AI43" s="120"/>
      <c r="AJ43" s="120">
        <f t="shared" si="5"/>
        <v>0</v>
      </c>
    </row>
    <row r="44" spans="2:36" x14ac:dyDescent="0.25">
      <c r="B44" s="81" t="s">
        <v>243</v>
      </c>
      <c r="C44" s="81" t="s">
        <v>275</v>
      </c>
      <c r="D44" s="82">
        <v>1</v>
      </c>
      <c r="E44" s="80">
        <v>2000</v>
      </c>
      <c r="F44" s="80">
        <f t="shared" si="7"/>
        <v>2000</v>
      </c>
      <c r="H44" s="81" t="s">
        <v>243</v>
      </c>
      <c r="I44" s="81" t="s">
        <v>81</v>
      </c>
      <c r="J44" s="82">
        <v>1</v>
      </c>
      <c r="K44" s="80">
        <v>2000</v>
      </c>
      <c r="L44" s="80">
        <f t="shared" si="1"/>
        <v>2000</v>
      </c>
      <c r="N44" s="118" t="s">
        <v>135</v>
      </c>
      <c r="O44" s="118" t="s">
        <v>78</v>
      </c>
      <c r="P44" s="119">
        <v>1</v>
      </c>
      <c r="Q44" s="120">
        <v>2000</v>
      </c>
      <c r="R44" s="79">
        <f t="shared" si="8"/>
        <v>2000</v>
      </c>
      <c r="T44" s="138" t="s">
        <v>72</v>
      </c>
      <c r="U44" s="138" t="s">
        <v>81</v>
      </c>
      <c r="V44" s="139">
        <v>1</v>
      </c>
      <c r="W44" s="140">
        <v>2000</v>
      </c>
      <c r="X44" s="140">
        <f t="shared" si="9"/>
        <v>2000</v>
      </c>
      <c r="Z44" s="81" t="s">
        <v>243</v>
      </c>
      <c r="AA44" s="81" t="s">
        <v>78</v>
      </c>
      <c r="AB44" s="82">
        <v>1</v>
      </c>
      <c r="AC44" s="80">
        <v>2000</v>
      </c>
      <c r="AD44" s="80">
        <f t="shared" si="4"/>
        <v>2000</v>
      </c>
      <c r="AF44" s="118"/>
      <c r="AG44" s="118"/>
      <c r="AH44" s="119"/>
      <c r="AI44" s="120"/>
      <c r="AJ44" s="120">
        <f t="shared" si="5"/>
        <v>0</v>
      </c>
    </row>
    <row r="45" spans="2:36" x14ac:dyDescent="0.25">
      <c r="B45" s="81" t="s">
        <v>243</v>
      </c>
      <c r="C45" s="81" t="s">
        <v>81</v>
      </c>
      <c r="D45" s="82">
        <v>1</v>
      </c>
      <c r="E45" s="80">
        <v>2000</v>
      </c>
      <c r="F45" s="80">
        <f t="shared" si="7"/>
        <v>2000</v>
      </c>
      <c r="H45" s="81" t="s">
        <v>243</v>
      </c>
      <c r="I45" s="81" t="s">
        <v>78</v>
      </c>
      <c r="J45" s="82">
        <v>1</v>
      </c>
      <c r="K45" s="80">
        <v>2000</v>
      </c>
      <c r="L45" s="80">
        <f t="shared" si="1"/>
        <v>2000</v>
      </c>
      <c r="N45" s="118" t="s">
        <v>135</v>
      </c>
      <c r="O45" s="118" t="s">
        <v>48</v>
      </c>
      <c r="P45" s="119">
        <v>2</v>
      </c>
      <c r="Q45" s="120">
        <v>1500</v>
      </c>
      <c r="R45" s="79">
        <f t="shared" si="8"/>
        <v>3000</v>
      </c>
      <c r="T45" s="138" t="s">
        <v>72</v>
      </c>
      <c r="U45" s="138" t="s">
        <v>917</v>
      </c>
      <c r="V45" s="139">
        <v>1</v>
      </c>
      <c r="W45" s="140">
        <v>2000</v>
      </c>
      <c r="X45" s="140">
        <f t="shared" si="9"/>
        <v>2000</v>
      </c>
      <c r="Z45" s="81" t="s">
        <v>243</v>
      </c>
      <c r="AA45" s="81" t="s">
        <v>246</v>
      </c>
      <c r="AB45" s="82">
        <v>1</v>
      </c>
      <c r="AC45" s="80">
        <v>1500</v>
      </c>
      <c r="AD45" s="80">
        <f t="shared" si="4"/>
        <v>1500</v>
      </c>
      <c r="AF45" s="118"/>
      <c r="AG45" s="118"/>
      <c r="AH45" s="119"/>
      <c r="AI45" s="120"/>
      <c r="AJ45" s="120">
        <f t="shared" si="5"/>
        <v>0</v>
      </c>
    </row>
    <row r="46" spans="2:36" x14ac:dyDescent="0.25">
      <c r="B46" s="42" t="s">
        <v>72</v>
      </c>
      <c r="C46" s="42" t="s">
        <v>81</v>
      </c>
      <c r="D46" s="78">
        <v>1</v>
      </c>
      <c r="E46" s="79">
        <v>2000</v>
      </c>
      <c r="F46" s="79">
        <f t="shared" si="7"/>
        <v>2000</v>
      </c>
      <c r="H46" s="81" t="s">
        <v>243</v>
      </c>
      <c r="I46" s="81" t="s">
        <v>917</v>
      </c>
      <c r="J46" s="82">
        <v>1</v>
      </c>
      <c r="K46" s="80">
        <v>2000</v>
      </c>
      <c r="L46" s="80">
        <f t="shared" si="1"/>
        <v>2000</v>
      </c>
      <c r="N46" s="118" t="s">
        <v>135</v>
      </c>
      <c r="O46" s="118" t="s">
        <v>48</v>
      </c>
      <c r="P46" s="119">
        <v>1</v>
      </c>
      <c r="Q46" s="120">
        <v>1500</v>
      </c>
      <c r="R46" s="79">
        <f t="shared" si="8"/>
        <v>1500</v>
      </c>
      <c r="T46" s="138" t="s">
        <v>72</v>
      </c>
      <c r="U46" s="138" t="s">
        <v>246</v>
      </c>
      <c r="V46" s="139">
        <v>1</v>
      </c>
      <c r="W46" s="140">
        <v>1500</v>
      </c>
      <c r="X46" s="140">
        <f t="shared" si="9"/>
        <v>1500</v>
      </c>
      <c r="Z46" s="81" t="s">
        <v>243</v>
      </c>
      <c r="AA46" s="81" t="s">
        <v>917</v>
      </c>
      <c r="AB46" s="82">
        <v>1</v>
      </c>
      <c r="AC46" s="80">
        <v>2000</v>
      </c>
      <c r="AD46" s="80">
        <f t="shared" si="4"/>
        <v>2000</v>
      </c>
      <c r="AF46" s="118"/>
      <c r="AG46" s="118"/>
      <c r="AH46" s="119"/>
      <c r="AI46" s="120"/>
      <c r="AJ46" s="120">
        <f t="shared" si="5"/>
        <v>0</v>
      </c>
    </row>
    <row r="47" spans="2:36" x14ac:dyDescent="0.25">
      <c r="B47" s="42" t="s">
        <v>72</v>
      </c>
      <c r="C47" s="42" t="s">
        <v>244</v>
      </c>
      <c r="D47" s="78">
        <v>1</v>
      </c>
      <c r="E47" s="79">
        <v>2000</v>
      </c>
      <c r="F47" s="79">
        <f t="shared" si="7"/>
        <v>2000</v>
      </c>
      <c r="H47" s="81" t="s">
        <v>243</v>
      </c>
      <c r="I47" s="81" t="s">
        <v>81</v>
      </c>
      <c r="J47" s="82">
        <v>1</v>
      </c>
      <c r="K47" s="80">
        <v>2000</v>
      </c>
      <c r="L47" s="80">
        <f t="shared" si="1"/>
        <v>2000</v>
      </c>
      <c r="N47" s="118" t="s">
        <v>135</v>
      </c>
      <c r="O47" s="118" t="s">
        <v>48</v>
      </c>
      <c r="P47" s="119">
        <v>1</v>
      </c>
      <c r="Q47" s="120">
        <v>1500</v>
      </c>
      <c r="R47" s="79">
        <f t="shared" si="8"/>
        <v>1500</v>
      </c>
      <c r="T47" s="138" t="s">
        <v>72</v>
      </c>
      <c r="U47" s="138" t="s">
        <v>81</v>
      </c>
      <c r="V47" s="139">
        <v>1</v>
      </c>
      <c r="W47" s="140">
        <v>2000</v>
      </c>
      <c r="X47" s="140">
        <f t="shared" si="9"/>
        <v>2000</v>
      </c>
      <c r="Z47" s="81" t="s">
        <v>243</v>
      </c>
      <c r="AA47" s="81" t="s">
        <v>78</v>
      </c>
      <c r="AB47" s="82">
        <v>1</v>
      </c>
      <c r="AC47" s="80">
        <v>2000</v>
      </c>
      <c r="AD47" s="80">
        <f t="shared" si="4"/>
        <v>2000</v>
      </c>
      <c r="AF47" s="118"/>
      <c r="AG47" s="118"/>
      <c r="AH47" s="119"/>
      <c r="AI47" s="120"/>
      <c r="AJ47" s="120">
        <f t="shared" si="5"/>
        <v>0</v>
      </c>
    </row>
    <row r="48" spans="2:36" x14ac:dyDescent="0.25">
      <c r="B48" s="42" t="s">
        <v>72</v>
      </c>
      <c r="C48" s="42" t="s">
        <v>79</v>
      </c>
      <c r="D48" s="78">
        <v>2</v>
      </c>
      <c r="E48" s="79">
        <v>2000</v>
      </c>
      <c r="F48" s="79">
        <f t="shared" si="7"/>
        <v>4000</v>
      </c>
      <c r="H48" s="81" t="s">
        <v>243</v>
      </c>
      <c r="I48" s="81" t="s">
        <v>81</v>
      </c>
      <c r="J48" s="82">
        <v>1</v>
      </c>
      <c r="K48" s="80">
        <v>2000</v>
      </c>
      <c r="L48" s="80">
        <f t="shared" si="1"/>
        <v>2000</v>
      </c>
      <c r="N48" s="118" t="s">
        <v>135</v>
      </c>
      <c r="O48" s="118" t="s">
        <v>48</v>
      </c>
      <c r="P48" s="119">
        <v>1</v>
      </c>
      <c r="Q48" s="120">
        <v>1500</v>
      </c>
      <c r="R48" s="79">
        <f t="shared" si="8"/>
        <v>1500</v>
      </c>
      <c r="T48" s="138" t="s">
        <v>72</v>
      </c>
      <c r="U48" s="138" t="s">
        <v>48</v>
      </c>
      <c r="V48" s="139">
        <v>1</v>
      </c>
      <c r="W48" s="140">
        <v>1500</v>
      </c>
      <c r="X48" s="140">
        <f t="shared" si="9"/>
        <v>1500</v>
      </c>
      <c r="Z48" s="81" t="s">
        <v>243</v>
      </c>
      <c r="AA48" s="81" t="s">
        <v>48</v>
      </c>
      <c r="AB48" s="82">
        <v>2</v>
      </c>
      <c r="AC48" s="80">
        <v>1500</v>
      </c>
      <c r="AD48" s="80">
        <f t="shared" si="4"/>
        <v>3000</v>
      </c>
      <c r="AF48" s="118"/>
      <c r="AG48" s="118"/>
      <c r="AH48" s="119"/>
      <c r="AI48" s="120"/>
      <c r="AJ48" s="120">
        <f t="shared" si="5"/>
        <v>0</v>
      </c>
    </row>
    <row r="49" spans="2:36" x14ac:dyDescent="0.25">
      <c r="B49" s="42" t="s">
        <v>72</v>
      </c>
      <c r="C49" s="42" t="s">
        <v>79</v>
      </c>
      <c r="D49" s="78">
        <v>1</v>
      </c>
      <c r="E49" s="79">
        <v>2000</v>
      </c>
      <c r="F49" s="79">
        <f t="shared" si="7"/>
        <v>2000</v>
      </c>
      <c r="H49" s="81" t="s">
        <v>243</v>
      </c>
      <c r="I49" s="81" t="s">
        <v>78</v>
      </c>
      <c r="J49" s="82">
        <v>1</v>
      </c>
      <c r="K49" s="80">
        <v>2000</v>
      </c>
      <c r="L49" s="80">
        <f t="shared" si="1"/>
        <v>2000</v>
      </c>
      <c r="N49" s="118" t="s">
        <v>135</v>
      </c>
      <c r="O49" s="118" t="s">
        <v>48</v>
      </c>
      <c r="P49" s="119">
        <v>1</v>
      </c>
      <c r="Q49" s="120">
        <v>1500</v>
      </c>
      <c r="R49" s="79">
        <f t="shared" si="8"/>
        <v>1500</v>
      </c>
      <c r="T49" s="138" t="s">
        <v>72</v>
      </c>
      <c r="U49" s="138" t="s">
        <v>81</v>
      </c>
      <c r="V49" s="139">
        <v>1</v>
      </c>
      <c r="W49" s="140">
        <v>2000</v>
      </c>
      <c r="X49" s="140">
        <f t="shared" si="9"/>
        <v>2000</v>
      </c>
      <c r="Z49" s="81" t="s">
        <v>243</v>
      </c>
      <c r="AA49" s="81" t="s">
        <v>78</v>
      </c>
      <c r="AB49" s="82">
        <v>1</v>
      </c>
      <c r="AC49" s="80">
        <v>2000</v>
      </c>
      <c r="AD49" s="80">
        <f t="shared" si="4"/>
        <v>2000</v>
      </c>
      <c r="AF49" s="118"/>
      <c r="AG49" s="118"/>
      <c r="AH49" s="119"/>
      <c r="AI49" s="120"/>
      <c r="AJ49" s="120">
        <f t="shared" si="5"/>
        <v>0</v>
      </c>
    </row>
    <row r="50" spans="2:36" x14ac:dyDescent="0.25">
      <c r="B50" s="42" t="s">
        <v>72</v>
      </c>
      <c r="C50" s="42" t="s">
        <v>81</v>
      </c>
      <c r="D50" s="78">
        <v>1</v>
      </c>
      <c r="E50" s="79">
        <v>2000</v>
      </c>
      <c r="F50" s="79">
        <f t="shared" si="7"/>
        <v>2000</v>
      </c>
      <c r="H50" s="81" t="s">
        <v>243</v>
      </c>
      <c r="I50" s="81" t="s">
        <v>81</v>
      </c>
      <c r="J50" s="82">
        <v>1</v>
      </c>
      <c r="K50" s="80">
        <v>2000</v>
      </c>
      <c r="L50" s="80">
        <f t="shared" si="1"/>
        <v>2000</v>
      </c>
      <c r="N50" s="118" t="s">
        <v>135</v>
      </c>
      <c r="O50" s="118" t="s">
        <v>917</v>
      </c>
      <c r="P50" s="119">
        <v>2</v>
      </c>
      <c r="Q50" s="120">
        <v>2000</v>
      </c>
      <c r="R50" s="79">
        <f t="shared" si="8"/>
        <v>4000</v>
      </c>
      <c r="T50" s="138" t="s">
        <v>135</v>
      </c>
      <c r="U50" s="138" t="s">
        <v>48</v>
      </c>
      <c r="V50" s="139">
        <v>1</v>
      </c>
      <c r="W50" s="140">
        <v>1500</v>
      </c>
      <c r="X50" s="140">
        <f t="shared" si="9"/>
        <v>1500</v>
      </c>
      <c r="Z50" s="81" t="s">
        <v>72</v>
      </c>
      <c r="AA50" s="81" t="s">
        <v>917</v>
      </c>
      <c r="AB50" s="82">
        <v>1</v>
      </c>
      <c r="AC50" s="80">
        <v>2000</v>
      </c>
      <c r="AD50" s="80">
        <f t="shared" si="4"/>
        <v>2000</v>
      </c>
      <c r="AF50" s="118"/>
      <c r="AG50" s="118"/>
      <c r="AH50" s="119"/>
      <c r="AI50" s="120"/>
      <c r="AJ50" s="120">
        <f t="shared" si="5"/>
        <v>0</v>
      </c>
    </row>
    <row r="51" spans="2:36" x14ac:dyDescent="0.25">
      <c r="B51" s="81" t="s">
        <v>594</v>
      </c>
      <c r="C51" s="81" t="s">
        <v>392</v>
      </c>
      <c r="D51" s="82">
        <v>1</v>
      </c>
      <c r="E51" s="80">
        <v>1500</v>
      </c>
      <c r="F51" s="80">
        <f t="shared" si="7"/>
        <v>1500</v>
      </c>
      <c r="H51" s="81" t="s">
        <v>243</v>
      </c>
      <c r="I51" s="81" t="s">
        <v>81</v>
      </c>
      <c r="J51" s="82">
        <v>1</v>
      </c>
      <c r="K51" s="80">
        <v>2000</v>
      </c>
      <c r="L51" s="80">
        <f t="shared" si="1"/>
        <v>2000</v>
      </c>
      <c r="N51" s="118" t="s">
        <v>135</v>
      </c>
      <c r="O51" s="118" t="s">
        <v>48</v>
      </c>
      <c r="P51" s="119">
        <v>1</v>
      </c>
      <c r="Q51" s="120">
        <v>1500</v>
      </c>
      <c r="R51" s="79">
        <f t="shared" si="8"/>
        <v>1500</v>
      </c>
      <c r="T51" s="138" t="s">
        <v>135</v>
      </c>
      <c r="U51" s="138" t="s">
        <v>48</v>
      </c>
      <c r="V51" s="139">
        <v>1</v>
      </c>
      <c r="W51" s="140">
        <v>1500</v>
      </c>
      <c r="X51" s="140">
        <f t="shared" si="9"/>
        <v>1500</v>
      </c>
      <c r="Z51" s="81" t="s">
        <v>72</v>
      </c>
      <c r="AA51" s="81" t="s">
        <v>78</v>
      </c>
      <c r="AB51" s="82">
        <v>1</v>
      </c>
      <c r="AC51" s="80">
        <v>2000</v>
      </c>
      <c r="AD51" s="80">
        <f t="shared" si="4"/>
        <v>2000</v>
      </c>
      <c r="AF51" s="118"/>
      <c r="AG51" s="118"/>
      <c r="AH51" s="119"/>
      <c r="AI51" s="120"/>
      <c r="AJ51" s="120">
        <f t="shared" si="5"/>
        <v>0</v>
      </c>
    </row>
    <row r="52" spans="2:36" x14ac:dyDescent="0.25">
      <c r="B52" s="81" t="s">
        <v>594</v>
      </c>
      <c r="C52" s="81" t="s">
        <v>78</v>
      </c>
      <c r="D52" s="82">
        <v>3</v>
      </c>
      <c r="E52" s="80">
        <v>2000</v>
      </c>
      <c r="F52" s="80">
        <f t="shared" si="7"/>
        <v>6000</v>
      </c>
      <c r="H52" s="118" t="s">
        <v>72</v>
      </c>
      <c r="I52" s="118" t="s">
        <v>79</v>
      </c>
      <c r="J52" s="119">
        <v>1</v>
      </c>
      <c r="K52" s="120">
        <v>2000</v>
      </c>
      <c r="L52" s="79">
        <f t="shared" si="1"/>
        <v>2000</v>
      </c>
      <c r="N52" s="118" t="s">
        <v>135</v>
      </c>
      <c r="O52" s="118" t="s">
        <v>48</v>
      </c>
      <c r="P52" s="119">
        <v>1</v>
      </c>
      <c r="Q52" s="120">
        <v>1500</v>
      </c>
      <c r="R52" s="79">
        <f t="shared" si="8"/>
        <v>1500</v>
      </c>
      <c r="T52" s="138" t="s">
        <v>135</v>
      </c>
      <c r="U52" s="138" t="s">
        <v>48</v>
      </c>
      <c r="V52" s="139">
        <v>1</v>
      </c>
      <c r="W52" s="140">
        <v>1500</v>
      </c>
      <c r="X52" s="140">
        <f t="shared" si="9"/>
        <v>1500</v>
      </c>
      <c r="Z52" s="81" t="s">
        <v>72</v>
      </c>
      <c r="AA52" s="81" t="s">
        <v>81</v>
      </c>
      <c r="AB52" s="82">
        <v>1</v>
      </c>
      <c r="AC52" s="80">
        <v>2000</v>
      </c>
      <c r="AD52" s="80">
        <f t="shared" si="4"/>
        <v>2000</v>
      </c>
      <c r="AF52" s="118"/>
      <c r="AG52" s="118"/>
      <c r="AH52" s="119"/>
      <c r="AI52" s="120"/>
      <c r="AJ52" s="120">
        <f t="shared" si="5"/>
        <v>0</v>
      </c>
    </row>
    <row r="53" spans="2:36" x14ac:dyDescent="0.25">
      <c r="B53" s="42" t="s">
        <v>135</v>
      </c>
      <c r="C53" s="42" t="s">
        <v>48</v>
      </c>
      <c r="D53" s="78">
        <v>1</v>
      </c>
      <c r="E53" s="79">
        <v>1500</v>
      </c>
      <c r="F53" s="79">
        <f t="shared" si="7"/>
        <v>1500</v>
      </c>
      <c r="H53" s="118" t="s">
        <v>72</v>
      </c>
      <c r="I53" s="118" t="s">
        <v>27</v>
      </c>
      <c r="J53" s="119">
        <v>1</v>
      </c>
      <c r="K53" s="120">
        <v>1500</v>
      </c>
      <c r="L53" s="79">
        <f t="shared" si="1"/>
        <v>1500</v>
      </c>
      <c r="N53" s="118" t="s">
        <v>73</v>
      </c>
      <c r="O53" s="118" t="s">
        <v>917</v>
      </c>
      <c r="P53" s="119">
        <v>1</v>
      </c>
      <c r="Q53" s="120">
        <v>2000</v>
      </c>
      <c r="R53" s="79">
        <f t="shared" si="8"/>
        <v>2000</v>
      </c>
      <c r="T53" s="138" t="s">
        <v>135</v>
      </c>
      <c r="U53" s="138" t="s">
        <v>81</v>
      </c>
      <c r="V53" s="139">
        <v>2</v>
      </c>
      <c r="W53" s="140">
        <v>2000</v>
      </c>
      <c r="X53" s="140">
        <f t="shared" si="9"/>
        <v>4000</v>
      </c>
      <c r="Z53" s="81" t="s">
        <v>72</v>
      </c>
      <c r="AA53" s="81" t="s">
        <v>81</v>
      </c>
      <c r="AB53" s="82">
        <v>1</v>
      </c>
      <c r="AC53" s="80">
        <v>2000</v>
      </c>
      <c r="AD53" s="80">
        <f t="shared" si="4"/>
        <v>2000</v>
      </c>
      <c r="AF53" s="118"/>
      <c r="AG53" s="118"/>
      <c r="AH53" s="119"/>
      <c r="AI53" s="120"/>
      <c r="AJ53" s="120">
        <f t="shared" si="5"/>
        <v>0</v>
      </c>
    </row>
    <row r="54" spans="2:36" x14ac:dyDescent="0.25">
      <c r="B54" s="42" t="s">
        <v>135</v>
      </c>
      <c r="C54" s="42" t="s">
        <v>27</v>
      </c>
      <c r="D54" s="78">
        <v>2</v>
      </c>
      <c r="E54" s="79">
        <v>1500</v>
      </c>
      <c r="F54" s="79">
        <f t="shared" si="7"/>
        <v>3000</v>
      </c>
      <c r="H54" s="118" t="s">
        <v>72</v>
      </c>
      <c r="I54" s="118" t="s">
        <v>917</v>
      </c>
      <c r="J54" s="119">
        <v>2</v>
      </c>
      <c r="K54" s="120">
        <v>2000</v>
      </c>
      <c r="L54" s="79">
        <f t="shared" si="1"/>
        <v>4000</v>
      </c>
      <c r="N54" s="118" t="s">
        <v>73</v>
      </c>
      <c r="O54" s="118" t="s">
        <v>48</v>
      </c>
      <c r="P54" s="119">
        <v>1</v>
      </c>
      <c r="Q54" s="120">
        <v>1500</v>
      </c>
      <c r="R54" s="79">
        <f t="shared" si="8"/>
        <v>1500</v>
      </c>
      <c r="T54" s="138" t="s">
        <v>135</v>
      </c>
      <c r="U54" s="138" t="s">
        <v>48</v>
      </c>
      <c r="V54" s="139">
        <v>2</v>
      </c>
      <c r="W54" s="140">
        <v>1500</v>
      </c>
      <c r="X54" s="140">
        <f t="shared" si="9"/>
        <v>3000</v>
      </c>
      <c r="Z54" s="81" t="s">
        <v>72</v>
      </c>
      <c r="AA54" s="81" t="s">
        <v>48</v>
      </c>
      <c r="AB54" s="82">
        <v>1</v>
      </c>
      <c r="AC54" s="80">
        <v>1500</v>
      </c>
      <c r="AD54" s="80">
        <f t="shared" si="4"/>
        <v>1500</v>
      </c>
      <c r="AF54" s="118"/>
      <c r="AG54" s="118"/>
      <c r="AH54" s="119"/>
      <c r="AI54" s="120"/>
      <c r="AJ54" s="120">
        <f t="shared" si="5"/>
        <v>0</v>
      </c>
    </row>
    <row r="55" spans="2:36" x14ac:dyDescent="0.25">
      <c r="B55" s="42" t="s">
        <v>135</v>
      </c>
      <c r="C55" s="42" t="s">
        <v>246</v>
      </c>
      <c r="D55" s="78">
        <v>1</v>
      </c>
      <c r="E55" s="79">
        <v>1500</v>
      </c>
      <c r="F55" s="79">
        <f t="shared" si="7"/>
        <v>1500</v>
      </c>
      <c r="H55" s="118" t="s">
        <v>72</v>
      </c>
      <c r="I55" s="118" t="s">
        <v>79</v>
      </c>
      <c r="J55" s="119">
        <v>1</v>
      </c>
      <c r="K55" s="120">
        <v>2000</v>
      </c>
      <c r="L55" s="79">
        <f t="shared" si="1"/>
        <v>2000</v>
      </c>
      <c r="N55" s="118" t="s">
        <v>73</v>
      </c>
      <c r="O55" s="118" t="s">
        <v>81</v>
      </c>
      <c r="P55" s="119">
        <v>4</v>
      </c>
      <c r="Q55" s="120">
        <v>2000</v>
      </c>
      <c r="R55" s="79">
        <f t="shared" si="8"/>
        <v>8000</v>
      </c>
      <c r="T55" s="138" t="s">
        <v>135</v>
      </c>
      <c r="U55" s="138" t="s">
        <v>78</v>
      </c>
      <c r="V55" s="139">
        <v>1</v>
      </c>
      <c r="W55" s="140">
        <v>2000</v>
      </c>
      <c r="X55" s="140">
        <f t="shared" si="9"/>
        <v>2000</v>
      </c>
      <c r="Z55" s="81" t="s">
        <v>72</v>
      </c>
      <c r="AA55" s="81" t="s">
        <v>81</v>
      </c>
      <c r="AB55" s="82">
        <v>1</v>
      </c>
      <c r="AC55" s="80">
        <v>2000</v>
      </c>
      <c r="AD55" s="80">
        <f t="shared" si="4"/>
        <v>2000</v>
      </c>
      <c r="AF55" s="118"/>
      <c r="AG55" s="118"/>
      <c r="AH55" s="119"/>
      <c r="AI55" s="120"/>
      <c r="AJ55" s="120">
        <f t="shared" si="5"/>
        <v>0</v>
      </c>
    </row>
    <row r="56" spans="2:36" x14ac:dyDescent="0.25">
      <c r="B56" s="42" t="s">
        <v>135</v>
      </c>
      <c r="C56" s="42" t="s">
        <v>392</v>
      </c>
      <c r="D56" s="78">
        <v>1</v>
      </c>
      <c r="E56" s="79">
        <v>1500</v>
      </c>
      <c r="F56" s="79">
        <f t="shared" si="7"/>
        <v>1500</v>
      </c>
      <c r="H56" s="118" t="s">
        <v>72</v>
      </c>
      <c r="I56" s="118" t="s">
        <v>917</v>
      </c>
      <c r="J56" s="119">
        <v>1</v>
      </c>
      <c r="K56" s="120">
        <v>2000</v>
      </c>
      <c r="L56" s="79">
        <f t="shared" si="1"/>
        <v>2000</v>
      </c>
      <c r="N56" s="118" t="s">
        <v>73</v>
      </c>
      <c r="O56" s="118" t="s">
        <v>48</v>
      </c>
      <c r="P56" s="119">
        <v>1</v>
      </c>
      <c r="Q56" s="120">
        <v>1500</v>
      </c>
      <c r="R56" s="79">
        <f t="shared" si="8"/>
        <v>1500</v>
      </c>
      <c r="T56" s="138" t="s">
        <v>135</v>
      </c>
      <c r="U56" s="138" t="s">
        <v>48</v>
      </c>
      <c r="V56" s="139">
        <v>2</v>
      </c>
      <c r="W56" s="140">
        <v>1500</v>
      </c>
      <c r="X56" s="140">
        <f t="shared" si="9"/>
        <v>3000</v>
      </c>
      <c r="Z56" s="81" t="s">
        <v>72</v>
      </c>
      <c r="AA56" s="81" t="s">
        <v>81</v>
      </c>
      <c r="AB56" s="82">
        <v>1</v>
      </c>
      <c r="AC56" s="80">
        <v>2000</v>
      </c>
      <c r="AD56" s="80">
        <f t="shared" si="4"/>
        <v>2000</v>
      </c>
      <c r="AF56" s="118"/>
      <c r="AG56" s="118"/>
      <c r="AH56" s="119"/>
      <c r="AI56" s="120"/>
      <c r="AJ56" s="120">
        <f t="shared" si="5"/>
        <v>0</v>
      </c>
    </row>
    <row r="57" spans="2:36" x14ac:dyDescent="0.25">
      <c r="B57" s="42" t="s">
        <v>135</v>
      </c>
      <c r="C57" s="42" t="s">
        <v>79</v>
      </c>
      <c r="D57" s="78">
        <v>1</v>
      </c>
      <c r="E57" s="79">
        <v>2000</v>
      </c>
      <c r="F57" s="79">
        <f t="shared" si="7"/>
        <v>2000</v>
      </c>
      <c r="H57" s="118" t="s">
        <v>72</v>
      </c>
      <c r="I57" s="118" t="s">
        <v>27</v>
      </c>
      <c r="J57" s="119">
        <v>1</v>
      </c>
      <c r="K57" s="120">
        <v>2000</v>
      </c>
      <c r="L57" s="79">
        <f t="shared" si="1"/>
        <v>2000</v>
      </c>
      <c r="N57" s="118" t="s">
        <v>73</v>
      </c>
      <c r="O57" s="118" t="s">
        <v>48</v>
      </c>
      <c r="P57" s="119">
        <v>1</v>
      </c>
      <c r="Q57" s="120">
        <v>1500</v>
      </c>
      <c r="R57" s="79">
        <f t="shared" si="8"/>
        <v>1500</v>
      </c>
      <c r="T57" s="138" t="s">
        <v>135</v>
      </c>
      <c r="U57" s="138" t="s">
        <v>48</v>
      </c>
      <c r="V57" s="139">
        <v>1</v>
      </c>
      <c r="W57" s="140">
        <v>1500</v>
      </c>
      <c r="X57" s="140">
        <f t="shared" si="9"/>
        <v>1500</v>
      </c>
      <c r="Z57" s="81" t="s">
        <v>72</v>
      </c>
      <c r="AA57" s="81" t="s">
        <v>81</v>
      </c>
      <c r="AB57" s="82">
        <v>1</v>
      </c>
      <c r="AC57" s="80">
        <v>2000</v>
      </c>
      <c r="AD57" s="80">
        <f t="shared" si="4"/>
        <v>2000</v>
      </c>
      <c r="AF57" s="118"/>
      <c r="AG57" s="118"/>
      <c r="AH57" s="119"/>
      <c r="AI57" s="120"/>
      <c r="AJ57" s="120">
        <f t="shared" si="5"/>
        <v>0</v>
      </c>
    </row>
    <row r="58" spans="2:36" x14ac:dyDescent="0.25">
      <c r="B58" s="42" t="s">
        <v>135</v>
      </c>
      <c r="C58" s="42" t="s">
        <v>392</v>
      </c>
      <c r="D58" s="78">
        <v>1</v>
      </c>
      <c r="E58" s="79">
        <v>1500</v>
      </c>
      <c r="F58" s="79">
        <f t="shared" si="7"/>
        <v>1500</v>
      </c>
      <c r="H58" s="118" t="s">
        <v>72</v>
      </c>
      <c r="I58" s="118" t="s">
        <v>81</v>
      </c>
      <c r="J58" s="119">
        <v>1</v>
      </c>
      <c r="K58" s="120">
        <v>2000</v>
      </c>
      <c r="L58" s="79">
        <f t="shared" si="1"/>
        <v>2000</v>
      </c>
      <c r="N58" s="118" t="s">
        <v>73</v>
      </c>
      <c r="O58" s="118" t="s">
        <v>81</v>
      </c>
      <c r="P58" s="119">
        <v>1</v>
      </c>
      <c r="Q58" s="120">
        <v>2000</v>
      </c>
      <c r="R58" s="79">
        <f t="shared" si="8"/>
        <v>2000</v>
      </c>
      <c r="T58" s="138" t="s">
        <v>135</v>
      </c>
      <c r="U58" s="138" t="s">
        <v>48</v>
      </c>
      <c r="V58" s="139">
        <v>1</v>
      </c>
      <c r="W58" s="140">
        <v>1500</v>
      </c>
      <c r="X58" s="140">
        <f t="shared" si="9"/>
        <v>1500</v>
      </c>
      <c r="Z58" s="81" t="s">
        <v>72</v>
      </c>
      <c r="AA58" s="81" t="s">
        <v>81</v>
      </c>
      <c r="AB58" s="82">
        <v>1</v>
      </c>
      <c r="AC58" s="80">
        <v>2000</v>
      </c>
      <c r="AD58" s="80">
        <f t="shared" si="4"/>
        <v>2000</v>
      </c>
      <c r="AF58" s="118"/>
      <c r="AG58" s="118"/>
      <c r="AH58" s="119"/>
      <c r="AI58" s="120"/>
      <c r="AJ58" s="120">
        <f t="shared" si="5"/>
        <v>0</v>
      </c>
    </row>
    <row r="59" spans="2:36" x14ac:dyDescent="0.25">
      <c r="B59" s="42" t="s">
        <v>135</v>
      </c>
      <c r="C59" s="42" t="s">
        <v>246</v>
      </c>
      <c r="D59" s="78">
        <v>1</v>
      </c>
      <c r="E59" s="79">
        <v>1500</v>
      </c>
      <c r="F59" s="79">
        <f t="shared" ref="F59:F75" si="10">D59*E59</f>
        <v>1500</v>
      </c>
      <c r="H59" s="118" t="s">
        <v>72</v>
      </c>
      <c r="I59" s="118" t="s">
        <v>27</v>
      </c>
      <c r="J59" s="119">
        <v>1</v>
      </c>
      <c r="K59" s="120">
        <v>2000</v>
      </c>
      <c r="L59" s="79">
        <f t="shared" si="1"/>
        <v>2000</v>
      </c>
      <c r="N59" s="118" t="s">
        <v>73</v>
      </c>
      <c r="O59" s="118" t="s">
        <v>81</v>
      </c>
      <c r="P59" s="119">
        <v>1</v>
      </c>
      <c r="Q59" s="120">
        <v>2000</v>
      </c>
      <c r="R59" s="79">
        <f t="shared" si="8"/>
        <v>2000</v>
      </c>
      <c r="T59" s="138" t="s">
        <v>135</v>
      </c>
      <c r="U59" s="138" t="s">
        <v>48</v>
      </c>
      <c r="V59" s="139">
        <v>1</v>
      </c>
      <c r="W59" s="140">
        <v>1500</v>
      </c>
      <c r="X59" s="140">
        <f t="shared" si="9"/>
        <v>1500</v>
      </c>
      <c r="Z59" s="81" t="s">
        <v>72</v>
      </c>
      <c r="AA59" s="81" t="s">
        <v>81</v>
      </c>
      <c r="AB59" s="82">
        <v>1</v>
      </c>
      <c r="AC59" s="80">
        <v>2000</v>
      </c>
      <c r="AD59" s="80">
        <f t="shared" si="4"/>
        <v>2000</v>
      </c>
      <c r="AF59" s="118"/>
      <c r="AG59" s="118"/>
      <c r="AH59" s="119"/>
      <c r="AI59" s="120"/>
      <c r="AJ59" s="120">
        <f t="shared" si="5"/>
        <v>0</v>
      </c>
    </row>
    <row r="60" spans="2:36" x14ac:dyDescent="0.25">
      <c r="B60" s="42" t="s">
        <v>135</v>
      </c>
      <c r="C60" s="42" t="s">
        <v>81</v>
      </c>
      <c r="D60" s="78">
        <v>1</v>
      </c>
      <c r="E60" s="79">
        <v>2000</v>
      </c>
      <c r="F60" s="79">
        <f t="shared" si="10"/>
        <v>2000</v>
      </c>
      <c r="H60" s="118" t="s">
        <v>72</v>
      </c>
      <c r="I60" s="118" t="s">
        <v>79</v>
      </c>
      <c r="J60" s="119">
        <v>1</v>
      </c>
      <c r="K60" s="120">
        <v>2000</v>
      </c>
      <c r="L60" s="79">
        <f t="shared" si="1"/>
        <v>2000</v>
      </c>
      <c r="N60" s="118" t="s">
        <v>73</v>
      </c>
      <c r="O60" s="118" t="s">
        <v>48</v>
      </c>
      <c r="P60" s="119">
        <v>1</v>
      </c>
      <c r="Q60" s="120">
        <v>1500</v>
      </c>
      <c r="R60" s="79">
        <f t="shared" si="8"/>
        <v>1500</v>
      </c>
      <c r="T60" s="138" t="s">
        <v>135</v>
      </c>
      <c r="U60" s="138" t="s">
        <v>48</v>
      </c>
      <c r="V60" s="139">
        <v>1</v>
      </c>
      <c r="W60" s="140">
        <v>1500</v>
      </c>
      <c r="X60" s="140">
        <f t="shared" si="9"/>
        <v>1500</v>
      </c>
      <c r="Z60" s="81" t="s">
        <v>72</v>
      </c>
      <c r="AA60" s="81" t="s">
        <v>81</v>
      </c>
      <c r="AB60" s="82">
        <v>1</v>
      </c>
      <c r="AC60" s="80">
        <v>2000</v>
      </c>
      <c r="AD60" s="80">
        <f t="shared" si="4"/>
        <v>2000</v>
      </c>
      <c r="AF60" s="118"/>
      <c r="AG60" s="118"/>
      <c r="AH60" s="119"/>
      <c r="AI60" s="120"/>
      <c r="AJ60" s="120">
        <f t="shared" si="5"/>
        <v>0</v>
      </c>
    </row>
    <row r="61" spans="2:36" x14ac:dyDescent="0.25">
      <c r="B61" s="42" t="s">
        <v>135</v>
      </c>
      <c r="C61" s="42" t="s">
        <v>392</v>
      </c>
      <c r="D61" s="78">
        <v>1</v>
      </c>
      <c r="E61" s="79">
        <v>1500</v>
      </c>
      <c r="F61" s="79">
        <f t="shared" si="10"/>
        <v>1500</v>
      </c>
      <c r="H61" s="118" t="s">
        <v>1011</v>
      </c>
      <c r="I61" s="118" t="s">
        <v>27</v>
      </c>
      <c r="J61" s="119">
        <v>1</v>
      </c>
      <c r="K61" s="120">
        <v>1500</v>
      </c>
      <c r="L61" s="79">
        <f t="shared" si="1"/>
        <v>1500</v>
      </c>
      <c r="N61" s="118" t="s">
        <v>73</v>
      </c>
      <c r="O61" s="118" t="s">
        <v>81</v>
      </c>
      <c r="P61" s="119">
        <v>1</v>
      </c>
      <c r="Q61" s="120">
        <v>2000</v>
      </c>
      <c r="R61" s="79">
        <f t="shared" si="8"/>
        <v>2000</v>
      </c>
      <c r="T61" s="138" t="s">
        <v>135</v>
      </c>
      <c r="U61" s="138" t="s">
        <v>917</v>
      </c>
      <c r="V61" s="139">
        <v>2</v>
      </c>
      <c r="W61" s="140">
        <v>2000</v>
      </c>
      <c r="X61" s="140">
        <f t="shared" si="9"/>
        <v>4000</v>
      </c>
      <c r="Z61" s="81" t="s">
        <v>72</v>
      </c>
      <c r="AA61" s="81" t="s">
        <v>48</v>
      </c>
      <c r="AB61" s="82">
        <v>2</v>
      </c>
      <c r="AC61" s="80">
        <v>1500</v>
      </c>
      <c r="AD61" s="80">
        <f t="shared" si="4"/>
        <v>3000</v>
      </c>
      <c r="AF61" s="118"/>
      <c r="AG61" s="118"/>
      <c r="AH61" s="119"/>
      <c r="AI61" s="120"/>
      <c r="AJ61" s="120">
        <f t="shared" si="5"/>
        <v>0</v>
      </c>
    </row>
    <row r="62" spans="2:36" x14ac:dyDescent="0.25">
      <c r="B62" s="42" t="s">
        <v>135</v>
      </c>
      <c r="C62" s="42" t="s">
        <v>48</v>
      </c>
      <c r="D62" s="78">
        <v>1</v>
      </c>
      <c r="E62" s="79">
        <v>1500</v>
      </c>
      <c r="F62" s="79">
        <f t="shared" si="10"/>
        <v>1500</v>
      </c>
      <c r="H62" s="118" t="s">
        <v>986</v>
      </c>
      <c r="I62" s="121" t="s">
        <v>987</v>
      </c>
      <c r="J62" s="119">
        <v>1</v>
      </c>
      <c r="K62" s="120">
        <v>2000</v>
      </c>
      <c r="L62" s="79">
        <f t="shared" si="1"/>
        <v>2000</v>
      </c>
      <c r="N62" s="118" t="s">
        <v>73</v>
      </c>
      <c r="O62" s="121" t="s">
        <v>78</v>
      </c>
      <c r="P62" s="119">
        <v>4</v>
      </c>
      <c r="Q62" s="120">
        <v>2000</v>
      </c>
      <c r="R62" s="79">
        <f t="shared" si="8"/>
        <v>8000</v>
      </c>
      <c r="T62" s="138" t="s">
        <v>135</v>
      </c>
      <c r="U62" s="141" t="s">
        <v>48</v>
      </c>
      <c r="V62" s="139">
        <v>1</v>
      </c>
      <c r="W62" s="140">
        <v>1500</v>
      </c>
      <c r="X62" s="140">
        <f t="shared" si="9"/>
        <v>1500</v>
      </c>
      <c r="Z62" s="81" t="s">
        <v>73</v>
      </c>
      <c r="AA62" s="155" t="s">
        <v>54</v>
      </c>
      <c r="AB62" s="82">
        <v>1</v>
      </c>
      <c r="AC62" s="80">
        <v>1000</v>
      </c>
      <c r="AD62" s="80">
        <f t="shared" si="4"/>
        <v>1000</v>
      </c>
      <c r="AF62" s="118"/>
      <c r="AG62" s="121"/>
      <c r="AH62" s="119"/>
      <c r="AI62" s="120"/>
      <c r="AJ62" s="120">
        <f t="shared" si="5"/>
        <v>0</v>
      </c>
    </row>
    <row r="63" spans="2:36" x14ac:dyDescent="0.25">
      <c r="B63" s="42" t="s">
        <v>135</v>
      </c>
      <c r="C63" s="108" t="s">
        <v>81</v>
      </c>
      <c r="D63" s="78">
        <v>1</v>
      </c>
      <c r="E63" s="79">
        <v>2000</v>
      </c>
      <c r="F63" s="79">
        <f t="shared" si="10"/>
        <v>2000</v>
      </c>
      <c r="H63" s="118" t="s">
        <v>135</v>
      </c>
      <c r="I63" s="118" t="s">
        <v>81</v>
      </c>
      <c r="J63" s="119">
        <v>1</v>
      </c>
      <c r="K63" s="120">
        <v>2000</v>
      </c>
      <c r="L63" s="79">
        <f t="shared" si="1"/>
        <v>2000</v>
      </c>
      <c r="N63" s="118" t="s">
        <v>73</v>
      </c>
      <c r="O63" s="118" t="s">
        <v>79</v>
      </c>
      <c r="P63" s="119">
        <v>1</v>
      </c>
      <c r="Q63" s="120">
        <v>2000</v>
      </c>
      <c r="R63" s="79">
        <f t="shared" si="8"/>
        <v>2000</v>
      </c>
      <c r="T63" s="138" t="s">
        <v>135</v>
      </c>
      <c r="U63" s="138" t="s">
        <v>48</v>
      </c>
      <c r="V63" s="139">
        <v>1</v>
      </c>
      <c r="W63" s="140">
        <v>1500</v>
      </c>
      <c r="X63" s="140">
        <f t="shared" si="9"/>
        <v>1500</v>
      </c>
      <c r="Z63" s="81" t="s">
        <v>73</v>
      </c>
      <c r="AA63" s="81" t="s">
        <v>81</v>
      </c>
      <c r="AB63" s="82">
        <v>1</v>
      </c>
      <c r="AC63" s="80">
        <v>2000</v>
      </c>
      <c r="AD63" s="80">
        <f t="shared" si="4"/>
        <v>2000</v>
      </c>
      <c r="AF63" s="118"/>
      <c r="AG63" s="118"/>
      <c r="AH63" s="119"/>
      <c r="AI63" s="120"/>
      <c r="AJ63" s="120">
        <f t="shared" si="5"/>
        <v>0</v>
      </c>
    </row>
    <row r="64" spans="2:36" x14ac:dyDescent="0.25">
      <c r="B64" s="42" t="s">
        <v>393</v>
      </c>
      <c r="C64" s="42" t="s">
        <v>54</v>
      </c>
      <c r="D64" s="78">
        <v>1</v>
      </c>
      <c r="E64" s="79">
        <v>1000</v>
      </c>
      <c r="F64" s="79">
        <f t="shared" si="10"/>
        <v>1000</v>
      </c>
      <c r="H64" s="118" t="s">
        <v>135</v>
      </c>
      <c r="I64" s="118" t="s">
        <v>246</v>
      </c>
      <c r="J64" s="119">
        <v>1</v>
      </c>
      <c r="K64" s="120">
        <v>1500</v>
      </c>
      <c r="L64" s="79">
        <f t="shared" si="1"/>
        <v>1500</v>
      </c>
      <c r="N64" s="118" t="s">
        <v>73</v>
      </c>
      <c r="O64" s="118" t="s">
        <v>48</v>
      </c>
      <c r="P64" s="119">
        <v>1</v>
      </c>
      <c r="Q64" s="120">
        <v>2000</v>
      </c>
      <c r="R64" s="79">
        <f t="shared" si="8"/>
        <v>2000</v>
      </c>
      <c r="T64" s="138" t="s">
        <v>73</v>
      </c>
      <c r="U64" s="138" t="s">
        <v>48</v>
      </c>
      <c r="V64" s="139">
        <v>1</v>
      </c>
      <c r="W64" s="140">
        <v>1500</v>
      </c>
      <c r="X64" s="140">
        <f t="shared" si="9"/>
        <v>1500</v>
      </c>
      <c r="Z64" s="81" t="s">
        <v>73</v>
      </c>
      <c r="AA64" s="81" t="s">
        <v>81</v>
      </c>
      <c r="AB64" s="82">
        <v>1</v>
      </c>
      <c r="AC64" s="80">
        <v>2000</v>
      </c>
      <c r="AD64" s="80">
        <f t="shared" si="4"/>
        <v>2000</v>
      </c>
      <c r="AF64" s="118"/>
      <c r="AG64" s="118"/>
      <c r="AH64" s="119"/>
      <c r="AI64" s="120"/>
      <c r="AJ64" s="120">
        <f t="shared" si="5"/>
        <v>0</v>
      </c>
    </row>
    <row r="65" spans="2:36" x14ac:dyDescent="0.25">
      <c r="B65" s="83" t="s">
        <v>73</v>
      </c>
      <c r="C65" s="42" t="s">
        <v>79</v>
      </c>
      <c r="D65" s="78">
        <v>1</v>
      </c>
      <c r="E65" s="79">
        <v>2000</v>
      </c>
      <c r="F65" s="79">
        <f t="shared" si="10"/>
        <v>2000</v>
      </c>
      <c r="H65" s="118" t="s">
        <v>135</v>
      </c>
      <c r="I65" s="118" t="s">
        <v>246</v>
      </c>
      <c r="J65" s="119">
        <v>1</v>
      </c>
      <c r="K65" s="120">
        <v>1500</v>
      </c>
      <c r="L65" s="79">
        <f t="shared" si="1"/>
        <v>1500</v>
      </c>
      <c r="N65" s="118" t="s">
        <v>73</v>
      </c>
      <c r="O65" s="118" t="s">
        <v>48</v>
      </c>
      <c r="P65" s="119">
        <v>1</v>
      </c>
      <c r="Q65" s="120">
        <v>1500</v>
      </c>
      <c r="R65" s="79">
        <f t="shared" si="8"/>
        <v>1500</v>
      </c>
      <c r="T65" s="138" t="s">
        <v>73</v>
      </c>
      <c r="U65" s="138" t="s">
        <v>48</v>
      </c>
      <c r="V65" s="139">
        <v>1</v>
      </c>
      <c r="W65" s="140">
        <v>1500</v>
      </c>
      <c r="X65" s="140">
        <f t="shared" si="9"/>
        <v>1500</v>
      </c>
      <c r="Z65" s="81" t="s">
        <v>73</v>
      </c>
      <c r="AA65" s="81" t="s">
        <v>79</v>
      </c>
      <c r="AB65" s="82">
        <v>1</v>
      </c>
      <c r="AC65" s="80">
        <v>2000</v>
      </c>
      <c r="AD65" s="80">
        <f t="shared" si="4"/>
        <v>2000</v>
      </c>
      <c r="AF65" s="118"/>
      <c r="AG65" s="118"/>
      <c r="AH65" s="119"/>
      <c r="AI65" s="120"/>
      <c r="AJ65" s="120">
        <f t="shared" si="5"/>
        <v>0</v>
      </c>
    </row>
    <row r="66" spans="2:36" x14ac:dyDescent="0.25">
      <c r="B66" s="42" t="s">
        <v>73</v>
      </c>
      <c r="C66" s="42" t="s">
        <v>79</v>
      </c>
      <c r="D66" s="78">
        <v>1</v>
      </c>
      <c r="E66" s="79">
        <v>2000</v>
      </c>
      <c r="F66" s="79">
        <f t="shared" si="10"/>
        <v>2000</v>
      </c>
      <c r="H66" s="118" t="s">
        <v>135</v>
      </c>
      <c r="I66" s="118" t="s">
        <v>246</v>
      </c>
      <c r="J66" s="119">
        <v>1</v>
      </c>
      <c r="K66" s="120">
        <v>1500</v>
      </c>
      <c r="L66" s="79">
        <f t="shared" si="1"/>
        <v>1500</v>
      </c>
      <c r="N66" s="118" t="s">
        <v>73</v>
      </c>
      <c r="O66" s="118" t="s">
        <v>79</v>
      </c>
      <c r="P66" s="119">
        <v>1</v>
      </c>
      <c r="Q66" s="120">
        <v>2000</v>
      </c>
      <c r="R66" s="79">
        <f t="shared" si="8"/>
        <v>2000</v>
      </c>
      <c r="T66" s="138" t="s">
        <v>73</v>
      </c>
      <c r="U66" s="138" t="s">
        <v>48</v>
      </c>
      <c r="V66" s="139">
        <v>1</v>
      </c>
      <c r="W66" s="140">
        <v>1500</v>
      </c>
      <c r="X66" s="140">
        <f t="shared" si="9"/>
        <v>1500</v>
      </c>
      <c r="Z66" s="81" t="s">
        <v>73</v>
      </c>
      <c r="AA66" s="81" t="s">
        <v>79</v>
      </c>
      <c r="AB66" s="82">
        <v>3</v>
      </c>
      <c r="AC66" s="80">
        <v>2000</v>
      </c>
      <c r="AD66" s="80">
        <f t="shared" si="4"/>
        <v>6000</v>
      </c>
      <c r="AF66" s="118"/>
      <c r="AG66" s="118"/>
      <c r="AH66" s="119"/>
      <c r="AI66" s="120"/>
      <c r="AJ66" s="120">
        <f t="shared" si="5"/>
        <v>0</v>
      </c>
    </row>
    <row r="67" spans="2:36" x14ac:dyDescent="0.25">
      <c r="B67" s="42" t="s">
        <v>73</v>
      </c>
      <c r="C67" s="42" t="s">
        <v>78</v>
      </c>
      <c r="D67" s="78">
        <v>1</v>
      </c>
      <c r="E67" s="79">
        <v>2000</v>
      </c>
      <c r="F67" s="79">
        <f t="shared" si="10"/>
        <v>2000</v>
      </c>
      <c r="H67" s="118" t="s">
        <v>135</v>
      </c>
      <c r="I67" s="118" t="s">
        <v>249</v>
      </c>
      <c r="J67" s="119">
        <v>2</v>
      </c>
      <c r="K67" s="120">
        <v>2000</v>
      </c>
      <c r="L67" s="79">
        <f t="shared" si="1"/>
        <v>4000</v>
      </c>
      <c r="N67" s="118" t="s">
        <v>82</v>
      </c>
      <c r="O67" s="118" t="s">
        <v>78</v>
      </c>
      <c r="P67" s="119">
        <v>1</v>
      </c>
      <c r="Q67" s="120">
        <v>2000</v>
      </c>
      <c r="R67" s="79">
        <f t="shared" si="8"/>
        <v>2000</v>
      </c>
      <c r="T67" s="138" t="s">
        <v>73</v>
      </c>
      <c r="U67" s="138" t="s">
        <v>1330</v>
      </c>
      <c r="V67" s="139">
        <v>1</v>
      </c>
      <c r="W67" s="140">
        <v>1000</v>
      </c>
      <c r="X67" s="140">
        <f t="shared" si="9"/>
        <v>1000</v>
      </c>
      <c r="Z67" s="81" t="s">
        <v>73</v>
      </c>
      <c r="AA67" s="81" t="s">
        <v>917</v>
      </c>
      <c r="AB67" s="82">
        <v>1</v>
      </c>
      <c r="AC67" s="80">
        <v>2000</v>
      </c>
      <c r="AD67" s="80">
        <f t="shared" si="4"/>
        <v>2000</v>
      </c>
      <c r="AF67" s="118"/>
      <c r="AG67" s="118"/>
      <c r="AH67" s="119"/>
      <c r="AI67" s="120"/>
      <c r="AJ67" s="120">
        <f t="shared" si="5"/>
        <v>0</v>
      </c>
    </row>
    <row r="68" spans="2:36" x14ac:dyDescent="0.25">
      <c r="B68" s="42" t="s">
        <v>73</v>
      </c>
      <c r="C68" s="42" t="s">
        <v>246</v>
      </c>
      <c r="D68" s="78">
        <v>1</v>
      </c>
      <c r="E68" s="79">
        <v>1500</v>
      </c>
      <c r="F68" s="79">
        <f t="shared" si="10"/>
        <v>1500</v>
      </c>
      <c r="H68" s="118" t="s">
        <v>135</v>
      </c>
      <c r="I68" s="118" t="s">
        <v>27</v>
      </c>
      <c r="J68" s="119">
        <v>1</v>
      </c>
      <c r="K68" s="120">
        <v>1500</v>
      </c>
      <c r="L68" s="79">
        <f t="shared" ref="L68:L131" si="11">J68*K68</f>
        <v>1500</v>
      </c>
      <c r="N68" s="81" t="s">
        <v>1123</v>
      </c>
      <c r="O68" s="81" t="s">
        <v>78</v>
      </c>
      <c r="P68" s="82">
        <v>1</v>
      </c>
      <c r="Q68" s="80">
        <v>2000</v>
      </c>
      <c r="R68" s="80">
        <f t="shared" ref="R68:R89" si="12">P68*Q68</f>
        <v>2000</v>
      </c>
      <c r="T68" s="138" t="s">
        <v>73</v>
      </c>
      <c r="U68" s="138" t="s">
        <v>78</v>
      </c>
      <c r="V68" s="139">
        <v>2</v>
      </c>
      <c r="W68" s="140">
        <v>2000</v>
      </c>
      <c r="X68" s="140">
        <f t="shared" ref="X68:X77" si="13">V68*W68</f>
        <v>4000</v>
      </c>
      <c r="Z68" s="81" t="s">
        <v>73</v>
      </c>
      <c r="AA68" s="81" t="s">
        <v>78</v>
      </c>
      <c r="AB68" s="82">
        <v>1</v>
      </c>
      <c r="AC68" s="80">
        <v>2000</v>
      </c>
      <c r="AD68" s="80">
        <f t="shared" ref="AD68:AD131" si="14">AB68*AC68</f>
        <v>2000</v>
      </c>
      <c r="AF68" s="118"/>
      <c r="AG68" s="118"/>
      <c r="AH68" s="119"/>
      <c r="AI68" s="120"/>
      <c r="AJ68" s="120">
        <f t="shared" ref="AJ68:AJ131" si="15">AH68*AI68</f>
        <v>0</v>
      </c>
    </row>
    <row r="69" spans="2:36" x14ac:dyDescent="0.25">
      <c r="B69" s="42" t="s">
        <v>73</v>
      </c>
      <c r="C69" s="42" t="s">
        <v>79</v>
      </c>
      <c r="D69" s="78">
        <v>1</v>
      </c>
      <c r="E69" s="79">
        <v>2000</v>
      </c>
      <c r="F69" s="79">
        <f t="shared" si="10"/>
        <v>2000</v>
      </c>
      <c r="H69" s="118" t="s">
        <v>135</v>
      </c>
      <c r="I69" s="118" t="s">
        <v>27</v>
      </c>
      <c r="J69" s="119">
        <v>2</v>
      </c>
      <c r="K69" s="120">
        <v>1500</v>
      </c>
      <c r="L69" s="79">
        <f t="shared" si="11"/>
        <v>3000</v>
      </c>
      <c r="N69" s="81" t="s">
        <v>1123</v>
      </c>
      <c r="O69" s="81" t="s">
        <v>81</v>
      </c>
      <c r="P69" s="82">
        <v>1</v>
      </c>
      <c r="Q69" s="80">
        <v>2000</v>
      </c>
      <c r="R69" s="80">
        <f t="shared" si="12"/>
        <v>2000</v>
      </c>
      <c r="T69" s="138" t="s">
        <v>73</v>
      </c>
      <c r="U69" s="138" t="s">
        <v>81</v>
      </c>
      <c r="V69" s="139">
        <v>1</v>
      </c>
      <c r="W69" s="140">
        <v>2000</v>
      </c>
      <c r="X69" s="140">
        <f t="shared" si="13"/>
        <v>2000</v>
      </c>
      <c r="Z69" s="81" t="s">
        <v>73</v>
      </c>
      <c r="AA69" s="81" t="s">
        <v>917</v>
      </c>
      <c r="AB69" s="82">
        <v>1</v>
      </c>
      <c r="AC69" s="80">
        <v>2000</v>
      </c>
      <c r="AD69" s="80">
        <f t="shared" si="14"/>
        <v>2000</v>
      </c>
      <c r="AF69" s="118"/>
      <c r="AG69" s="118"/>
      <c r="AH69" s="119"/>
      <c r="AI69" s="120"/>
      <c r="AJ69" s="120">
        <f t="shared" si="15"/>
        <v>0</v>
      </c>
    </row>
    <row r="70" spans="2:36" x14ac:dyDescent="0.25">
      <c r="B70" s="42" t="s">
        <v>73</v>
      </c>
      <c r="C70" s="42" t="s">
        <v>54</v>
      </c>
      <c r="D70" s="78">
        <v>1</v>
      </c>
      <c r="E70" s="79">
        <v>1000</v>
      </c>
      <c r="F70" s="79">
        <f t="shared" si="10"/>
        <v>1000</v>
      </c>
      <c r="H70" s="118" t="s">
        <v>135</v>
      </c>
      <c r="I70" s="118" t="s">
        <v>27</v>
      </c>
      <c r="J70" s="119">
        <v>1</v>
      </c>
      <c r="K70" s="120">
        <v>1500</v>
      </c>
      <c r="L70" s="79">
        <f t="shared" si="11"/>
        <v>1500</v>
      </c>
      <c r="N70" s="81" t="s">
        <v>1123</v>
      </c>
      <c r="O70" s="81" t="s">
        <v>78</v>
      </c>
      <c r="P70" s="82">
        <v>1</v>
      </c>
      <c r="Q70" s="80">
        <v>2000</v>
      </c>
      <c r="R70" s="80">
        <f t="shared" si="12"/>
        <v>2000</v>
      </c>
      <c r="T70" s="138" t="s">
        <v>73</v>
      </c>
      <c r="U70" s="138" t="s">
        <v>79</v>
      </c>
      <c r="V70" s="139">
        <v>1</v>
      </c>
      <c r="W70" s="140">
        <v>2000</v>
      </c>
      <c r="X70" s="140">
        <f t="shared" si="13"/>
        <v>2000</v>
      </c>
      <c r="Z70" s="81" t="s">
        <v>73</v>
      </c>
      <c r="AA70" s="81" t="s">
        <v>48</v>
      </c>
      <c r="AB70" s="82">
        <v>1</v>
      </c>
      <c r="AC70" s="80">
        <v>1500</v>
      </c>
      <c r="AD70" s="80">
        <f t="shared" si="14"/>
        <v>1500</v>
      </c>
      <c r="AF70" s="118"/>
      <c r="AG70" s="118"/>
      <c r="AH70" s="119"/>
      <c r="AI70" s="120"/>
      <c r="AJ70" s="120">
        <f t="shared" si="15"/>
        <v>0</v>
      </c>
    </row>
    <row r="71" spans="2:36" x14ac:dyDescent="0.25">
      <c r="B71" s="42" t="s">
        <v>73</v>
      </c>
      <c r="C71" s="42" t="s">
        <v>79</v>
      </c>
      <c r="D71" s="78">
        <v>1</v>
      </c>
      <c r="E71" s="79">
        <v>2000</v>
      </c>
      <c r="F71" s="79">
        <f t="shared" si="10"/>
        <v>2000</v>
      </c>
      <c r="H71" s="118" t="s">
        <v>135</v>
      </c>
      <c r="I71" s="118" t="s">
        <v>27</v>
      </c>
      <c r="J71" s="119">
        <v>2</v>
      </c>
      <c r="K71" s="120">
        <v>1500</v>
      </c>
      <c r="L71" s="79">
        <f t="shared" si="11"/>
        <v>3000</v>
      </c>
      <c r="N71" s="81" t="s">
        <v>1123</v>
      </c>
      <c r="O71" s="81" t="s">
        <v>81</v>
      </c>
      <c r="P71" s="82">
        <v>1</v>
      </c>
      <c r="Q71" s="80">
        <v>2000</v>
      </c>
      <c r="R71" s="80">
        <f t="shared" si="12"/>
        <v>2000</v>
      </c>
      <c r="T71" s="138" t="s">
        <v>73</v>
      </c>
      <c r="U71" s="138" t="s">
        <v>78</v>
      </c>
      <c r="V71" s="139">
        <v>2</v>
      </c>
      <c r="W71" s="140">
        <v>2000</v>
      </c>
      <c r="X71" s="140">
        <f t="shared" si="13"/>
        <v>4000</v>
      </c>
      <c r="Z71" s="81" t="s">
        <v>73</v>
      </c>
      <c r="AA71" s="81" t="s">
        <v>917</v>
      </c>
      <c r="AB71" s="82">
        <v>1</v>
      </c>
      <c r="AC71" s="80">
        <v>2000</v>
      </c>
      <c r="AD71" s="80">
        <f t="shared" si="14"/>
        <v>2000</v>
      </c>
      <c r="AF71" s="118"/>
      <c r="AG71" s="118"/>
      <c r="AH71" s="119"/>
      <c r="AI71" s="120"/>
      <c r="AJ71" s="120">
        <f t="shared" si="15"/>
        <v>0</v>
      </c>
    </row>
    <row r="72" spans="2:36" x14ac:dyDescent="0.25">
      <c r="B72" s="42" t="s">
        <v>73</v>
      </c>
      <c r="C72" s="42" t="s">
        <v>392</v>
      </c>
      <c r="D72" s="78">
        <v>1</v>
      </c>
      <c r="E72" s="79">
        <v>1500</v>
      </c>
      <c r="F72" s="79">
        <f t="shared" si="10"/>
        <v>1500</v>
      </c>
      <c r="H72" s="118" t="s">
        <v>135</v>
      </c>
      <c r="I72" s="118" t="s">
        <v>27</v>
      </c>
      <c r="J72" s="119">
        <v>1</v>
      </c>
      <c r="K72" s="120">
        <v>1500</v>
      </c>
      <c r="L72" s="79">
        <f t="shared" si="11"/>
        <v>1500</v>
      </c>
      <c r="N72" s="81" t="s">
        <v>1123</v>
      </c>
      <c r="O72" s="81" t="s">
        <v>81</v>
      </c>
      <c r="P72" s="82">
        <v>1</v>
      </c>
      <c r="Q72" s="80">
        <v>2000</v>
      </c>
      <c r="R72" s="80">
        <f t="shared" si="12"/>
        <v>2000</v>
      </c>
      <c r="T72" s="138" t="s">
        <v>73</v>
      </c>
      <c r="U72" s="138" t="s">
        <v>78</v>
      </c>
      <c r="V72" s="139">
        <v>1</v>
      </c>
      <c r="W72" s="140">
        <v>2000</v>
      </c>
      <c r="X72" s="140">
        <f t="shared" si="13"/>
        <v>2000</v>
      </c>
      <c r="Z72" s="81" t="s">
        <v>73</v>
      </c>
      <c r="AA72" s="81" t="s">
        <v>917</v>
      </c>
      <c r="AB72" s="82">
        <v>1</v>
      </c>
      <c r="AC72" s="80">
        <v>2000</v>
      </c>
      <c r="AD72" s="80">
        <f t="shared" si="14"/>
        <v>2000</v>
      </c>
      <c r="AF72" s="118"/>
      <c r="AG72" s="118"/>
      <c r="AH72" s="119"/>
      <c r="AI72" s="120"/>
      <c r="AJ72" s="120">
        <f t="shared" si="15"/>
        <v>0</v>
      </c>
    </row>
    <row r="73" spans="2:36" x14ac:dyDescent="0.25">
      <c r="B73" s="42" t="s">
        <v>73</v>
      </c>
      <c r="C73" s="42" t="s">
        <v>392</v>
      </c>
      <c r="D73" s="78">
        <v>1</v>
      </c>
      <c r="E73" s="79">
        <v>1500</v>
      </c>
      <c r="F73" s="79">
        <f t="shared" si="10"/>
        <v>1500</v>
      </c>
      <c r="H73" s="118" t="s">
        <v>135</v>
      </c>
      <c r="I73" s="118" t="s">
        <v>81</v>
      </c>
      <c r="J73" s="119">
        <v>1</v>
      </c>
      <c r="K73" s="120">
        <v>2000</v>
      </c>
      <c r="L73" s="79">
        <f t="shared" si="11"/>
        <v>2000</v>
      </c>
      <c r="N73" s="81" t="s">
        <v>1123</v>
      </c>
      <c r="O73" s="81" t="s">
        <v>78</v>
      </c>
      <c r="P73" s="82">
        <v>1</v>
      </c>
      <c r="Q73" s="80">
        <v>2000</v>
      </c>
      <c r="R73" s="80">
        <f t="shared" si="12"/>
        <v>2000</v>
      </c>
      <c r="T73" s="138" t="s">
        <v>73</v>
      </c>
      <c r="U73" s="138" t="s">
        <v>81</v>
      </c>
      <c r="V73" s="139">
        <v>1</v>
      </c>
      <c r="W73" s="140">
        <v>2000</v>
      </c>
      <c r="X73" s="140">
        <f t="shared" si="13"/>
        <v>2000</v>
      </c>
      <c r="Z73" s="81" t="s">
        <v>73</v>
      </c>
      <c r="AA73" s="81" t="s">
        <v>48</v>
      </c>
      <c r="AB73" s="82">
        <v>2</v>
      </c>
      <c r="AC73" s="80">
        <v>1500</v>
      </c>
      <c r="AD73" s="80">
        <f t="shared" si="14"/>
        <v>3000</v>
      </c>
      <c r="AF73" s="118"/>
      <c r="AG73" s="118"/>
      <c r="AH73" s="119"/>
      <c r="AI73" s="120"/>
      <c r="AJ73" s="120">
        <f t="shared" si="15"/>
        <v>0</v>
      </c>
    </row>
    <row r="74" spans="2:36" x14ac:dyDescent="0.25">
      <c r="B74" s="42" t="s">
        <v>82</v>
      </c>
      <c r="C74" s="42" t="s">
        <v>54</v>
      </c>
      <c r="D74" s="78">
        <v>1</v>
      </c>
      <c r="E74" s="79">
        <v>1000</v>
      </c>
      <c r="F74" s="79">
        <f t="shared" si="10"/>
        <v>1000</v>
      </c>
      <c r="H74" s="118" t="s">
        <v>135</v>
      </c>
      <c r="I74" s="118" t="s">
        <v>27</v>
      </c>
      <c r="J74" s="119">
        <v>1</v>
      </c>
      <c r="K74" s="120">
        <v>1500</v>
      </c>
      <c r="L74" s="79">
        <f t="shared" si="11"/>
        <v>1500</v>
      </c>
      <c r="N74" s="81" t="s">
        <v>1123</v>
      </c>
      <c r="O74" s="81" t="s">
        <v>78</v>
      </c>
      <c r="P74" s="82">
        <v>1</v>
      </c>
      <c r="Q74" s="80">
        <v>2000</v>
      </c>
      <c r="R74" s="80">
        <f t="shared" si="12"/>
        <v>2000</v>
      </c>
      <c r="T74" s="138" t="s">
        <v>73</v>
      </c>
      <c r="U74" s="138" t="s">
        <v>1330</v>
      </c>
      <c r="V74" s="139">
        <v>1</v>
      </c>
      <c r="W74" s="140">
        <v>1000</v>
      </c>
      <c r="X74" s="140">
        <f t="shared" si="13"/>
        <v>1000</v>
      </c>
      <c r="Z74" s="81" t="s">
        <v>73</v>
      </c>
      <c r="AA74" s="81" t="s">
        <v>79</v>
      </c>
      <c r="AB74" s="82">
        <v>1</v>
      </c>
      <c r="AC74" s="80">
        <v>2000</v>
      </c>
      <c r="AD74" s="80">
        <f t="shared" si="14"/>
        <v>2000</v>
      </c>
      <c r="AF74" s="118"/>
      <c r="AG74" s="118"/>
      <c r="AH74" s="119"/>
      <c r="AI74" s="120"/>
      <c r="AJ74" s="120">
        <f t="shared" si="15"/>
        <v>0</v>
      </c>
    </row>
    <row r="75" spans="2:36" x14ac:dyDescent="0.25">
      <c r="B75" s="42" t="s">
        <v>82</v>
      </c>
      <c r="C75" s="42" t="s">
        <v>78</v>
      </c>
      <c r="D75" s="78">
        <v>1</v>
      </c>
      <c r="E75" s="79">
        <v>2000</v>
      </c>
      <c r="F75" s="79">
        <f t="shared" si="10"/>
        <v>2000</v>
      </c>
      <c r="H75" s="118" t="s">
        <v>135</v>
      </c>
      <c r="I75" s="118" t="s">
        <v>246</v>
      </c>
      <c r="J75" s="119">
        <v>1</v>
      </c>
      <c r="K75" s="120">
        <v>1500</v>
      </c>
      <c r="L75" s="79">
        <f t="shared" si="11"/>
        <v>1500</v>
      </c>
      <c r="N75" s="81" t="s">
        <v>1123</v>
      </c>
      <c r="O75" s="81" t="s">
        <v>917</v>
      </c>
      <c r="P75" s="82">
        <v>1</v>
      </c>
      <c r="Q75" s="80">
        <v>2000</v>
      </c>
      <c r="R75" s="80">
        <f t="shared" si="12"/>
        <v>2000</v>
      </c>
      <c r="T75" s="138" t="s">
        <v>73</v>
      </c>
      <c r="U75" s="138" t="s">
        <v>79</v>
      </c>
      <c r="V75" s="139">
        <v>1</v>
      </c>
      <c r="W75" s="140">
        <v>2000</v>
      </c>
      <c r="X75" s="140">
        <f t="shared" si="13"/>
        <v>2000</v>
      </c>
      <c r="Z75" s="81" t="s">
        <v>73</v>
      </c>
      <c r="AA75" s="81" t="s">
        <v>79</v>
      </c>
      <c r="AB75" s="82">
        <v>1</v>
      </c>
      <c r="AC75" s="80">
        <v>2000</v>
      </c>
      <c r="AD75" s="80">
        <f t="shared" si="14"/>
        <v>2000</v>
      </c>
      <c r="AF75" s="118"/>
      <c r="AG75" s="118"/>
      <c r="AH75" s="119"/>
      <c r="AI75" s="120"/>
      <c r="AJ75" s="120">
        <f t="shared" si="15"/>
        <v>0</v>
      </c>
    </row>
    <row r="76" spans="2:36" x14ac:dyDescent="0.25">
      <c r="B76" s="42" t="s">
        <v>82</v>
      </c>
      <c r="C76" s="42" t="s">
        <v>81</v>
      </c>
      <c r="D76" s="78">
        <v>1</v>
      </c>
      <c r="E76" s="79">
        <v>2000</v>
      </c>
      <c r="F76" s="79">
        <v>2000</v>
      </c>
      <c r="H76" s="118" t="s">
        <v>135</v>
      </c>
      <c r="I76" s="118" t="s">
        <v>79</v>
      </c>
      <c r="J76" s="119">
        <v>1</v>
      </c>
      <c r="K76" s="120">
        <v>2000</v>
      </c>
      <c r="L76" s="79">
        <f t="shared" si="11"/>
        <v>2000</v>
      </c>
      <c r="N76" s="81" t="s">
        <v>1123</v>
      </c>
      <c r="O76" s="81" t="s">
        <v>917</v>
      </c>
      <c r="P76" s="82">
        <v>1</v>
      </c>
      <c r="Q76" s="80">
        <v>2000</v>
      </c>
      <c r="R76" s="80">
        <f t="shared" si="12"/>
        <v>2000</v>
      </c>
      <c r="T76" s="138" t="s">
        <v>73</v>
      </c>
      <c r="U76" s="138" t="s">
        <v>79</v>
      </c>
      <c r="V76" s="139">
        <v>1</v>
      </c>
      <c r="W76" s="140">
        <v>2000</v>
      </c>
      <c r="X76" s="140">
        <f t="shared" si="13"/>
        <v>2000</v>
      </c>
      <c r="Z76" s="81" t="s">
        <v>73</v>
      </c>
      <c r="AA76" s="81" t="s">
        <v>48</v>
      </c>
      <c r="AB76" s="82">
        <v>1</v>
      </c>
      <c r="AC76" s="80">
        <v>1500</v>
      </c>
      <c r="AD76" s="80">
        <f t="shared" si="14"/>
        <v>1500</v>
      </c>
      <c r="AF76" s="118"/>
      <c r="AG76" s="118"/>
      <c r="AH76" s="119"/>
      <c r="AI76" s="120"/>
      <c r="AJ76" s="120">
        <f t="shared" si="15"/>
        <v>0</v>
      </c>
    </row>
    <row r="77" spans="2:36" x14ac:dyDescent="0.25">
      <c r="B77" s="42" t="s">
        <v>82</v>
      </c>
      <c r="C77" s="42" t="s">
        <v>78</v>
      </c>
      <c r="D77" s="78">
        <v>2</v>
      </c>
      <c r="E77" s="79">
        <v>2000</v>
      </c>
      <c r="F77" s="79">
        <f>D77*E77</f>
        <v>4000</v>
      </c>
      <c r="H77" s="118" t="s">
        <v>82</v>
      </c>
      <c r="I77" s="118" t="s">
        <v>246</v>
      </c>
      <c r="J77" s="119">
        <v>1</v>
      </c>
      <c r="K77" s="120">
        <v>1500</v>
      </c>
      <c r="L77" s="79">
        <f t="shared" si="11"/>
        <v>1500</v>
      </c>
      <c r="N77" s="81" t="s">
        <v>1123</v>
      </c>
      <c r="O77" s="81" t="s">
        <v>48</v>
      </c>
      <c r="P77" s="82">
        <v>1</v>
      </c>
      <c r="Q77" s="80">
        <v>1500</v>
      </c>
      <c r="R77" s="80">
        <f t="shared" si="12"/>
        <v>1500</v>
      </c>
      <c r="T77" s="138" t="s">
        <v>73</v>
      </c>
      <c r="U77" s="138" t="s">
        <v>48</v>
      </c>
      <c r="V77" s="139">
        <v>1</v>
      </c>
      <c r="W77" s="140">
        <v>1500</v>
      </c>
      <c r="X77" s="140">
        <f t="shared" si="13"/>
        <v>1500</v>
      </c>
      <c r="Z77" s="81" t="s">
        <v>73</v>
      </c>
      <c r="AA77" s="81" t="s">
        <v>78</v>
      </c>
      <c r="AB77" s="82">
        <v>1</v>
      </c>
      <c r="AC77" s="80">
        <v>2000</v>
      </c>
      <c r="AD77" s="80">
        <f t="shared" si="14"/>
        <v>2000</v>
      </c>
      <c r="AF77" s="118"/>
      <c r="AG77" s="118"/>
      <c r="AH77" s="119"/>
      <c r="AI77" s="120"/>
      <c r="AJ77" s="120">
        <f t="shared" si="15"/>
        <v>0</v>
      </c>
    </row>
    <row r="78" spans="2:36" x14ac:dyDescent="0.25">
      <c r="B78" s="42" t="s">
        <v>82</v>
      </c>
      <c r="C78" s="42" t="s">
        <v>78</v>
      </c>
      <c r="D78" s="78">
        <v>1</v>
      </c>
      <c r="E78" s="79">
        <v>2000</v>
      </c>
      <c r="F78" s="79">
        <f>D78*E78</f>
        <v>2000</v>
      </c>
      <c r="H78" s="118" t="s">
        <v>82</v>
      </c>
      <c r="I78" s="118" t="s">
        <v>81</v>
      </c>
      <c r="J78" s="119">
        <v>1</v>
      </c>
      <c r="K78" s="120">
        <v>2000</v>
      </c>
      <c r="L78" s="79">
        <f t="shared" si="11"/>
        <v>2000</v>
      </c>
      <c r="N78" s="81" t="s">
        <v>1123</v>
      </c>
      <c r="O78" s="81" t="s">
        <v>78</v>
      </c>
      <c r="P78" s="82">
        <v>1</v>
      </c>
      <c r="Q78" s="80">
        <v>2000</v>
      </c>
      <c r="R78" s="80">
        <f t="shared" si="12"/>
        <v>2000</v>
      </c>
      <c r="T78" s="138" t="s">
        <v>73</v>
      </c>
      <c r="U78" s="138" t="s">
        <v>78</v>
      </c>
      <c r="V78" s="139">
        <v>1</v>
      </c>
      <c r="W78" s="140">
        <v>2000</v>
      </c>
      <c r="X78" s="140">
        <v>2000</v>
      </c>
      <c r="Z78" s="81" t="s">
        <v>73</v>
      </c>
      <c r="AA78" s="81" t="s">
        <v>81</v>
      </c>
      <c r="AB78" s="82">
        <v>1</v>
      </c>
      <c r="AC78" s="80">
        <v>2000</v>
      </c>
      <c r="AD78" s="80">
        <f t="shared" si="14"/>
        <v>2000</v>
      </c>
      <c r="AF78" s="118"/>
      <c r="AG78" s="118"/>
      <c r="AH78" s="119"/>
      <c r="AI78" s="120"/>
      <c r="AJ78" s="120">
        <f t="shared" si="15"/>
        <v>0</v>
      </c>
    </row>
    <row r="79" spans="2:36" x14ac:dyDescent="0.25">
      <c r="B79" s="42" t="s">
        <v>82</v>
      </c>
      <c r="C79" s="42" t="s">
        <v>78</v>
      </c>
      <c r="D79" s="78">
        <v>1</v>
      </c>
      <c r="E79" s="79">
        <v>2000</v>
      </c>
      <c r="F79" s="79">
        <f>D79*E79</f>
        <v>2000</v>
      </c>
      <c r="H79" s="118" t="s">
        <v>82</v>
      </c>
      <c r="I79" s="118" t="s">
        <v>27</v>
      </c>
      <c r="J79" s="119">
        <v>2</v>
      </c>
      <c r="K79" s="120">
        <v>1500</v>
      </c>
      <c r="L79" s="79">
        <f t="shared" si="11"/>
        <v>3000</v>
      </c>
      <c r="N79" s="118" t="s">
        <v>276</v>
      </c>
      <c r="O79" s="118" t="s">
        <v>81</v>
      </c>
      <c r="P79" s="119">
        <v>3</v>
      </c>
      <c r="Q79" s="120">
        <v>2000</v>
      </c>
      <c r="R79" s="79">
        <f t="shared" si="12"/>
        <v>6000</v>
      </c>
      <c r="T79" s="138" t="s">
        <v>73</v>
      </c>
      <c r="U79" s="138" t="s">
        <v>81</v>
      </c>
      <c r="V79" s="139">
        <v>1</v>
      </c>
      <c r="W79" s="140">
        <v>2000</v>
      </c>
      <c r="X79" s="140">
        <v>2000</v>
      </c>
      <c r="Z79" s="81" t="s">
        <v>73</v>
      </c>
      <c r="AA79" s="81" t="s">
        <v>1330</v>
      </c>
      <c r="AB79" s="82">
        <v>1</v>
      </c>
      <c r="AC79" s="80">
        <v>1000</v>
      </c>
      <c r="AD79" s="80">
        <f t="shared" si="14"/>
        <v>1000</v>
      </c>
      <c r="AF79" s="118"/>
      <c r="AG79" s="118"/>
      <c r="AH79" s="119"/>
      <c r="AI79" s="120"/>
      <c r="AJ79" s="120">
        <f t="shared" si="15"/>
        <v>0</v>
      </c>
    </row>
    <row r="80" spans="2:36" x14ac:dyDescent="0.25">
      <c r="B80" s="42" t="s">
        <v>82</v>
      </c>
      <c r="C80" s="42" t="s">
        <v>81</v>
      </c>
      <c r="D80" s="78">
        <v>2</v>
      </c>
      <c r="E80" s="79">
        <v>2000</v>
      </c>
      <c r="F80" s="79">
        <f>D80*E80</f>
        <v>4000</v>
      </c>
      <c r="H80" s="118" t="s">
        <v>82</v>
      </c>
      <c r="I80" s="118" t="s">
        <v>917</v>
      </c>
      <c r="J80" s="119">
        <v>1</v>
      </c>
      <c r="K80" s="120">
        <v>2000</v>
      </c>
      <c r="L80" s="79">
        <f t="shared" si="11"/>
        <v>2000</v>
      </c>
      <c r="N80" s="118" t="s">
        <v>140</v>
      </c>
      <c r="O80" s="118" t="s">
        <v>78</v>
      </c>
      <c r="P80" s="119">
        <v>1</v>
      </c>
      <c r="Q80" s="120">
        <v>2000</v>
      </c>
      <c r="R80" s="79">
        <f t="shared" si="12"/>
        <v>2000</v>
      </c>
      <c r="T80" s="138" t="s">
        <v>73</v>
      </c>
      <c r="U80" s="138" t="s">
        <v>1330</v>
      </c>
      <c r="V80" s="139">
        <v>1</v>
      </c>
      <c r="W80" s="140">
        <v>1000</v>
      </c>
      <c r="X80" s="140">
        <v>1000</v>
      </c>
      <c r="Z80" s="81" t="s">
        <v>73</v>
      </c>
      <c r="AA80" s="81" t="s">
        <v>79</v>
      </c>
      <c r="AB80" s="82">
        <v>1</v>
      </c>
      <c r="AC80" s="80">
        <v>2000</v>
      </c>
      <c r="AD80" s="80">
        <f t="shared" si="14"/>
        <v>2000</v>
      </c>
      <c r="AF80" s="118"/>
      <c r="AG80" s="118"/>
      <c r="AH80" s="119"/>
      <c r="AI80" s="120"/>
      <c r="AJ80" s="120">
        <f t="shared" si="15"/>
        <v>0</v>
      </c>
    </row>
    <row r="81" spans="2:36" x14ac:dyDescent="0.25">
      <c r="B81" s="42" t="s">
        <v>276</v>
      </c>
      <c r="C81" s="42" t="s">
        <v>81</v>
      </c>
      <c r="D81" s="78">
        <v>1</v>
      </c>
      <c r="E81" s="79">
        <v>2000</v>
      </c>
      <c r="F81" s="79">
        <f>D81*E81</f>
        <v>2000</v>
      </c>
      <c r="H81" s="118" t="s">
        <v>82</v>
      </c>
      <c r="I81" s="118" t="s">
        <v>27</v>
      </c>
      <c r="J81" s="119">
        <v>1</v>
      </c>
      <c r="K81" s="120">
        <v>1500</v>
      </c>
      <c r="L81" s="79">
        <f t="shared" si="11"/>
        <v>1500</v>
      </c>
      <c r="N81" s="118" t="s">
        <v>140</v>
      </c>
      <c r="O81" s="118" t="s">
        <v>917</v>
      </c>
      <c r="P81" s="119">
        <v>1</v>
      </c>
      <c r="Q81" s="120">
        <v>2000</v>
      </c>
      <c r="R81" s="79">
        <f t="shared" si="12"/>
        <v>2000</v>
      </c>
      <c r="T81" s="138" t="s">
        <v>73</v>
      </c>
      <c r="U81" s="138" t="s">
        <v>79</v>
      </c>
      <c r="V81" s="139">
        <v>1</v>
      </c>
      <c r="W81" s="140">
        <v>2000</v>
      </c>
      <c r="X81" s="140">
        <v>2000</v>
      </c>
      <c r="Z81" s="81" t="s">
        <v>73</v>
      </c>
      <c r="AA81" s="81" t="s">
        <v>79</v>
      </c>
      <c r="AB81" s="82">
        <v>1</v>
      </c>
      <c r="AC81" s="80">
        <v>2000</v>
      </c>
      <c r="AD81" s="80">
        <f t="shared" si="14"/>
        <v>2000</v>
      </c>
      <c r="AF81" s="118"/>
      <c r="AG81" s="118"/>
      <c r="AH81" s="119"/>
      <c r="AI81" s="120"/>
      <c r="AJ81" s="120">
        <f t="shared" si="15"/>
        <v>0</v>
      </c>
    </row>
    <row r="82" spans="2:36" x14ac:dyDescent="0.25">
      <c r="B82" s="42" t="s">
        <v>276</v>
      </c>
      <c r="C82" s="42" t="s">
        <v>249</v>
      </c>
      <c r="D82" s="78">
        <v>2</v>
      </c>
      <c r="E82" s="79">
        <v>2000</v>
      </c>
      <c r="F82" s="79">
        <v>4000</v>
      </c>
      <c r="H82" s="118" t="s">
        <v>82</v>
      </c>
      <c r="I82" s="118" t="s">
        <v>81</v>
      </c>
      <c r="J82" s="119">
        <v>1</v>
      </c>
      <c r="K82" s="120">
        <v>2000</v>
      </c>
      <c r="L82" s="79">
        <f t="shared" si="11"/>
        <v>2000</v>
      </c>
      <c r="N82" s="118" t="s">
        <v>140</v>
      </c>
      <c r="O82" s="118" t="s">
        <v>81</v>
      </c>
      <c r="P82" s="119">
        <v>1</v>
      </c>
      <c r="Q82" s="120">
        <v>2000</v>
      </c>
      <c r="R82" s="79">
        <f t="shared" si="12"/>
        <v>2000</v>
      </c>
      <c r="T82" s="138" t="s">
        <v>73</v>
      </c>
      <c r="U82" s="138" t="s">
        <v>79</v>
      </c>
      <c r="V82" s="139">
        <v>1</v>
      </c>
      <c r="W82" s="140">
        <v>2000</v>
      </c>
      <c r="X82" s="140">
        <v>2000</v>
      </c>
      <c r="Z82" s="81" t="s">
        <v>73</v>
      </c>
      <c r="AA82" s="81" t="s">
        <v>48</v>
      </c>
      <c r="AB82" s="82">
        <v>1</v>
      </c>
      <c r="AC82" s="80">
        <v>1500</v>
      </c>
      <c r="AD82" s="80">
        <f t="shared" si="14"/>
        <v>1500</v>
      </c>
      <c r="AF82" s="118"/>
      <c r="AG82" s="118"/>
      <c r="AH82" s="119"/>
      <c r="AI82" s="120"/>
      <c r="AJ82" s="120">
        <f t="shared" si="15"/>
        <v>0</v>
      </c>
    </row>
    <row r="83" spans="2:36" x14ac:dyDescent="0.25">
      <c r="B83" s="42" t="s">
        <v>276</v>
      </c>
      <c r="C83" s="42" t="s">
        <v>79</v>
      </c>
      <c r="D83" s="78">
        <v>1</v>
      </c>
      <c r="E83" s="79">
        <v>2000</v>
      </c>
      <c r="F83" s="79">
        <f t="shared" ref="F83:F120" si="16">D83*E83</f>
        <v>2000</v>
      </c>
      <c r="H83" s="118" t="s">
        <v>82</v>
      </c>
      <c r="I83" s="118" t="s">
        <v>81</v>
      </c>
      <c r="J83" s="119">
        <v>1</v>
      </c>
      <c r="K83" s="120">
        <v>2000</v>
      </c>
      <c r="L83" s="79">
        <f t="shared" si="11"/>
        <v>2000</v>
      </c>
      <c r="N83" s="118" t="s">
        <v>140</v>
      </c>
      <c r="O83" s="118" t="s">
        <v>81</v>
      </c>
      <c r="P83" s="119">
        <v>1</v>
      </c>
      <c r="Q83" s="120">
        <v>2000</v>
      </c>
      <c r="R83" s="79">
        <f t="shared" si="12"/>
        <v>2000</v>
      </c>
      <c r="T83" s="138" t="s">
        <v>73</v>
      </c>
      <c r="U83" s="138" t="s">
        <v>48</v>
      </c>
      <c r="V83" s="139">
        <v>1</v>
      </c>
      <c r="W83" s="140">
        <v>1500</v>
      </c>
      <c r="X83" s="140">
        <v>1500</v>
      </c>
      <c r="Z83" s="118" t="s">
        <v>82</v>
      </c>
      <c r="AA83" s="118" t="s">
        <v>78</v>
      </c>
      <c r="AB83" s="119">
        <v>1</v>
      </c>
      <c r="AC83" s="120">
        <v>2000</v>
      </c>
      <c r="AD83" s="140">
        <f t="shared" si="14"/>
        <v>2000</v>
      </c>
      <c r="AF83" s="118"/>
      <c r="AG83" s="118"/>
      <c r="AH83" s="119"/>
      <c r="AI83" s="120"/>
      <c r="AJ83" s="120">
        <f t="shared" si="15"/>
        <v>0</v>
      </c>
    </row>
    <row r="84" spans="2:36" x14ac:dyDescent="0.25">
      <c r="B84" s="42" t="s">
        <v>276</v>
      </c>
      <c r="C84" s="42" t="s">
        <v>249</v>
      </c>
      <c r="D84" s="78">
        <v>4</v>
      </c>
      <c r="E84" s="79">
        <v>2000</v>
      </c>
      <c r="F84" s="79">
        <f t="shared" si="16"/>
        <v>8000</v>
      </c>
      <c r="H84" s="118" t="s">
        <v>82</v>
      </c>
      <c r="I84" s="118" t="s">
        <v>81</v>
      </c>
      <c r="J84" s="119">
        <v>1</v>
      </c>
      <c r="K84" s="120">
        <v>2000</v>
      </c>
      <c r="L84" s="79">
        <f t="shared" si="11"/>
        <v>2000</v>
      </c>
      <c r="N84" s="118" t="s">
        <v>140</v>
      </c>
      <c r="O84" s="118" t="s">
        <v>917</v>
      </c>
      <c r="P84" s="119">
        <v>2</v>
      </c>
      <c r="Q84" s="120">
        <v>2000</v>
      </c>
      <c r="R84" s="79">
        <f t="shared" si="12"/>
        <v>4000</v>
      </c>
      <c r="T84" s="138" t="s">
        <v>82</v>
      </c>
      <c r="U84" s="138" t="s">
        <v>78</v>
      </c>
      <c r="V84" s="139">
        <v>1</v>
      </c>
      <c r="W84" s="140">
        <v>2000</v>
      </c>
      <c r="X84" s="140">
        <f t="shared" ref="X84:X115" si="17">V84*W84</f>
        <v>2000</v>
      </c>
      <c r="Z84" s="118" t="s">
        <v>82</v>
      </c>
      <c r="AA84" s="118" t="s">
        <v>917</v>
      </c>
      <c r="AB84" s="119">
        <v>1</v>
      </c>
      <c r="AC84" s="120">
        <v>2000</v>
      </c>
      <c r="AD84" s="140">
        <f t="shared" si="14"/>
        <v>2000</v>
      </c>
      <c r="AF84" s="118"/>
      <c r="AG84" s="118"/>
      <c r="AH84" s="119"/>
      <c r="AI84" s="120"/>
      <c r="AJ84" s="120">
        <f t="shared" si="15"/>
        <v>0</v>
      </c>
    </row>
    <row r="85" spans="2:36" x14ac:dyDescent="0.25">
      <c r="B85" s="42" t="s">
        <v>276</v>
      </c>
      <c r="C85" s="42" t="s">
        <v>249</v>
      </c>
      <c r="D85" s="78">
        <v>3</v>
      </c>
      <c r="E85" s="79">
        <v>2000</v>
      </c>
      <c r="F85" s="79">
        <f t="shared" si="16"/>
        <v>6000</v>
      </c>
      <c r="H85" s="118" t="s">
        <v>731</v>
      </c>
      <c r="I85" s="118" t="s">
        <v>78</v>
      </c>
      <c r="J85" s="119">
        <v>12</v>
      </c>
      <c r="K85" s="120">
        <v>2000</v>
      </c>
      <c r="L85" s="79">
        <f t="shared" si="11"/>
        <v>24000</v>
      </c>
      <c r="N85" s="118" t="s">
        <v>140</v>
      </c>
      <c r="O85" s="118" t="s">
        <v>48</v>
      </c>
      <c r="P85" s="119">
        <v>1</v>
      </c>
      <c r="Q85" s="120">
        <v>1500</v>
      </c>
      <c r="R85" s="79">
        <f t="shared" si="12"/>
        <v>1500</v>
      </c>
      <c r="T85" s="138" t="s">
        <v>82</v>
      </c>
      <c r="U85" s="138" t="s">
        <v>917</v>
      </c>
      <c r="V85" s="139">
        <v>1</v>
      </c>
      <c r="W85" s="140">
        <v>2000</v>
      </c>
      <c r="X85" s="140">
        <f t="shared" si="17"/>
        <v>2000</v>
      </c>
      <c r="Z85" s="118" t="s">
        <v>82</v>
      </c>
      <c r="AA85" s="118" t="s">
        <v>81</v>
      </c>
      <c r="AB85" s="119">
        <v>5</v>
      </c>
      <c r="AC85" s="120">
        <v>2000</v>
      </c>
      <c r="AD85" s="140">
        <f t="shared" si="14"/>
        <v>10000</v>
      </c>
      <c r="AF85" s="118"/>
      <c r="AG85" s="118"/>
      <c r="AH85" s="119"/>
      <c r="AI85" s="120"/>
      <c r="AJ85" s="120">
        <f t="shared" si="15"/>
        <v>0</v>
      </c>
    </row>
    <row r="86" spans="2:36" x14ac:dyDescent="0.25">
      <c r="B86" s="42" t="s">
        <v>276</v>
      </c>
      <c r="C86" s="42" t="s">
        <v>79</v>
      </c>
      <c r="D86" s="78">
        <v>1</v>
      </c>
      <c r="E86" s="79">
        <v>2000</v>
      </c>
      <c r="F86" s="79">
        <f t="shared" si="16"/>
        <v>2000</v>
      </c>
      <c r="H86" s="118" t="s">
        <v>731</v>
      </c>
      <c r="I86" s="118" t="s">
        <v>27</v>
      </c>
      <c r="J86" s="119">
        <v>4</v>
      </c>
      <c r="K86" s="120">
        <v>1500</v>
      </c>
      <c r="L86" s="79">
        <f t="shared" si="11"/>
        <v>6000</v>
      </c>
      <c r="N86" s="118" t="s">
        <v>140</v>
      </c>
      <c r="O86" s="118" t="s">
        <v>48</v>
      </c>
      <c r="P86" s="119">
        <v>1</v>
      </c>
      <c r="Q86" s="120">
        <v>1500</v>
      </c>
      <c r="R86" s="79">
        <f t="shared" si="12"/>
        <v>1500</v>
      </c>
      <c r="T86" s="138" t="s">
        <v>82</v>
      </c>
      <c r="U86" s="138" t="s">
        <v>81</v>
      </c>
      <c r="V86" s="139">
        <v>5</v>
      </c>
      <c r="W86" s="140">
        <v>2000</v>
      </c>
      <c r="X86" s="140">
        <f t="shared" si="17"/>
        <v>10000</v>
      </c>
      <c r="Z86" s="118" t="s">
        <v>82</v>
      </c>
      <c r="AA86" s="118" t="s">
        <v>81</v>
      </c>
      <c r="AB86" s="119">
        <v>1</v>
      </c>
      <c r="AC86" s="120">
        <v>2000</v>
      </c>
      <c r="AD86" s="140">
        <f t="shared" si="14"/>
        <v>2000</v>
      </c>
      <c r="AF86" s="118"/>
      <c r="AG86" s="118"/>
      <c r="AH86" s="119"/>
      <c r="AI86" s="120"/>
      <c r="AJ86" s="120">
        <f t="shared" si="15"/>
        <v>0</v>
      </c>
    </row>
    <row r="87" spans="2:36" x14ac:dyDescent="0.25">
      <c r="B87" s="42" t="s">
        <v>276</v>
      </c>
      <c r="C87" s="42" t="s">
        <v>78</v>
      </c>
      <c r="D87" s="78">
        <v>1</v>
      </c>
      <c r="E87" s="79">
        <v>2000</v>
      </c>
      <c r="F87" s="79">
        <f t="shared" si="16"/>
        <v>2000</v>
      </c>
      <c r="H87" s="118" t="s">
        <v>731</v>
      </c>
      <c r="I87" s="118" t="s">
        <v>81</v>
      </c>
      <c r="J87" s="119">
        <v>2</v>
      </c>
      <c r="K87" s="120">
        <v>2000</v>
      </c>
      <c r="L87" s="79">
        <f t="shared" si="11"/>
        <v>4000</v>
      </c>
      <c r="N87" s="118" t="s">
        <v>140</v>
      </c>
      <c r="O87" s="118" t="s">
        <v>917</v>
      </c>
      <c r="P87" s="119">
        <v>1</v>
      </c>
      <c r="Q87" s="120">
        <v>2000</v>
      </c>
      <c r="R87" s="79">
        <f t="shared" si="12"/>
        <v>2000</v>
      </c>
      <c r="T87" s="138" t="s">
        <v>82</v>
      </c>
      <c r="U87" s="138" t="s">
        <v>81</v>
      </c>
      <c r="V87" s="139">
        <v>1</v>
      </c>
      <c r="W87" s="140">
        <v>2000</v>
      </c>
      <c r="X87" s="140">
        <f t="shared" si="17"/>
        <v>2000</v>
      </c>
      <c r="Z87" s="118" t="s">
        <v>82</v>
      </c>
      <c r="AA87" s="118" t="s">
        <v>48</v>
      </c>
      <c r="AB87" s="119">
        <v>2</v>
      </c>
      <c r="AC87" s="120">
        <v>1500</v>
      </c>
      <c r="AD87" s="140">
        <f t="shared" si="14"/>
        <v>3000</v>
      </c>
      <c r="AF87" s="118"/>
      <c r="AG87" s="118"/>
      <c r="AH87" s="119"/>
      <c r="AI87" s="120"/>
      <c r="AJ87" s="120">
        <f t="shared" si="15"/>
        <v>0</v>
      </c>
    </row>
    <row r="88" spans="2:36" x14ac:dyDescent="0.25">
      <c r="B88" s="42" t="s">
        <v>338</v>
      </c>
      <c r="C88" s="42" t="s">
        <v>78</v>
      </c>
      <c r="D88" s="78">
        <v>1</v>
      </c>
      <c r="E88" s="79">
        <v>2000</v>
      </c>
      <c r="F88" s="79">
        <f t="shared" si="16"/>
        <v>2000</v>
      </c>
      <c r="H88" s="118" t="s">
        <v>276</v>
      </c>
      <c r="I88" s="118" t="s">
        <v>81</v>
      </c>
      <c r="J88" s="119">
        <v>1</v>
      </c>
      <c r="K88" s="120">
        <v>2000</v>
      </c>
      <c r="L88" s="79">
        <f t="shared" si="11"/>
        <v>2000</v>
      </c>
      <c r="N88" s="118" t="s">
        <v>140</v>
      </c>
      <c r="O88" s="118" t="s">
        <v>81</v>
      </c>
      <c r="P88" s="119">
        <v>1</v>
      </c>
      <c r="Q88" s="120">
        <v>1500</v>
      </c>
      <c r="R88" s="79">
        <f t="shared" si="12"/>
        <v>1500</v>
      </c>
      <c r="T88" s="138" t="s">
        <v>82</v>
      </c>
      <c r="U88" s="138" t="s">
        <v>48</v>
      </c>
      <c r="V88" s="139">
        <v>2</v>
      </c>
      <c r="W88" s="140">
        <v>1500</v>
      </c>
      <c r="X88" s="140">
        <f t="shared" si="17"/>
        <v>3000</v>
      </c>
      <c r="Z88" s="138" t="s">
        <v>82</v>
      </c>
      <c r="AA88" s="138" t="s">
        <v>917</v>
      </c>
      <c r="AB88" s="139">
        <v>4</v>
      </c>
      <c r="AC88" s="140">
        <v>2000</v>
      </c>
      <c r="AD88" s="140">
        <f t="shared" si="14"/>
        <v>8000</v>
      </c>
      <c r="AF88" s="118"/>
      <c r="AG88" s="118"/>
      <c r="AH88" s="119"/>
      <c r="AI88" s="120"/>
      <c r="AJ88" s="120">
        <f t="shared" si="15"/>
        <v>0</v>
      </c>
    </row>
    <row r="89" spans="2:36" x14ac:dyDescent="0.25">
      <c r="B89" s="42" t="s">
        <v>338</v>
      </c>
      <c r="C89" s="42" t="s">
        <v>246</v>
      </c>
      <c r="D89" s="78">
        <v>1</v>
      </c>
      <c r="E89" s="79">
        <v>1500</v>
      </c>
      <c r="F89" s="79">
        <f t="shared" si="16"/>
        <v>1500</v>
      </c>
      <c r="H89" s="118" t="s">
        <v>276</v>
      </c>
      <c r="I89" s="118" t="s">
        <v>79</v>
      </c>
      <c r="J89" s="119">
        <v>1</v>
      </c>
      <c r="K89" s="120">
        <v>2000</v>
      </c>
      <c r="L89" s="79">
        <f t="shared" si="11"/>
        <v>2000</v>
      </c>
      <c r="N89" s="118" t="s">
        <v>140</v>
      </c>
      <c r="O89" s="118" t="s">
        <v>54</v>
      </c>
      <c r="P89" s="119">
        <v>1</v>
      </c>
      <c r="Q89" s="120">
        <v>1000</v>
      </c>
      <c r="R89" s="79">
        <f t="shared" si="12"/>
        <v>1000</v>
      </c>
      <c r="T89" s="138" t="s">
        <v>82</v>
      </c>
      <c r="U89" s="138" t="s">
        <v>917</v>
      </c>
      <c r="V89" s="139">
        <v>4</v>
      </c>
      <c r="W89" s="140">
        <v>2000</v>
      </c>
      <c r="X89" s="140">
        <f t="shared" si="17"/>
        <v>8000</v>
      </c>
      <c r="Z89" s="138" t="s">
        <v>82</v>
      </c>
      <c r="AA89" s="138" t="s">
        <v>54</v>
      </c>
      <c r="AB89" s="139">
        <v>4</v>
      </c>
      <c r="AC89" s="140">
        <v>1000</v>
      </c>
      <c r="AD89" s="140">
        <f t="shared" si="14"/>
        <v>4000</v>
      </c>
      <c r="AF89" s="118"/>
      <c r="AG89" s="118"/>
      <c r="AH89" s="119"/>
      <c r="AI89" s="120"/>
      <c r="AJ89" s="120">
        <f t="shared" si="15"/>
        <v>0</v>
      </c>
    </row>
    <row r="90" spans="2:36" x14ac:dyDescent="0.25">
      <c r="B90" s="42" t="s">
        <v>338</v>
      </c>
      <c r="C90" s="42" t="s">
        <v>54</v>
      </c>
      <c r="D90" s="78">
        <v>1</v>
      </c>
      <c r="E90" s="79">
        <v>1000</v>
      </c>
      <c r="F90" s="79">
        <f t="shared" si="16"/>
        <v>1000</v>
      </c>
      <c r="H90" s="118" t="s">
        <v>276</v>
      </c>
      <c r="I90" s="118" t="s">
        <v>78</v>
      </c>
      <c r="J90" s="119">
        <v>1</v>
      </c>
      <c r="K90" s="120">
        <v>2000</v>
      </c>
      <c r="L90" s="79">
        <f t="shared" si="11"/>
        <v>2000</v>
      </c>
      <c r="N90" s="118" t="s">
        <v>140</v>
      </c>
      <c r="O90" s="118" t="s">
        <v>78</v>
      </c>
      <c r="P90" s="119">
        <v>1</v>
      </c>
      <c r="Q90" s="120">
        <v>2000</v>
      </c>
      <c r="R90" s="79">
        <v>2000</v>
      </c>
      <c r="T90" s="138" t="s">
        <v>82</v>
      </c>
      <c r="U90" s="138" t="s">
        <v>54</v>
      </c>
      <c r="V90" s="139">
        <v>4</v>
      </c>
      <c r="W90" s="140">
        <v>1000</v>
      </c>
      <c r="X90" s="140">
        <f t="shared" si="17"/>
        <v>4000</v>
      </c>
      <c r="Z90" s="138" t="s">
        <v>82</v>
      </c>
      <c r="AA90" s="138" t="s">
        <v>81</v>
      </c>
      <c r="AB90" s="139">
        <v>1</v>
      </c>
      <c r="AC90" s="140">
        <v>2000</v>
      </c>
      <c r="AD90" s="140">
        <f t="shared" si="14"/>
        <v>2000</v>
      </c>
      <c r="AF90" s="118"/>
      <c r="AG90" s="118"/>
      <c r="AH90" s="119"/>
      <c r="AI90" s="120"/>
      <c r="AJ90" s="120">
        <f t="shared" si="15"/>
        <v>0</v>
      </c>
    </row>
    <row r="91" spans="2:36" x14ac:dyDescent="0.25">
      <c r="B91" s="42" t="s">
        <v>338</v>
      </c>
      <c r="C91" s="42" t="s">
        <v>81</v>
      </c>
      <c r="D91" s="78">
        <v>1</v>
      </c>
      <c r="E91" s="79">
        <v>2000</v>
      </c>
      <c r="F91" s="79">
        <f t="shared" si="16"/>
        <v>2000</v>
      </c>
      <c r="H91" s="118" t="s">
        <v>276</v>
      </c>
      <c r="I91" s="118" t="s">
        <v>249</v>
      </c>
      <c r="J91" s="119">
        <v>4</v>
      </c>
      <c r="K91" s="120">
        <v>2000</v>
      </c>
      <c r="L91" s="79">
        <f t="shared" si="11"/>
        <v>8000</v>
      </c>
      <c r="N91" s="118" t="s">
        <v>140</v>
      </c>
      <c r="O91" s="118" t="s">
        <v>917</v>
      </c>
      <c r="P91" s="119">
        <v>1</v>
      </c>
      <c r="Q91" s="120">
        <v>2000</v>
      </c>
      <c r="R91" s="79">
        <v>2000</v>
      </c>
      <c r="T91" s="138" t="s">
        <v>82</v>
      </c>
      <c r="U91" s="138" t="s">
        <v>81</v>
      </c>
      <c r="V91" s="139">
        <v>1</v>
      </c>
      <c r="W91" s="140">
        <v>2000</v>
      </c>
      <c r="X91" s="140">
        <f t="shared" si="17"/>
        <v>2000</v>
      </c>
      <c r="Z91" s="138" t="s">
        <v>82</v>
      </c>
      <c r="AA91" s="138" t="s">
        <v>81</v>
      </c>
      <c r="AB91" s="139">
        <v>1</v>
      </c>
      <c r="AC91" s="140">
        <v>2000</v>
      </c>
      <c r="AD91" s="140">
        <f t="shared" si="14"/>
        <v>2000</v>
      </c>
      <c r="AF91" s="118"/>
      <c r="AG91" s="118"/>
      <c r="AH91" s="119"/>
      <c r="AI91" s="120"/>
      <c r="AJ91" s="120">
        <f t="shared" si="15"/>
        <v>0</v>
      </c>
    </row>
    <row r="92" spans="2:36" x14ac:dyDescent="0.25">
      <c r="B92" s="42" t="s">
        <v>338</v>
      </c>
      <c r="C92" s="42" t="s">
        <v>78</v>
      </c>
      <c r="D92" s="78">
        <v>1</v>
      </c>
      <c r="E92" s="79">
        <v>2000</v>
      </c>
      <c r="F92" s="79">
        <f t="shared" si="16"/>
        <v>2000</v>
      </c>
      <c r="H92" s="118" t="s">
        <v>276</v>
      </c>
      <c r="I92" s="118" t="s">
        <v>81</v>
      </c>
      <c r="J92" s="119">
        <v>1</v>
      </c>
      <c r="K92" s="120">
        <v>2000</v>
      </c>
      <c r="L92" s="79">
        <f t="shared" si="11"/>
        <v>2000</v>
      </c>
      <c r="N92" s="118" t="s">
        <v>140</v>
      </c>
      <c r="O92" s="118" t="s">
        <v>81</v>
      </c>
      <c r="P92" s="119">
        <v>1</v>
      </c>
      <c r="Q92" s="120">
        <v>2000</v>
      </c>
      <c r="R92" s="79">
        <v>2000</v>
      </c>
      <c r="T92" s="138" t="s">
        <v>82</v>
      </c>
      <c r="U92" s="138" t="s">
        <v>81</v>
      </c>
      <c r="V92" s="139">
        <v>1</v>
      </c>
      <c r="W92" s="140">
        <v>2000</v>
      </c>
      <c r="X92" s="140">
        <f t="shared" si="17"/>
        <v>2000</v>
      </c>
      <c r="Z92" s="138" t="s">
        <v>82</v>
      </c>
      <c r="AA92" s="138" t="s">
        <v>81</v>
      </c>
      <c r="AB92" s="139">
        <v>1</v>
      </c>
      <c r="AC92" s="140">
        <v>2000</v>
      </c>
      <c r="AD92" s="140">
        <f t="shared" si="14"/>
        <v>2000</v>
      </c>
      <c r="AF92" s="118"/>
      <c r="AG92" s="118"/>
      <c r="AH92" s="119"/>
      <c r="AI92" s="120"/>
      <c r="AJ92" s="120">
        <f t="shared" si="15"/>
        <v>0</v>
      </c>
    </row>
    <row r="93" spans="2:36" x14ac:dyDescent="0.25">
      <c r="B93" s="42" t="s">
        <v>338</v>
      </c>
      <c r="C93" s="42" t="s">
        <v>78</v>
      </c>
      <c r="D93" s="78">
        <v>1</v>
      </c>
      <c r="E93" s="79">
        <v>2000</v>
      </c>
      <c r="F93" s="79">
        <f t="shared" si="16"/>
        <v>2000</v>
      </c>
      <c r="H93" s="118" t="s">
        <v>140</v>
      </c>
      <c r="I93" s="118" t="s">
        <v>81</v>
      </c>
      <c r="J93" s="119">
        <v>1</v>
      </c>
      <c r="K93" s="120">
        <v>2000</v>
      </c>
      <c r="L93" s="79">
        <f t="shared" si="11"/>
        <v>2000</v>
      </c>
      <c r="N93" s="118" t="s">
        <v>140</v>
      </c>
      <c r="O93" s="118" t="s">
        <v>81</v>
      </c>
      <c r="P93" s="119">
        <v>1</v>
      </c>
      <c r="Q93" s="120">
        <v>2000</v>
      </c>
      <c r="R93" s="79">
        <v>2000</v>
      </c>
      <c r="T93" s="138" t="s">
        <v>82</v>
      </c>
      <c r="U93" s="138" t="s">
        <v>81</v>
      </c>
      <c r="V93" s="139">
        <v>1</v>
      </c>
      <c r="W93" s="140">
        <v>2000</v>
      </c>
      <c r="X93" s="140">
        <f t="shared" si="17"/>
        <v>2000</v>
      </c>
      <c r="Z93" s="138" t="s">
        <v>82</v>
      </c>
      <c r="AA93" s="138" t="s">
        <v>917</v>
      </c>
      <c r="AB93" s="139">
        <v>1</v>
      </c>
      <c r="AC93" s="140">
        <v>2000</v>
      </c>
      <c r="AD93" s="140">
        <f t="shared" si="14"/>
        <v>2000</v>
      </c>
      <c r="AF93" s="118"/>
      <c r="AG93" s="118"/>
      <c r="AH93" s="119"/>
      <c r="AI93" s="120"/>
      <c r="AJ93" s="120">
        <f t="shared" si="15"/>
        <v>0</v>
      </c>
    </row>
    <row r="94" spans="2:36" x14ac:dyDescent="0.25">
      <c r="B94" s="42" t="s">
        <v>338</v>
      </c>
      <c r="C94" s="42" t="s">
        <v>78</v>
      </c>
      <c r="D94" s="78">
        <v>1</v>
      </c>
      <c r="E94" s="79">
        <v>2000</v>
      </c>
      <c r="F94" s="79">
        <f t="shared" si="16"/>
        <v>2000</v>
      </c>
      <c r="H94" s="118" t="s">
        <v>140</v>
      </c>
      <c r="I94" s="118" t="s">
        <v>81</v>
      </c>
      <c r="J94" s="119">
        <v>1</v>
      </c>
      <c r="K94" s="120">
        <v>2000</v>
      </c>
      <c r="L94" s="79">
        <f t="shared" si="11"/>
        <v>2000</v>
      </c>
      <c r="N94" s="118" t="s">
        <v>140</v>
      </c>
      <c r="O94" s="118" t="s">
        <v>917</v>
      </c>
      <c r="P94" s="119">
        <v>2</v>
      </c>
      <c r="Q94" s="120">
        <v>2000</v>
      </c>
      <c r="R94" s="79">
        <v>4000</v>
      </c>
      <c r="T94" s="138" t="s">
        <v>82</v>
      </c>
      <c r="U94" s="138" t="s">
        <v>917</v>
      </c>
      <c r="V94" s="139">
        <v>1</v>
      </c>
      <c r="W94" s="140">
        <v>2000</v>
      </c>
      <c r="X94" s="140">
        <f t="shared" si="17"/>
        <v>2000</v>
      </c>
      <c r="Z94" s="138" t="s">
        <v>82</v>
      </c>
      <c r="AA94" s="138" t="s">
        <v>78</v>
      </c>
      <c r="AB94" s="139">
        <v>2</v>
      </c>
      <c r="AC94" s="140">
        <v>2000</v>
      </c>
      <c r="AD94" s="140">
        <f t="shared" si="14"/>
        <v>4000</v>
      </c>
      <c r="AF94" s="118"/>
      <c r="AG94" s="118"/>
      <c r="AH94" s="119"/>
      <c r="AI94" s="120"/>
      <c r="AJ94" s="120">
        <f t="shared" si="15"/>
        <v>0</v>
      </c>
    </row>
    <row r="95" spans="2:36" x14ac:dyDescent="0.25">
      <c r="B95" s="42" t="s">
        <v>338</v>
      </c>
      <c r="C95" s="42" t="s">
        <v>78</v>
      </c>
      <c r="D95" s="78">
        <v>1</v>
      </c>
      <c r="E95" s="79">
        <v>2000</v>
      </c>
      <c r="F95" s="79">
        <f t="shared" si="16"/>
        <v>2000</v>
      </c>
      <c r="H95" s="118" t="s">
        <v>140</v>
      </c>
      <c r="I95" s="118" t="s">
        <v>81</v>
      </c>
      <c r="J95" s="119">
        <v>1</v>
      </c>
      <c r="K95" s="120">
        <v>2000</v>
      </c>
      <c r="L95" s="79">
        <f t="shared" si="11"/>
        <v>2000</v>
      </c>
      <c r="N95" s="118" t="s">
        <v>140</v>
      </c>
      <c r="O95" s="118" t="s">
        <v>48</v>
      </c>
      <c r="P95" s="119">
        <v>1</v>
      </c>
      <c r="Q95" s="120">
        <v>1500</v>
      </c>
      <c r="R95" s="79">
        <v>1500</v>
      </c>
      <c r="T95" s="138" t="s">
        <v>82</v>
      </c>
      <c r="U95" s="138" t="s">
        <v>78</v>
      </c>
      <c r="V95" s="139">
        <v>2</v>
      </c>
      <c r="W95" s="140">
        <v>2000</v>
      </c>
      <c r="X95" s="140">
        <f t="shared" si="17"/>
        <v>4000</v>
      </c>
      <c r="Z95" s="138" t="s">
        <v>82</v>
      </c>
      <c r="AA95" s="138" t="s">
        <v>48</v>
      </c>
      <c r="AB95" s="139">
        <v>1</v>
      </c>
      <c r="AC95" s="140">
        <v>1500</v>
      </c>
      <c r="AD95" s="140">
        <f t="shared" si="14"/>
        <v>1500</v>
      </c>
      <c r="AF95" s="118"/>
      <c r="AG95" s="118"/>
      <c r="AH95" s="119"/>
      <c r="AI95" s="120"/>
      <c r="AJ95" s="120">
        <f t="shared" si="15"/>
        <v>0</v>
      </c>
    </row>
    <row r="96" spans="2:36" x14ac:dyDescent="0.25">
      <c r="B96" s="42" t="s">
        <v>140</v>
      </c>
      <c r="C96" s="42" t="s">
        <v>81</v>
      </c>
      <c r="D96" s="78">
        <v>1</v>
      </c>
      <c r="E96" s="79">
        <v>2000</v>
      </c>
      <c r="F96" s="79">
        <f t="shared" si="16"/>
        <v>2000</v>
      </c>
      <c r="H96" s="118" t="s">
        <v>140</v>
      </c>
      <c r="I96" s="118" t="s">
        <v>79</v>
      </c>
      <c r="J96" s="119">
        <v>1</v>
      </c>
      <c r="K96" s="120">
        <v>2000</v>
      </c>
      <c r="L96" s="79">
        <f t="shared" si="11"/>
        <v>2000</v>
      </c>
      <c r="N96" s="118" t="s">
        <v>140</v>
      </c>
      <c r="O96" s="118" t="s">
        <v>48</v>
      </c>
      <c r="P96" s="119">
        <v>1</v>
      </c>
      <c r="Q96" s="120">
        <v>1500</v>
      </c>
      <c r="R96" s="79">
        <v>1500</v>
      </c>
      <c r="T96" s="138" t="s">
        <v>82</v>
      </c>
      <c r="U96" s="138" t="s">
        <v>48</v>
      </c>
      <c r="V96" s="139">
        <v>1</v>
      </c>
      <c r="W96" s="140">
        <v>1500</v>
      </c>
      <c r="X96" s="140">
        <f t="shared" si="17"/>
        <v>1500</v>
      </c>
      <c r="Z96" s="138" t="s">
        <v>82</v>
      </c>
      <c r="AA96" s="138" t="s">
        <v>48</v>
      </c>
      <c r="AB96" s="139">
        <v>1</v>
      </c>
      <c r="AC96" s="140">
        <v>1500</v>
      </c>
      <c r="AD96" s="140">
        <f t="shared" si="14"/>
        <v>1500</v>
      </c>
      <c r="AF96" s="118"/>
      <c r="AG96" s="118"/>
      <c r="AH96" s="119"/>
      <c r="AI96" s="120"/>
      <c r="AJ96" s="120">
        <f t="shared" si="15"/>
        <v>0</v>
      </c>
    </row>
    <row r="97" spans="2:36" x14ac:dyDescent="0.25">
      <c r="B97" s="42" t="s">
        <v>140</v>
      </c>
      <c r="C97" s="42" t="s">
        <v>392</v>
      </c>
      <c r="D97" s="78">
        <v>1</v>
      </c>
      <c r="E97" s="79">
        <v>1500</v>
      </c>
      <c r="F97" s="79">
        <f t="shared" si="16"/>
        <v>1500</v>
      </c>
      <c r="H97" s="118" t="s">
        <v>140</v>
      </c>
      <c r="I97" s="118" t="s">
        <v>78</v>
      </c>
      <c r="J97" s="119">
        <v>1</v>
      </c>
      <c r="K97" s="120">
        <v>2000</v>
      </c>
      <c r="L97" s="79">
        <f t="shared" si="11"/>
        <v>2000</v>
      </c>
      <c r="N97" s="118" t="s">
        <v>140</v>
      </c>
      <c r="O97" s="118" t="s">
        <v>917</v>
      </c>
      <c r="P97" s="119">
        <v>1</v>
      </c>
      <c r="Q97" s="120">
        <v>2000</v>
      </c>
      <c r="R97" s="79">
        <v>2000</v>
      </c>
      <c r="T97" s="138" t="s">
        <v>82</v>
      </c>
      <c r="U97" s="138" t="s">
        <v>54</v>
      </c>
      <c r="V97" s="139">
        <v>1</v>
      </c>
      <c r="W97" s="140">
        <v>1000</v>
      </c>
      <c r="X97" s="140">
        <f t="shared" si="17"/>
        <v>1000</v>
      </c>
      <c r="Z97" s="138" t="s">
        <v>82</v>
      </c>
      <c r="AA97" s="138" t="s">
        <v>78</v>
      </c>
      <c r="AB97" s="139">
        <v>1</v>
      </c>
      <c r="AC97" s="140">
        <v>2000</v>
      </c>
      <c r="AD97" s="140">
        <f t="shared" si="14"/>
        <v>2000</v>
      </c>
      <c r="AF97" s="118"/>
      <c r="AG97" s="118"/>
      <c r="AH97" s="119"/>
      <c r="AI97" s="120"/>
      <c r="AJ97" s="120">
        <f t="shared" si="15"/>
        <v>0</v>
      </c>
    </row>
    <row r="98" spans="2:36" x14ac:dyDescent="0.25">
      <c r="B98" s="42" t="s">
        <v>140</v>
      </c>
      <c r="C98" s="42" t="s">
        <v>391</v>
      </c>
      <c r="D98" s="78">
        <v>1</v>
      </c>
      <c r="E98" s="79">
        <v>2000</v>
      </c>
      <c r="F98" s="79">
        <f t="shared" si="16"/>
        <v>2000</v>
      </c>
      <c r="H98" s="118" t="s">
        <v>140</v>
      </c>
      <c r="I98" s="118" t="s">
        <v>81</v>
      </c>
      <c r="J98" s="119">
        <v>1</v>
      </c>
      <c r="K98" s="120">
        <v>2000</v>
      </c>
      <c r="L98" s="79">
        <f t="shared" si="11"/>
        <v>2000</v>
      </c>
      <c r="N98" s="118" t="s">
        <v>140</v>
      </c>
      <c r="O98" s="118" t="s">
        <v>81</v>
      </c>
      <c r="P98" s="119">
        <v>1</v>
      </c>
      <c r="Q98" s="120">
        <v>1500</v>
      </c>
      <c r="R98" s="79">
        <v>1500</v>
      </c>
      <c r="T98" s="138" t="s">
        <v>82</v>
      </c>
      <c r="U98" s="138" t="s">
        <v>81</v>
      </c>
      <c r="V98" s="139">
        <v>1</v>
      </c>
      <c r="W98" s="140">
        <v>2000</v>
      </c>
      <c r="X98" s="140">
        <f t="shared" si="17"/>
        <v>2000</v>
      </c>
      <c r="Z98" s="138" t="s">
        <v>82</v>
      </c>
      <c r="AA98" s="138" t="s">
        <v>54</v>
      </c>
      <c r="AB98" s="139">
        <v>1</v>
      </c>
      <c r="AC98" s="140">
        <v>2000</v>
      </c>
      <c r="AD98" s="140">
        <f t="shared" si="14"/>
        <v>2000</v>
      </c>
      <c r="AF98" s="118"/>
      <c r="AG98" s="118"/>
      <c r="AH98" s="119"/>
      <c r="AI98" s="120"/>
      <c r="AJ98" s="120">
        <f t="shared" si="15"/>
        <v>0</v>
      </c>
    </row>
    <row r="99" spans="2:36" x14ac:dyDescent="0.25">
      <c r="B99" s="42" t="s">
        <v>140</v>
      </c>
      <c r="C99" s="42" t="s">
        <v>246</v>
      </c>
      <c r="D99" s="78">
        <v>1</v>
      </c>
      <c r="E99" s="79">
        <v>1500</v>
      </c>
      <c r="F99" s="79">
        <f t="shared" si="16"/>
        <v>1500</v>
      </c>
      <c r="H99" s="118" t="s">
        <v>140</v>
      </c>
      <c r="I99" s="118" t="s">
        <v>78</v>
      </c>
      <c r="J99" s="119">
        <v>1</v>
      </c>
      <c r="K99" s="120">
        <v>2000</v>
      </c>
      <c r="L99" s="79">
        <f t="shared" si="11"/>
        <v>2000</v>
      </c>
      <c r="N99" s="118" t="s">
        <v>140</v>
      </c>
      <c r="O99" s="118" t="s">
        <v>54</v>
      </c>
      <c r="P99" s="119">
        <v>1</v>
      </c>
      <c r="Q99" s="120">
        <v>1000</v>
      </c>
      <c r="R99" s="79">
        <v>1000</v>
      </c>
      <c r="T99" s="138" t="s">
        <v>82</v>
      </c>
      <c r="U99" s="138" t="s">
        <v>81</v>
      </c>
      <c r="V99" s="139">
        <v>2</v>
      </c>
      <c r="W99" s="140">
        <v>2000</v>
      </c>
      <c r="X99" s="140">
        <f t="shared" si="17"/>
        <v>4000</v>
      </c>
      <c r="Z99" s="138" t="s">
        <v>82</v>
      </c>
      <c r="AA99" s="138" t="s">
        <v>81</v>
      </c>
      <c r="AB99" s="139">
        <v>1</v>
      </c>
      <c r="AC99" s="140">
        <v>2000</v>
      </c>
      <c r="AD99" s="140">
        <f t="shared" si="14"/>
        <v>2000</v>
      </c>
      <c r="AF99" s="118"/>
      <c r="AG99" s="118"/>
      <c r="AH99" s="119"/>
      <c r="AI99" s="120"/>
      <c r="AJ99" s="120">
        <f t="shared" si="15"/>
        <v>0</v>
      </c>
    </row>
    <row r="100" spans="2:36" x14ac:dyDescent="0.25">
      <c r="B100" s="42" t="s">
        <v>140</v>
      </c>
      <c r="C100" s="42" t="s">
        <v>391</v>
      </c>
      <c r="D100" s="78">
        <v>1</v>
      </c>
      <c r="E100" s="79">
        <v>2000</v>
      </c>
      <c r="F100" s="79">
        <f t="shared" si="16"/>
        <v>2000</v>
      </c>
      <c r="H100" s="118" t="s">
        <v>140</v>
      </c>
      <c r="I100" s="118" t="s">
        <v>79</v>
      </c>
      <c r="J100" s="119">
        <v>1</v>
      </c>
      <c r="K100" s="120">
        <v>2000</v>
      </c>
      <c r="L100" s="79">
        <f t="shared" si="11"/>
        <v>2000</v>
      </c>
      <c r="N100" s="118" t="s">
        <v>140</v>
      </c>
      <c r="O100" s="118" t="s">
        <v>917</v>
      </c>
      <c r="P100" s="119">
        <v>1</v>
      </c>
      <c r="Q100" s="120">
        <v>2000</v>
      </c>
      <c r="R100" s="79">
        <v>2000</v>
      </c>
      <c r="T100" s="138" t="s">
        <v>1433</v>
      </c>
      <c r="U100" s="138" t="s">
        <v>246</v>
      </c>
      <c r="V100" s="139">
        <v>1</v>
      </c>
      <c r="W100" s="140">
        <v>1500</v>
      </c>
      <c r="X100" s="140">
        <f t="shared" si="17"/>
        <v>1500</v>
      </c>
      <c r="Z100" s="138" t="s">
        <v>82</v>
      </c>
      <c r="AA100" s="138" t="s">
        <v>917</v>
      </c>
      <c r="AB100" s="139">
        <v>1</v>
      </c>
      <c r="AC100" s="140">
        <v>2000</v>
      </c>
      <c r="AD100" s="140">
        <f t="shared" si="14"/>
        <v>2000</v>
      </c>
      <c r="AF100" s="118"/>
      <c r="AG100" s="118"/>
      <c r="AH100" s="119"/>
      <c r="AI100" s="120"/>
      <c r="AJ100" s="120">
        <f t="shared" si="15"/>
        <v>0</v>
      </c>
    </row>
    <row r="101" spans="2:36" x14ac:dyDescent="0.25">
      <c r="B101" s="42" t="s">
        <v>140</v>
      </c>
      <c r="C101" s="42" t="s">
        <v>54</v>
      </c>
      <c r="D101" s="78">
        <v>1</v>
      </c>
      <c r="E101" s="79">
        <v>1000</v>
      </c>
      <c r="F101" s="79">
        <f t="shared" si="16"/>
        <v>1000</v>
      </c>
      <c r="H101" s="118" t="s">
        <v>140</v>
      </c>
      <c r="I101" s="118" t="s">
        <v>81</v>
      </c>
      <c r="J101" s="119">
        <v>1</v>
      </c>
      <c r="K101" s="120">
        <v>2000</v>
      </c>
      <c r="L101" s="79">
        <f t="shared" si="11"/>
        <v>2000</v>
      </c>
      <c r="N101" s="118" t="s">
        <v>140</v>
      </c>
      <c r="O101" s="118" t="s">
        <v>81</v>
      </c>
      <c r="P101" s="119">
        <v>1</v>
      </c>
      <c r="Q101" s="120">
        <v>1500</v>
      </c>
      <c r="R101" s="79">
        <v>1500</v>
      </c>
      <c r="T101" s="138" t="s">
        <v>140</v>
      </c>
      <c r="U101" s="138" t="s">
        <v>78</v>
      </c>
      <c r="V101" s="139">
        <v>1</v>
      </c>
      <c r="W101" s="140">
        <v>2000</v>
      </c>
      <c r="X101" s="140">
        <f t="shared" si="17"/>
        <v>2000</v>
      </c>
      <c r="Z101" s="138" t="s">
        <v>82</v>
      </c>
      <c r="AA101" s="138" t="s">
        <v>78</v>
      </c>
      <c r="AB101" s="139">
        <v>2</v>
      </c>
      <c r="AC101" s="140">
        <v>2000</v>
      </c>
      <c r="AD101" s="140">
        <f t="shared" si="14"/>
        <v>4000</v>
      </c>
      <c r="AF101" s="118"/>
      <c r="AG101" s="118"/>
      <c r="AH101" s="119"/>
      <c r="AI101" s="120"/>
      <c r="AJ101" s="120">
        <f t="shared" si="15"/>
        <v>0</v>
      </c>
    </row>
    <row r="102" spans="2:36" x14ac:dyDescent="0.25">
      <c r="B102" s="42" t="s">
        <v>140</v>
      </c>
      <c r="C102" s="42" t="s">
        <v>246</v>
      </c>
      <c r="D102" s="78">
        <v>1</v>
      </c>
      <c r="E102" s="79">
        <v>1500</v>
      </c>
      <c r="F102" s="79">
        <f t="shared" si="16"/>
        <v>1500</v>
      </c>
      <c r="H102" s="118" t="s">
        <v>140</v>
      </c>
      <c r="I102" s="118" t="s">
        <v>54</v>
      </c>
      <c r="J102" s="119">
        <v>1</v>
      </c>
      <c r="K102" s="120">
        <v>1000</v>
      </c>
      <c r="L102" s="79">
        <f t="shared" si="11"/>
        <v>1000</v>
      </c>
      <c r="N102" s="118" t="s">
        <v>140</v>
      </c>
      <c r="O102" s="118" t="s">
        <v>54</v>
      </c>
      <c r="P102" s="119">
        <v>1</v>
      </c>
      <c r="Q102" s="120">
        <v>1000</v>
      </c>
      <c r="R102" s="79">
        <v>1000</v>
      </c>
      <c r="T102" s="138" t="s">
        <v>140</v>
      </c>
      <c r="U102" s="138" t="s">
        <v>78</v>
      </c>
      <c r="V102" s="139">
        <v>1</v>
      </c>
      <c r="W102" s="140">
        <v>2000</v>
      </c>
      <c r="X102" s="140">
        <f t="shared" si="17"/>
        <v>2000</v>
      </c>
      <c r="Z102" s="138" t="s">
        <v>82</v>
      </c>
      <c r="AA102" s="138" t="s">
        <v>48</v>
      </c>
      <c r="AB102" s="139">
        <v>1</v>
      </c>
      <c r="AC102" s="140">
        <v>1500</v>
      </c>
      <c r="AD102" s="140">
        <f t="shared" si="14"/>
        <v>1500</v>
      </c>
      <c r="AF102" s="118"/>
      <c r="AG102" s="118"/>
      <c r="AH102" s="119"/>
      <c r="AI102" s="120"/>
      <c r="AJ102" s="120">
        <f t="shared" si="15"/>
        <v>0</v>
      </c>
    </row>
    <row r="103" spans="2:36" x14ac:dyDescent="0.25">
      <c r="B103" s="42" t="s">
        <v>140</v>
      </c>
      <c r="C103" s="42" t="s">
        <v>78</v>
      </c>
      <c r="D103" s="78">
        <v>1</v>
      </c>
      <c r="E103" s="79">
        <v>2000</v>
      </c>
      <c r="F103" s="79">
        <f t="shared" si="16"/>
        <v>2000</v>
      </c>
      <c r="H103" s="118" t="s">
        <v>140</v>
      </c>
      <c r="I103" s="118" t="s">
        <v>246</v>
      </c>
      <c r="J103" s="119">
        <v>1</v>
      </c>
      <c r="K103" s="120">
        <v>1500</v>
      </c>
      <c r="L103" s="79">
        <f t="shared" si="11"/>
        <v>1500</v>
      </c>
      <c r="N103" s="118" t="s">
        <v>140</v>
      </c>
      <c r="O103" s="118" t="s">
        <v>48</v>
      </c>
      <c r="P103" s="119">
        <v>1</v>
      </c>
      <c r="Q103" s="120">
        <v>1500</v>
      </c>
      <c r="R103" s="79">
        <f t="shared" ref="R103:R134" si="18">P103*Q103</f>
        <v>1500</v>
      </c>
      <c r="T103" s="138" t="s">
        <v>140</v>
      </c>
      <c r="U103" s="138" t="s">
        <v>78</v>
      </c>
      <c r="V103" s="139">
        <v>1</v>
      </c>
      <c r="W103" s="140">
        <v>2000</v>
      </c>
      <c r="X103" s="140">
        <f t="shared" si="17"/>
        <v>2000</v>
      </c>
      <c r="Z103" s="138" t="s">
        <v>82</v>
      </c>
      <c r="AA103" s="138" t="s">
        <v>54</v>
      </c>
      <c r="AB103" s="139">
        <v>1</v>
      </c>
      <c r="AC103" s="140">
        <v>1000</v>
      </c>
      <c r="AD103" s="140">
        <f t="shared" si="14"/>
        <v>1000</v>
      </c>
      <c r="AF103" s="118"/>
      <c r="AG103" s="118"/>
      <c r="AH103" s="119"/>
      <c r="AI103" s="120"/>
      <c r="AJ103" s="120">
        <f t="shared" si="15"/>
        <v>0</v>
      </c>
    </row>
    <row r="104" spans="2:36" x14ac:dyDescent="0.25">
      <c r="B104" s="42" t="s">
        <v>140</v>
      </c>
      <c r="C104" s="42" t="s">
        <v>79</v>
      </c>
      <c r="D104" s="78">
        <v>1</v>
      </c>
      <c r="E104" s="79">
        <v>2000</v>
      </c>
      <c r="F104" s="79">
        <f t="shared" si="16"/>
        <v>2000</v>
      </c>
      <c r="H104" s="118" t="s">
        <v>140</v>
      </c>
      <c r="I104" s="118" t="s">
        <v>78</v>
      </c>
      <c r="J104" s="119">
        <v>2</v>
      </c>
      <c r="K104" s="120">
        <v>2000</v>
      </c>
      <c r="L104" s="79">
        <f t="shared" si="11"/>
        <v>4000</v>
      </c>
      <c r="N104" s="118" t="s">
        <v>140</v>
      </c>
      <c r="O104" s="118" t="s">
        <v>48</v>
      </c>
      <c r="P104" s="119">
        <v>1</v>
      </c>
      <c r="Q104" s="120">
        <v>1500</v>
      </c>
      <c r="R104" s="79">
        <f t="shared" si="18"/>
        <v>1500</v>
      </c>
      <c r="T104" s="138" t="s">
        <v>140</v>
      </c>
      <c r="U104" s="138" t="s">
        <v>78</v>
      </c>
      <c r="V104" s="139">
        <v>1</v>
      </c>
      <c r="W104" s="140">
        <v>2000</v>
      </c>
      <c r="X104" s="140">
        <f t="shared" si="17"/>
        <v>2000</v>
      </c>
      <c r="Z104" s="138" t="s">
        <v>82</v>
      </c>
      <c r="AA104" s="138" t="s">
        <v>81</v>
      </c>
      <c r="AB104" s="139">
        <v>1</v>
      </c>
      <c r="AC104" s="140">
        <v>2000</v>
      </c>
      <c r="AD104" s="140">
        <f t="shared" si="14"/>
        <v>2000</v>
      </c>
      <c r="AF104" s="118"/>
      <c r="AG104" s="118"/>
      <c r="AH104" s="119"/>
      <c r="AI104" s="120"/>
      <c r="AJ104" s="120">
        <f t="shared" si="15"/>
        <v>0</v>
      </c>
    </row>
    <row r="105" spans="2:36" x14ac:dyDescent="0.25">
      <c r="B105" s="42" t="s">
        <v>140</v>
      </c>
      <c r="C105" s="42" t="s">
        <v>392</v>
      </c>
      <c r="D105" s="78">
        <v>1</v>
      </c>
      <c r="E105" s="79">
        <v>1500</v>
      </c>
      <c r="F105" s="79">
        <f t="shared" si="16"/>
        <v>1500</v>
      </c>
      <c r="H105" s="118" t="s">
        <v>140</v>
      </c>
      <c r="I105" s="118" t="s">
        <v>81</v>
      </c>
      <c r="J105" s="119">
        <v>1</v>
      </c>
      <c r="K105" s="120">
        <v>2000</v>
      </c>
      <c r="L105" s="79">
        <f t="shared" si="11"/>
        <v>2000</v>
      </c>
      <c r="N105" s="118" t="s">
        <v>140</v>
      </c>
      <c r="O105" s="118" t="s">
        <v>81</v>
      </c>
      <c r="P105" s="119">
        <v>1</v>
      </c>
      <c r="Q105" s="120">
        <v>2000</v>
      </c>
      <c r="R105" s="79">
        <f t="shared" si="18"/>
        <v>2000</v>
      </c>
      <c r="T105" s="138" t="s">
        <v>140</v>
      </c>
      <c r="U105" s="138" t="s">
        <v>78</v>
      </c>
      <c r="V105" s="139">
        <v>1</v>
      </c>
      <c r="W105" s="140">
        <v>2000</v>
      </c>
      <c r="X105" s="140">
        <f t="shared" si="17"/>
        <v>2000</v>
      </c>
      <c r="Z105" s="138" t="s">
        <v>82</v>
      </c>
      <c r="AA105" s="138" t="s">
        <v>81</v>
      </c>
      <c r="AB105" s="139">
        <v>2</v>
      </c>
      <c r="AC105" s="140">
        <v>2000</v>
      </c>
      <c r="AD105" s="140">
        <f t="shared" si="14"/>
        <v>4000</v>
      </c>
      <c r="AF105" s="118"/>
      <c r="AG105" s="118"/>
      <c r="AH105" s="119"/>
      <c r="AI105" s="120"/>
      <c r="AJ105" s="120">
        <f t="shared" si="15"/>
        <v>0</v>
      </c>
    </row>
    <row r="106" spans="2:36" x14ac:dyDescent="0.25">
      <c r="B106" s="42" t="s">
        <v>140</v>
      </c>
      <c r="C106" s="42" t="s">
        <v>280</v>
      </c>
      <c r="D106" s="78">
        <v>1</v>
      </c>
      <c r="E106" s="79">
        <v>1500</v>
      </c>
      <c r="F106" s="79">
        <f t="shared" si="16"/>
        <v>1500</v>
      </c>
      <c r="H106" s="118" t="s">
        <v>140</v>
      </c>
      <c r="I106" s="118" t="s">
        <v>81</v>
      </c>
      <c r="J106" s="119">
        <v>1</v>
      </c>
      <c r="K106" s="120">
        <v>2000</v>
      </c>
      <c r="L106" s="79">
        <f t="shared" si="11"/>
        <v>2000</v>
      </c>
      <c r="N106" s="118" t="s">
        <v>59</v>
      </c>
      <c r="O106" s="118" t="s">
        <v>917</v>
      </c>
      <c r="P106" s="119">
        <v>1</v>
      </c>
      <c r="Q106" s="120">
        <v>2000</v>
      </c>
      <c r="R106" s="79">
        <f t="shared" si="18"/>
        <v>2000</v>
      </c>
      <c r="T106" s="138" t="s">
        <v>140</v>
      </c>
      <c r="U106" s="138" t="s">
        <v>78</v>
      </c>
      <c r="V106" s="139">
        <v>1</v>
      </c>
      <c r="W106" s="140">
        <v>2000</v>
      </c>
      <c r="X106" s="140">
        <f t="shared" si="17"/>
        <v>2000</v>
      </c>
      <c r="Z106" s="81" t="s">
        <v>140</v>
      </c>
      <c r="AA106" s="81" t="s">
        <v>78</v>
      </c>
      <c r="AB106" s="82">
        <v>1</v>
      </c>
      <c r="AC106" s="80">
        <v>2000</v>
      </c>
      <c r="AD106" s="80">
        <f t="shared" si="14"/>
        <v>2000</v>
      </c>
      <c r="AF106" s="118"/>
      <c r="AG106" s="118"/>
      <c r="AH106" s="119"/>
      <c r="AI106" s="120"/>
      <c r="AJ106" s="120">
        <f t="shared" si="15"/>
        <v>0</v>
      </c>
    </row>
    <row r="107" spans="2:36" x14ac:dyDescent="0.25">
      <c r="B107" s="42" t="s">
        <v>140</v>
      </c>
      <c r="C107" s="42" t="s">
        <v>78</v>
      </c>
      <c r="D107" s="78">
        <v>2</v>
      </c>
      <c r="E107" s="79">
        <v>2000</v>
      </c>
      <c r="F107" s="79">
        <f t="shared" si="16"/>
        <v>4000</v>
      </c>
      <c r="H107" s="118" t="s">
        <v>140</v>
      </c>
      <c r="I107" s="118" t="s">
        <v>917</v>
      </c>
      <c r="J107" s="119">
        <v>1</v>
      </c>
      <c r="K107" s="120">
        <v>2000</v>
      </c>
      <c r="L107" s="79">
        <f t="shared" si="11"/>
        <v>2000</v>
      </c>
      <c r="N107" s="118" t="s">
        <v>245</v>
      </c>
      <c r="O107" s="118" t="s">
        <v>917</v>
      </c>
      <c r="P107" s="119">
        <v>1</v>
      </c>
      <c r="Q107" s="120">
        <v>2000</v>
      </c>
      <c r="R107" s="79">
        <f t="shared" si="18"/>
        <v>2000</v>
      </c>
      <c r="T107" s="138" t="s">
        <v>140</v>
      </c>
      <c r="U107" s="138" t="s">
        <v>81</v>
      </c>
      <c r="V107" s="139">
        <v>1</v>
      </c>
      <c r="W107" s="140">
        <v>2000</v>
      </c>
      <c r="X107" s="140">
        <f t="shared" si="17"/>
        <v>2000</v>
      </c>
      <c r="Z107" s="81" t="s">
        <v>140</v>
      </c>
      <c r="AA107" s="81" t="s">
        <v>78</v>
      </c>
      <c r="AB107" s="82">
        <v>1</v>
      </c>
      <c r="AC107" s="80">
        <v>2000</v>
      </c>
      <c r="AD107" s="80">
        <f t="shared" si="14"/>
        <v>2000</v>
      </c>
      <c r="AF107" s="118"/>
      <c r="AG107" s="118"/>
      <c r="AH107" s="119"/>
      <c r="AI107" s="120"/>
      <c r="AJ107" s="120">
        <f t="shared" si="15"/>
        <v>0</v>
      </c>
    </row>
    <row r="108" spans="2:36" x14ac:dyDescent="0.25">
      <c r="B108" s="42" t="s">
        <v>140</v>
      </c>
      <c r="C108" s="42" t="s">
        <v>79</v>
      </c>
      <c r="D108" s="78">
        <v>1</v>
      </c>
      <c r="E108" s="79">
        <v>2000</v>
      </c>
      <c r="F108" s="79">
        <f t="shared" si="16"/>
        <v>2000</v>
      </c>
      <c r="H108" s="118" t="s">
        <v>140</v>
      </c>
      <c r="I108" s="118" t="s">
        <v>78</v>
      </c>
      <c r="J108" s="119">
        <v>1</v>
      </c>
      <c r="K108" s="120">
        <v>2000</v>
      </c>
      <c r="L108" s="79">
        <f t="shared" si="11"/>
        <v>2000</v>
      </c>
      <c r="N108" s="118" t="s">
        <v>245</v>
      </c>
      <c r="O108" s="118" t="s">
        <v>54</v>
      </c>
      <c r="P108" s="119">
        <v>3</v>
      </c>
      <c r="Q108" s="120">
        <v>1000</v>
      </c>
      <c r="R108" s="79">
        <f t="shared" si="18"/>
        <v>3000</v>
      </c>
      <c r="T108" s="138" t="s">
        <v>140</v>
      </c>
      <c r="U108" s="138" t="s">
        <v>48</v>
      </c>
      <c r="V108" s="139">
        <v>1</v>
      </c>
      <c r="W108" s="140">
        <v>1500</v>
      </c>
      <c r="X108" s="140">
        <f t="shared" si="17"/>
        <v>1500</v>
      </c>
      <c r="Z108" s="81" t="s">
        <v>140</v>
      </c>
      <c r="AA108" s="81" t="s">
        <v>78</v>
      </c>
      <c r="AB108" s="82">
        <v>1</v>
      </c>
      <c r="AC108" s="80">
        <v>2000</v>
      </c>
      <c r="AD108" s="80">
        <f t="shared" si="14"/>
        <v>2000</v>
      </c>
      <c r="AF108" s="118"/>
      <c r="AG108" s="118"/>
      <c r="AH108" s="119"/>
      <c r="AI108" s="120"/>
      <c r="AJ108" s="120">
        <f t="shared" si="15"/>
        <v>0</v>
      </c>
    </row>
    <row r="109" spans="2:36" x14ac:dyDescent="0.25">
      <c r="B109" s="42" t="s">
        <v>140</v>
      </c>
      <c r="C109" s="42" t="s">
        <v>78</v>
      </c>
      <c r="D109" s="78">
        <v>2</v>
      </c>
      <c r="E109" s="79">
        <v>2000</v>
      </c>
      <c r="F109" s="79">
        <f t="shared" si="16"/>
        <v>4000</v>
      </c>
      <c r="H109" s="118" t="s">
        <v>140</v>
      </c>
      <c r="I109" s="118" t="s">
        <v>78</v>
      </c>
      <c r="J109" s="119">
        <v>2</v>
      </c>
      <c r="K109" s="120">
        <v>2000</v>
      </c>
      <c r="L109" s="79">
        <f t="shared" si="11"/>
        <v>4000</v>
      </c>
      <c r="N109" s="118" t="s">
        <v>1251</v>
      </c>
      <c r="O109" s="118" t="s">
        <v>78</v>
      </c>
      <c r="P109" s="119">
        <v>2</v>
      </c>
      <c r="Q109" s="120">
        <v>2000</v>
      </c>
      <c r="R109" s="79">
        <f t="shared" si="18"/>
        <v>4000</v>
      </c>
      <c r="T109" s="138" t="s">
        <v>140</v>
      </c>
      <c r="U109" s="138" t="s">
        <v>78</v>
      </c>
      <c r="V109" s="139">
        <v>1</v>
      </c>
      <c r="W109" s="140">
        <v>2000</v>
      </c>
      <c r="X109" s="140">
        <f t="shared" si="17"/>
        <v>2000</v>
      </c>
      <c r="Z109" s="81" t="s">
        <v>140</v>
      </c>
      <c r="AA109" s="81" t="s">
        <v>78</v>
      </c>
      <c r="AB109" s="82">
        <v>1</v>
      </c>
      <c r="AC109" s="80">
        <v>2000</v>
      </c>
      <c r="AD109" s="80">
        <f t="shared" si="14"/>
        <v>2000</v>
      </c>
      <c r="AF109" s="118"/>
      <c r="AG109" s="118"/>
      <c r="AH109" s="119"/>
      <c r="AI109" s="120"/>
      <c r="AJ109" s="120">
        <f t="shared" si="15"/>
        <v>0</v>
      </c>
    </row>
    <row r="110" spans="2:36" x14ac:dyDescent="0.25">
      <c r="B110" s="42" t="s">
        <v>140</v>
      </c>
      <c r="C110" s="42" t="s">
        <v>78</v>
      </c>
      <c r="D110" s="78">
        <v>1</v>
      </c>
      <c r="E110" s="79">
        <v>2000</v>
      </c>
      <c r="F110" s="79">
        <f t="shared" si="16"/>
        <v>2000</v>
      </c>
      <c r="H110" s="118" t="s">
        <v>140</v>
      </c>
      <c r="I110" s="118" t="s">
        <v>81</v>
      </c>
      <c r="J110" s="119">
        <v>1</v>
      </c>
      <c r="K110" s="120">
        <v>2000</v>
      </c>
      <c r="L110" s="79">
        <f t="shared" si="11"/>
        <v>2000</v>
      </c>
      <c r="N110" s="118" t="s">
        <v>347</v>
      </c>
      <c r="O110" s="118" t="s">
        <v>81</v>
      </c>
      <c r="P110" s="119">
        <v>6</v>
      </c>
      <c r="Q110" s="120">
        <v>2000</v>
      </c>
      <c r="R110" s="79">
        <f t="shared" si="18"/>
        <v>12000</v>
      </c>
      <c r="T110" s="138" t="s">
        <v>140</v>
      </c>
      <c r="U110" s="138" t="s">
        <v>54</v>
      </c>
      <c r="V110" s="139">
        <v>1</v>
      </c>
      <c r="W110" s="140">
        <v>1000</v>
      </c>
      <c r="X110" s="140">
        <f t="shared" si="17"/>
        <v>1000</v>
      </c>
      <c r="Z110" s="81" t="s">
        <v>140</v>
      </c>
      <c r="AA110" s="81" t="s">
        <v>81</v>
      </c>
      <c r="AB110" s="82">
        <v>1</v>
      </c>
      <c r="AC110" s="80">
        <v>2000</v>
      </c>
      <c r="AD110" s="80">
        <f t="shared" si="14"/>
        <v>2000</v>
      </c>
      <c r="AF110" s="118"/>
      <c r="AG110" s="118"/>
      <c r="AH110" s="119"/>
      <c r="AI110" s="120"/>
      <c r="AJ110" s="120">
        <f t="shared" si="15"/>
        <v>0</v>
      </c>
    </row>
    <row r="111" spans="2:36" x14ac:dyDescent="0.25">
      <c r="B111" s="42" t="s">
        <v>140</v>
      </c>
      <c r="C111" s="42" t="s">
        <v>78</v>
      </c>
      <c r="D111" s="78">
        <v>1</v>
      </c>
      <c r="E111" s="79">
        <v>2000</v>
      </c>
      <c r="F111" s="79">
        <f t="shared" si="16"/>
        <v>2000</v>
      </c>
      <c r="H111" s="118" t="s">
        <v>140</v>
      </c>
      <c r="I111" s="118" t="s">
        <v>78</v>
      </c>
      <c r="J111" s="119">
        <v>1</v>
      </c>
      <c r="K111" s="120">
        <v>2000</v>
      </c>
      <c r="L111" s="79">
        <f t="shared" si="11"/>
        <v>2000</v>
      </c>
      <c r="N111" s="118" t="s">
        <v>347</v>
      </c>
      <c r="O111" s="118" t="s">
        <v>78</v>
      </c>
      <c r="P111" s="119">
        <v>2</v>
      </c>
      <c r="Q111" s="120">
        <v>2000</v>
      </c>
      <c r="R111" s="79">
        <f t="shared" si="18"/>
        <v>4000</v>
      </c>
      <c r="T111" s="138" t="s">
        <v>140</v>
      </c>
      <c r="U111" s="138" t="s">
        <v>78</v>
      </c>
      <c r="V111" s="139">
        <v>1</v>
      </c>
      <c r="W111" s="140">
        <v>2000</v>
      </c>
      <c r="X111" s="140">
        <f t="shared" si="17"/>
        <v>2000</v>
      </c>
      <c r="Z111" s="81" t="s">
        <v>140</v>
      </c>
      <c r="AA111" s="81" t="s">
        <v>78</v>
      </c>
      <c r="AB111" s="82">
        <v>1</v>
      </c>
      <c r="AC111" s="80">
        <v>2000</v>
      </c>
      <c r="AD111" s="80">
        <f t="shared" si="14"/>
        <v>2000</v>
      </c>
      <c r="AF111" s="118"/>
      <c r="AG111" s="118"/>
      <c r="AH111" s="119"/>
      <c r="AI111" s="120"/>
      <c r="AJ111" s="120">
        <f t="shared" si="15"/>
        <v>0</v>
      </c>
    </row>
    <row r="112" spans="2:36" x14ac:dyDescent="0.25">
      <c r="B112" s="42" t="s">
        <v>140</v>
      </c>
      <c r="C112" s="42" t="s">
        <v>54</v>
      </c>
      <c r="D112" s="78">
        <v>4</v>
      </c>
      <c r="E112" s="79">
        <v>1000</v>
      </c>
      <c r="F112" s="79">
        <f t="shared" si="16"/>
        <v>4000</v>
      </c>
      <c r="H112" s="118" t="s">
        <v>140</v>
      </c>
      <c r="I112" s="118" t="s">
        <v>78</v>
      </c>
      <c r="J112" s="119">
        <v>1</v>
      </c>
      <c r="K112" s="120">
        <v>2000</v>
      </c>
      <c r="L112" s="79">
        <f t="shared" si="11"/>
        <v>2000</v>
      </c>
      <c r="N112" s="118" t="s">
        <v>582</v>
      </c>
      <c r="O112" s="118" t="s">
        <v>81</v>
      </c>
      <c r="P112" s="119">
        <v>4</v>
      </c>
      <c r="Q112" s="120">
        <v>2000</v>
      </c>
      <c r="R112" s="79">
        <f t="shared" si="18"/>
        <v>8000</v>
      </c>
      <c r="T112" s="138" t="s">
        <v>140</v>
      </c>
      <c r="U112" s="138" t="s">
        <v>78</v>
      </c>
      <c r="V112" s="139">
        <v>1</v>
      </c>
      <c r="W112" s="140">
        <v>2000</v>
      </c>
      <c r="X112" s="140">
        <f t="shared" si="17"/>
        <v>2000</v>
      </c>
      <c r="Z112" s="81" t="s">
        <v>140</v>
      </c>
      <c r="AA112" s="81" t="s">
        <v>81</v>
      </c>
      <c r="AB112" s="82">
        <v>1</v>
      </c>
      <c r="AC112" s="80">
        <v>2000</v>
      </c>
      <c r="AD112" s="80">
        <f t="shared" si="14"/>
        <v>2000</v>
      </c>
      <c r="AF112" s="118"/>
      <c r="AG112" s="118"/>
      <c r="AH112" s="119"/>
      <c r="AI112" s="120"/>
      <c r="AJ112" s="120">
        <f t="shared" si="15"/>
        <v>0</v>
      </c>
    </row>
    <row r="113" spans="2:36" x14ac:dyDescent="0.25">
      <c r="B113" s="42" t="s">
        <v>140</v>
      </c>
      <c r="C113" s="42" t="s">
        <v>78</v>
      </c>
      <c r="D113" s="78">
        <v>1</v>
      </c>
      <c r="E113" s="79">
        <v>2000</v>
      </c>
      <c r="F113" s="79">
        <f t="shared" si="16"/>
        <v>2000</v>
      </c>
      <c r="H113" s="118" t="s">
        <v>140</v>
      </c>
      <c r="I113" s="118" t="s">
        <v>78</v>
      </c>
      <c r="J113" s="119">
        <v>1</v>
      </c>
      <c r="K113" s="120">
        <v>2000</v>
      </c>
      <c r="L113" s="79">
        <f t="shared" si="11"/>
        <v>2000</v>
      </c>
      <c r="N113" s="118" t="s">
        <v>582</v>
      </c>
      <c r="O113" s="118" t="s">
        <v>48</v>
      </c>
      <c r="P113" s="119">
        <v>1</v>
      </c>
      <c r="Q113" s="120">
        <v>1500</v>
      </c>
      <c r="R113" s="79">
        <f t="shared" si="18"/>
        <v>1500</v>
      </c>
      <c r="T113" s="138" t="s">
        <v>140</v>
      </c>
      <c r="U113" s="138" t="s">
        <v>78</v>
      </c>
      <c r="V113" s="139">
        <v>1</v>
      </c>
      <c r="W113" s="140">
        <v>2000</v>
      </c>
      <c r="X113" s="140">
        <f t="shared" si="17"/>
        <v>2000</v>
      </c>
      <c r="Z113" s="81" t="s">
        <v>140</v>
      </c>
      <c r="AA113" s="81" t="s">
        <v>78</v>
      </c>
      <c r="AB113" s="82">
        <v>1</v>
      </c>
      <c r="AC113" s="80">
        <v>2000</v>
      </c>
      <c r="AD113" s="80">
        <f t="shared" si="14"/>
        <v>2000</v>
      </c>
      <c r="AF113" s="118"/>
      <c r="AG113" s="118"/>
      <c r="AH113" s="119"/>
      <c r="AI113" s="120"/>
      <c r="AJ113" s="120">
        <f t="shared" si="15"/>
        <v>0</v>
      </c>
    </row>
    <row r="114" spans="2:36" x14ac:dyDescent="0.25">
      <c r="B114" s="42" t="s">
        <v>140</v>
      </c>
      <c r="C114" s="42" t="s">
        <v>78</v>
      </c>
      <c r="D114" s="78">
        <v>1</v>
      </c>
      <c r="E114" s="79">
        <v>2000</v>
      </c>
      <c r="F114" s="79">
        <f t="shared" si="16"/>
        <v>2000</v>
      </c>
      <c r="H114" s="118" t="s">
        <v>140</v>
      </c>
      <c r="I114" s="118" t="s">
        <v>81</v>
      </c>
      <c r="J114" s="119">
        <v>1</v>
      </c>
      <c r="K114" s="120">
        <v>2000</v>
      </c>
      <c r="L114" s="79">
        <f t="shared" si="11"/>
        <v>2000</v>
      </c>
      <c r="N114" s="118" t="s">
        <v>582</v>
      </c>
      <c r="O114" s="118" t="s">
        <v>78</v>
      </c>
      <c r="P114" s="119">
        <v>1</v>
      </c>
      <c r="Q114" s="120">
        <v>2000</v>
      </c>
      <c r="R114" s="79">
        <f t="shared" si="18"/>
        <v>2000</v>
      </c>
      <c r="T114" s="138" t="s">
        <v>140</v>
      </c>
      <c r="U114" s="138" t="s">
        <v>81</v>
      </c>
      <c r="V114" s="139">
        <v>1</v>
      </c>
      <c r="W114" s="140">
        <v>2000</v>
      </c>
      <c r="X114" s="140">
        <f t="shared" si="17"/>
        <v>2000</v>
      </c>
      <c r="Z114" s="81" t="s">
        <v>140</v>
      </c>
      <c r="AA114" s="81" t="s">
        <v>78</v>
      </c>
      <c r="AB114" s="82">
        <v>1</v>
      </c>
      <c r="AC114" s="80">
        <v>2000</v>
      </c>
      <c r="AD114" s="80">
        <f t="shared" si="14"/>
        <v>2000</v>
      </c>
      <c r="AF114" s="118"/>
      <c r="AG114" s="118"/>
      <c r="AH114" s="119"/>
      <c r="AI114" s="120"/>
      <c r="AJ114" s="120">
        <f t="shared" si="15"/>
        <v>0</v>
      </c>
    </row>
    <row r="115" spans="2:36" x14ac:dyDescent="0.25">
      <c r="B115" s="42" t="s">
        <v>140</v>
      </c>
      <c r="C115" s="42" t="s">
        <v>81</v>
      </c>
      <c r="D115" s="78">
        <v>1</v>
      </c>
      <c r="E115" s="79">
        <v>2000</v>
      </c>
      <c r="F115" s="79">
        <f t="shared" si="16"/>
        <v>2000</v>
      </c>
      <c r="H115" s="118" t="s">
        <v>140</v>
      </c>
      <c r="I115" s="118" t="s">
        <v>54</v>
      </c>
      <c r="J115" s="119">
        <v>1</v>
      </c>
      <c r="K115" s="120">
        <v>1000</v>
      </c>
      <c r="L115" s="79">
        <f t="shared" si="11"/>
        <v>1000</v>
      </c>
      <c r="N115" s="118" t="s">
        <v>582</v>
      </c>
      <c r="O115" s="118" t="s">
        <v>48</v>
      </c>
      <c r="P115" s="119">
        <v>1</v>
      </c>
      <c r="Q115" s="120">
        <v>1500</v>
      </c>
      <c r="R115" s="79">
        <f t="shared" si="18"/>
        <v>1500</v>
      </c>
      <c r="T115" s="138" t="s">
        <v>140</v>
      </c>
      <c r="U115" s="138" t="s">
        <v>78</v>
      </c>
      <c r="V115" s="139">
        <v>1</v>
      </c>
      <c r="W115" s="140">
        <v>2000</v>
      </c>
      <c r="X115" s="140">
        <f t="shared" si="17"/>
        <v>2000</v>
      </c>
      <c r="Z115" s="81" t="s">
        <v>140</v>
      </c>
      <c r="AA115" s="81" t="s">
        <v>78</v>
      </c>
      <c r="AB115" s="82">
        <v>1</v>
      </c>
      <c r="AC115" s="80">
        <v>2000</v>
      </c>
      <c r="AD115" s="80">
        <f t="shared" si="14"/>
        <v>2000</v>
      </c>
      <c r="AF115" s="118"/>
      <c r="AG115" s="118"/>
      <c r="AH115" s="119"/>
      <c r="AI115" s="120"/>
      <c r="AJ115" s="120">
        <f t="shared" si="15"/>
        <v>0</v>
      </c>
    </row>
    <row r="116" spans="2:36" x14ac:dyDescent="0.25">
      <c r="B116" s="42" t="s">
        <v>140</v>
      </c>
      <c r="C116" s="42" t="s">
        <v>78</v>
      </c>
      <c r="D116" s="78">
        <v>1</v>
      </c>
      <c r="E116" s="79">
        <v>2000</v>
      </c>
      <c r="F116" s="79">
        <f t="shared" si="16"/>
        <v>2000</v>
      </c>
      <c r="H116" s="118" t="s">
        <v>140</v>
      </c>
      <c r="I116" s="118" t="s">
        <v>79</v>
      </c>
      <c r="J116" s="119">
        <v>1</v>
      </c>
      <c r="K116" s="120">
        <v>2000</v>
      </c>
      <c r="L116" s="79">
        <f t="shared" si="11"/>
        <v>2000</v>
      </c>
      <c r="N116" s="118" t="s">
        <v>582</v>
      </c>
      <c r="O116" s="118" t="s">
        <v>48</v>
      </c>
      <c r="P116" s="119">
        <v>1</v>
      </c>
      <c r="Q116" s="120">
        <v>1500</v>
      </c>
      <c r="R116" s="79">
        <f t="shared" si="18"/>
        <v>1500</v>
      </c>
      <c r="T116" s="138" t="s">
        <v>140</v>
      </c>
      <c r="U116" s="138" t="s">
        <v>917</v>
      </c>
      <c r="V116" s="139">
        <v>1</v>
      </c>
      <c r="W116" s="140">
        <v>2000</v>
      </c>
      <c r="X116" s="140">
        <f t="shared" ref="X116:X147" si="19">V116*W116</f>
        <v>2000</v>
      </c>
      <c r="Z116" s="81" t="s">
        <v>140</v>
      </c>
      <c r="AA116" s="81" t="s">
        <v>78</v>
      </c>
      <c r="AB116" s="82">
        <v>1</v>
      </c>
      <c r="AC116" s="80">
        <v>2000</v>
      </c>
      <c r="AD116" s="80">
        <f t="shared" si="14"/>
        <v>2000</v>
      </c>
      <c r="AF116" s="118"/>
      <c r="AG116" s="118"/>
      <c r="AH116" s="119"/>
      <c r="AI116" s="120"/>
      <c r="AJ116" s="120">
        <f t="shared" si="15"/>
        <v>0</v>
      </c>
    </row>
    <row r="117" spans="2:36" x14ac:dyDescent="0.25">
      <c r="B117" s="42" t="s">
        <v>140</v>
      </c>
      <c r="C117" s="42" t="s">
        <v>78</v>
      </c>
      <c r="D117" s="78">
        <v>1</v>
      </c>
      <c r="E117" s="79">
        <v>2000</v>
      </c>
      <c r="F117" s="79">
        <f t="shared" si="16"/>
        <v>2000</v>
      </c>
      <c r="H117" s="118" t="s">
        <v>140</v>
      </c>
      <c r="I117" s="118" t="s">
        <v>917</v>
      </c>
      <c r="J117" s="119">
        <v>1</v>
      </c>
      <c r="K117" s="120">
        <v>2000</v>
      </c>
      <c r="L117" s="79">
        <f t="shared" si="11"/>
        <v>2000</v>
      </c>
      <c r="N117" s="118" t="s">
        <v>582</v>
      </c>
      <c r="O117" s="118" t="s">
        <v>48</v>
      </c>
      <c r="P117" s="119">
        <v>1</v>
      </c>
      <c r="Q117" s="120">
        <v>1500</v>
      </c>
      <c r="R117" s="79">
        <f t="shared" si="18"/>
        <v>1500</v>
      </c>
      <c r="T117" s="138" t="s">
        <v>140</v>
      </c>
      <c r="U117" s="138" t="s">
        <v>81</v>
      </c>
      <c r="V117" s="139">
        <v>1</v>
      </c>
      <c r="W117" s="140">
        <v>2000</v>
      </c>
      <c r="X117" s="140">
        <f t="shared" si="19"/>
        <v>2000</v>
      </c>
      <c r="Z117" s="81" t="s">
        <v>140</v>
      </c>
      <c r="AA117" s="81" t="s">
        <v>78</v>
      </c>
      <c r="AB117" s="82">
        <v>1</v>
      </c>
      <c r="AC117" s="80">
        <v>2000</v>
      </c>
      <c r="AD117" s="80">
        <f t="shared" si="14"/>
        <v>2000</v>
      </c>
      <c r="AF117" s="118"/>
      <c r="AG117" s="118"/>
      <c r="AH117" s="119"/>
      <c r="AI117" s="120"/>
      <c r="AJ117" s="120">
        <f t="shared" si="15"/>
        <v>0</v>
      </c>
    </row>
    <row r="118" spans="2:36" x14ac:dyDescent="0.25">
      <c r="B118" s="42" t="s">
        <v>140</v>
      </c>
      <c r="C118" s="42" t="s">
        <v>78</v>
      </c>
      <c r="D118" s="78">
        <v>1</v>
      </c>
      <c r="E118" s="79">
        <v>2000</v>
      </c>
      <c r="F118" s="79">
        <f t="shared" si="16"/>
        <v>2000</v>
      </c>
      <c r="H118" s="118" t="s">
        <v>140</v>
      </c>
      <c r="I118" s="118" t="s">
        <v>54</v>
      </c>
      <c r="J118" s="119">
        <v>1</v>
      </c>
      <c r="K118" s="120">
        <v>1000</v>
      </c>
      <c r="L118" s="79">
        <f t="shared" si="11"/>
        <v>1000</v>
      </c>
      <c r="N118" s="118" t="s">
        <v>582</v>
      </c>
      <c r="O118" s="118" t="s">
        <v>48</v>
      </c>
      <c r="P118" s="119">
        <v>1</v>
      </c>
      <c r="Q118" s="120">
        <v>1500</v>
      </c>
      <c r="R118" s="79">
        <f t="shared" si="18"/>
        <v>1500</v>
      </c>
      <c r="T118" s="138" t="s">
        <v>140</v>
      </c>
      <c r="U118" s="138" t="s">
        <v>81</v>
      </c>
      <c r="V118" s="139">
        <v>1</v>
      </c>
      <c r="W118" s="140">
        <v>2000</v>
      </c>
      <c r="X118" s="140">
        <f t="shared" si="19"/>
        <v>2000</v>
      </c>
      <c r="Z118" s="81" t="s">
        <v>140</v>
      </c>
      <c r="AA118" s="81" t="s">
        <v>78</v>
      </c>
      <c r="AB118" s="82">
        <v>1</v>
      </c>
      <c r="AC118" s="80">
        <v>2000</v>
      </c>
      <c r="AD118" s="80">
        <f t="shared" si="14"/>
        <v>2000</v>
      </c>
      <c r="AF118" s="118"/>
      <c r="AG118" s="118"/>
      <c r="AH118" s="119"/>
      <c r="AI118" s="120"/>
      <c r="AJ118" s="120">
        <f t="shared" si="15"/>
        <v>0</v>
      </c>
    </row>
    <row r="119" spans="2:36" x14ac:dyDescent="0.25">
      <c r="B119" s="42" t="s">
        <v>59</v>
      </c>
      <c r="C119" s="42" t="s">
        <v>54</v>
      </c>
      <c r="D119" s="78">
        <v>1</v>
      </c>
      <c r="E119" s="79">
        <v>1000</v>
      </c>
      <c r="F119" s="79">
        <f t="shared" si="16"/>
        <v>1000</v>
      </c>
      <c r="H119" s="118" t="s">
        <v>140</v>
      </c>
      <c r="I119" s="118" t="s">
        <v>917</v>
      </c>
      <c r="J119" s="119">
        <v>1</v>
      </c>
      <c r="K119" s="120">
        <v>2000</v>
      </c>
      <c r="L119" s="79">
        <f t="shared" si="11"/>
        <v>2000</v>
      </c>
      <c r="N119" s="118" t="s">
        <v>1064</v>
      </c>
      <c r="O119" s="118" t="s">
        <v>78</v>
      </c>
      <c r="P119" s="119">
        <v>2</v>
      </c>
      <c r="Q119" s="120">
        <v>2000</v>
      </c>
      <c r="R119" s="79">
        <f t="shared" si="18"/>
        <v>4000</v>
      </c>
      <c r="T119" s="138" t="s">
        <v>140</v>
      </c>
      <c r="U119" s="138" t="s">
        <v>917</v>
      </c>
      <c r="V119" s="139">
        <v>2</v>
      </c>
      <c r="W119" s="140">
        <v>2000</v>
      </c>
      <c r="X119" s="140">
        <f t="shared" si="19"/>
        <v>4000</v>
      </c>
      <c r="Z119" s="81" t="s">
        <v>140</v>
      </c>
      <c r="AA119" s="81" t="s">
        <v>78</v>
      </c>
      <c r="AB119" s="82">
        <v>1</v>
      </c>
      <c r="AC119" s="80">
        <v>2000</v>
      </c>
      <c r="AD119" s="80">
        <f t="shared" si="14"/>
        <v>2000</v>
      </c>
      <c r="AF119" s="118"/>
      <c r="AG119" s="118"/>
      <c r="AH119" s="119"/>
      <c r="AI119" s="120"/>
      <c r="AJ119" s="120">
        <f t="shared" si="15"/>
        <v>0</v>
      </c>
    </row>
    <row r="120" spans="2:36" x14ac:dyDescent="0.25">
      <c r="B120" s="42" t="s">
        <v>59</v>
      </c>
      <c r="C120" s="42" t="s">
        <v>78</v>
      </c>
      <c r="D120" s="78">
        <v>1</v>
      </c>
      <c r="E120" s="79">
        <v>2000</v>
      </c>
      <c r="F120" s="79">
        <f t="shared" si="16"/>
        <v>2000</v>
      </c>
      <c r="H120" s="118" t="s">
        <v>140</v>
      </c>
      <c r="I120" s="118" t="s">
        <v>78</v>
      </c>
      <c r="J120" s="119">
        <v>1</v>
      </c>
      <c r="K120" s="120">
        <v>2000</v>
      </c>
      <c r="L120" s="79">
        <f t="shared" si="11"/>
        <v>2000</v>
      </c>
      <c r="N120" s="118"/>
      <c r="O120" s="118"/>
      <c r="P120" s="119"/>
      <c r="Q120" s="120"/>
      <c r="R120" s="79">
        <f t="shared" si="18"/>
        <v>0</v>
      </c>
      <c r="T120" s="138" t="s">
        <v>140</v>
      </c>
      <c r="U120" s="138" t="s">
        <v>48</v>
      </c>
      <c r="V120" s="139">
        <v>1</v>
      </c>
      <c r="W120" s="140">
        <v>1500</v>
      </c>
      <c r="X120" s="140">
        <f t="shared" si="19"/>
        <v>1500</v>
      </c>
      <c r="Z120" s="81" t="s">
        <v>140</v>
      </c>
      <c r="AA120" s="81" t="s">
        <v>78</v>
      </c>
      <c r="AB120" s="82">
        <v>1</v>
      </c>
      <c r="AC120" s="80">
        <v>2000</v>
      </c>
      <c r="AD120" s="80">
        <f t="shared" si="14"/>
        <v>2000</v>
      </c>
      <c r="AF120" s="118"/>
      <c r="AG120" s="118"/>
      <c r="AH120" s="119"/>
      <c r="AI120" s="120"/>
      <c r="AJ120" s="120">
        <f t="shared" si="15"/>
        <v>0</v>
      </c>
    </row>
    <row r="121" spans="2:36" x14ac:dyDescent="0.25">
      <c r="B121" s="42" t="s">
        <v>59</v>
      </c>
      <c r="C121" s="42" t="s">
        <v>280</v>
      </c>
      <c r="D121" s="78">
        <v>1</v>
      </c>
      <c r="E121" s="79">
        <v>1500</v>
      </c>
      <c r="F121" s="79">
        <v>1500</v>
      </c>
      <c r="H121" s="118" t="s">
        <v>140</v>
      </c>
      <c r="I121" s="118" t="s">
        <v>78</v>
      </c>
      <c r="J121" s="119">
        <v>1</v>
      </c>
      <c r="K121" s="120">
        <v>2000</v>
      </c>
      <c r="L121" s="79">
        <f t="shared" si="11"/>
        <v>2000</v>
      </c>
      <c r="N121" s="118"/>
      <c r="O121" s="118"/>
      <c r="P121" s="119"/>
      <c r="Q121" s="120"/>
      <c r="R121" s="79">
        <f t="shared" si="18"/>
        <v>0</v>
      </c>
      <c r="T121" s="138" t="s">
        <v>59</v>
      </c>
      <c r="U121" s="138" t="s">
        <v>917</v>
      </c>
      <c r="V121" s="139">
        <v>1</v>
      </c>
      <c r="W121" s="140">
        <v>2000</v>
      </c>
      <c r="X121" s="140">
        <f t="shared" si="19"/>
        <v>2000</v>
      </c>
      <c r="Z121" s="81" t="s">
        <v>140</v>
      </c>
      <c r="AA121" s="81" t="s">
        <v>81</v>
      </c>
      <c r="AB121" s="82">
        <v>1</v>
      </c>
      <c r="AC121" s="80">
        <v>2000</v>
      </c>
      <c r="AD121" s="80">
        <f t="shared" si="14"/>
        <v>2000</v>
      </c>
      <c r="AF121" s="118"/>
      <c r="AG121" s="118"/>
      <c r="AH121" s="119"/>
      <c r="AI121" s="120"/>
      <c r="AJ121" s="120">
        <f t="shared" si="15"/>
        <v>0</v>
      </c>
    </row>
    <row r="122" spans="2:36" x14ac:dyDescent="0.25">
      <c r="B122" s="42" t="s">
        <v>59</v>
      </c>
      <c r="C122" s="42" t="s">
        <v>79</v>
      </c>
      <c r="D122" s="78">
        <v>1</v>
      </c>
      <c r="E122" s="79">
        <v>2000</v>
      </c>
      <c r="F122" s="79">
        <f t="shared" ref="F122:F153" si="20">D122*E122</f>
        <v>2000</v>
      </c>
      <c r="H122" s="118" t="s">
        <v>140</v>
      </c>
      <c r="I122" s="118" t="s">
        <v>81</v>
      </c>
      <c r="J122" s="119">
        <v>1</v>
      </c>
      <c r="K122" s="120">
        <v>2000</v>
      </c>
      <c r="L122" s="79">
        <f t="shared" si="11"/>
        <v>2000</v>
      </c>
      <c r="N122" s="118"/>
      <c r="O122" s="118"/>
      <c r="P122" s="119"/>
      <c r="Q122" s="120"/>
      <c r="R122" s="79">
        <f t="shared" si="18"/>
        <v>0</v>
      </c>
      <c r="T122" s="138" t="s">
        <v>59</v>
      </c>
      <c r="U122" s="138" t="s">
        <v>917</v>
      </c>
      <c r="V122" s="139">
        <v>1</v>
      </c>
      <c r="W122" s="140">
        <v>2000</v>
      </c>
      <c r="X122" s="140">
        <f t="shared" si="19"/>
        <v>2000</v>
      </c>
      <c r="Z122" s="81" t="s">
        <v>140</v>
      </c>
      <c r="AA122" s="81" t="s">
        <v>48</v>
      </c>
      <c r="AB122" s="82">
        <v>1</v>
      </c>
      <c r="AC122" s="80">
        <v>1500</v>
      </c>
      <c r="AD122" s="80">
        <f t="shared" si="14"/>
        <v>1500</v>
      </c>
      <c r="AF122" s="118"/>
      <c r="AG122" s="118"/>
      <c r="AH122" s="119"/>
      <c r="AI122" s="120"/>
      <c r="AJ122" s="120">
        <f t="shared" si="15"/>
        <v>0</v>
      </c>
    </row>
    <row r="123" spans="2:36" x14ac:dyDescent="0.25">
      <c r="B123" s="42" t="s">
        <v>59</v>
      </c>
      <c r="C123" s="42" t="s">
        <v>79</v>
      </c>
      <c r="D123" s="78">
        <v>1</v>
      </c>
      <c r="E123" s="79">
        <v>2000</v>
      </c>
      <c r="F123" s="79">
        <f t="shared" si="20"/>
        <v>2000</v>
      </c>
      <c r="H123" s="118" t="s">
        <v>140</v>
      </c>
      <c r="I123" s="118" t="s">
        <v>78</v>
      </c>
      <c r="J123" s="119">
        <v>1</v>
      </c>
      <c r="K123" s="120">
        <v>2000</v>
      </c>
      <c r="L123" s="79">
        <f t="shared" si="11"/>
        <v>2000</v>
      </c>
      <c r="N123" s="118"/>
      <c r="O123" s="118"/>
      <c r="P123" s="119"/>
      <c r="Q123" s="120"/>
      <c r="R123" s="79">
        <f t="shared" si="18"/>
        <v>0</v>
      </c>
      <c r="T123" s="138" t="s">
        <v>347</v>
      </c>
      <c r="U123" s="138" t="s">
        <v>54</v>
      </c>
      <c r="V123" s="139">
        <v>3</v>
      </c>
      <c r="W123" s="140">
        <v>1000</v>
      </c>
      <c r="X123" s="140">
        <f t="shared" si="19"/>
        <v>3000</v>
      </c>
      <c r="Z123" s="81" t="s">
        <v>140</v>
      </c>
      <c r="AA123" s="81" t="s">
        <v>78</v>
      </c>
      <c r="AB123" s="82">
        <v>1</v>
      </c>
      <c r="AC123" s="80">
        <v>2000</v>
      </c>
      <c r="AD123" s="80">
        <f t="shared" si="14"/>
        <v>2000</v>
      </c>
      <c r="AF123" s="118"/>
      <c r="AG123" s="118"/>
      <c r="AH123" s="119"/>
      <c r="AI123" s="120"/>
      <c r="AJ123" s="120">
        <f t="shared" si="15"/>
        <v>0</v>
      </c>
    </row>
    <row r="124" spans="2:36" x14ac:dyDescent="0.25">
      <c r="B124" s="42" t="s">
        <v>59</v>
      </c>
      <c r="C124" s="42" t="s">
        <v>79</v>
      </c>
      <c r="D124" s="78">
        <v>1</v>
      </c>
      <c r="E124" s="79">
        <v>2000</v>
      </c>
      <c r="F124" s="79">
        <f t="shared" si="20"/>
        <v>2000</v>
      </c>
      <c r="H124" s="118" t="s">
        <v>140</v>
      </c>
      <c r="I124" s="118" t="s">
        <v>81</v>
      </c>
      <c r="J124" s="119">
        <v>1</v>
      </c>
      <c r="K124" s="120">
        <v>2000</v>
      </c>
      <c r="L124" s="79">
        <f t="shared" si="11"/>
        <v>2000</v>
      </c>
      <c r="N124" s="118"/>
      <c r="O124" s="118"/>
      <c r="P124" s="119"/>
      <c r="Q124" s="120"/>
      <c r="R124" s="79">
        <f t="shared" si="18"/>
        <v>0</v>
      </c>
      <c r="T124" s="138" t="s">
        <v>347</v>
      </c>
      <c r="U124" s="138" t="s">
        <v>78</v>
      </c>
      <c r="V124" s="139">
        <v>3</v>
      </c>
      <c r="W124" s="140">
        <v>2000</v>
      </c>
      <c r="X124" s="140">
        <f t="shared" si="19"/>
        <v>6000</v>
      </c>
      <c r="Z124" s="81" t="s">
        <v>140</v>
      </c>
      <c r="AA124" s="81" t="s">
        <v>54</v>
      </c>
      <c r="AB124" s="82">
        <v>1</v>
      </c>
      <c r="AC124" s="80">
        <v>1000</v>
      </c>
      <c r="AD124" s="80">
        <f t="shared" si="14"/>
        <v>1000</v>
      </c>
      <c r="AF124" s="118"/>
      <c r="AG124" s="118"/>
      <c r="AH124" s="119"/>
      <c r="AI124" s="120"/>
      <c r="AJ124" s="120">
        <f t="shared" si="15"/>
        <v>0</v>
      </c>
    </row>
    <row r="125" spans="2:36" x14ac:dyDescent="0.25">
      <c r="B125" s="42" t="s">
        <v>59</v>
      </c>
      <c r="C125" s="42" t="s">
        <v>79</v>
      </c>
      <c r="D125" s="78">
        <v>3</v>
      </c>
      <c r="E125" s="79">
        <v>2000</v>
      </c>
      <c r="F125" s="79">
        <f t="shared" si="20"/>
        <v>6000</v>
      </c>
      <c r="H125" s="118" t="s">
        <v>59</v>
      </c>
      <c r="I125" s="118" t="s">
        <v>79</v>
      </c>
      <c r="J125" s="119">
        <v>2</v>
      </c>
      <c r="K125" s="120">
        <v>2000</v>
      </c>
      <c r="L125" s="79">
        <f t="shared" si="11"/>
        <v>4000</v>
      </c>
      <c r="N125" s="118"/>
      <c r="O125" s="118"/>
      <c r="P125" s="119"/>
      <c r="Q125" s="120"/>
      <c r="R125" s="79">
        <f t="shared" si="18"/>
        <v>0</v>
      </c>
      <c r="T125" s="138" t="s">
        <v>347</v>
      </c>
      <c r="U125" s="138" t="s">
        <v>81</v>
      </c>
      <c r="V125" s="139">
        <v>2</v>
      </c>
      <c r="W125" s="140">
        <v>2000</v>
      </c>
      <c r="X125" s="140">
        <f t="shared" si="19"/>
        <v>4000</v>
      </c>
      <c r="Z125" s="81" t="s">
        <v>140</v>
      </c>
      <c r="AA125" s="81" t="s">
        <v>78</v>
      </c>
      <c r="AB125" s="82">
        <v>1</v>
      </c>
      <c r="AC125" s="80">
        <v>2000</v>
      </c>
      <c r="AD125" s="80">
        <f t="shared" si="14"/>
        <v>2000</v>
      </c>
      <c r="AF125" s="118"/>
      <c r="AG125" s="118"/>
      <c r="AH125" s="119"/>
      <c r="AI125" s="120"/>
      <c r="AJ125" s="120">
        <f t="shared" si="15"/>
        <v>0</v>
      </c>
    </row>
    <row r="126" spans="2:36" x14ac:dyDescent="0.25">
      <c r="B126" s="42" t="s">
        <v>59</v>
      </c>
      <c r="C126" s="42" t="s">
        <v>79</v>
      </c>
      <c r="D126" s="78">
        <v>1</v>
      </c>
      <c r="E126" s="79">
        <v>2000</v>
      </c>
      <c r="F126" s="79">
        <f t="shared" si="20"/>
        <v>2000</v>
      </c>
      <c r="H126" s="137" t="s">
        <v>925</v>
      </c>
      <c r="I126" s="81" t="s">
        <v>246</v>
      </c>
      <c r="J126" s="82">
        <v>1</v>
      </c>
      <c r="K126" s="80">
        <v>1500</v>
      </c>
      <c r="L126" s="80">
        <f t="shared" si="11"/>
        <v>1500</v>
      </c>
      <c r="N126" s="122"/>
      <c r="O126" s="118"/>
      <c r="P126" s="119"/>
      <c r="Q126" s="120"/>
      <c r="R126" s="79">
        <f t="shared" si="18"/>
        <v>0</v>
      </c>
      <c r="T126" s="138" t="s">
        <v>347</v>
      </c>
      <c r="U126" s="138" t="s">
        <v>78</v>
      </c>
      <c r="V126" s="139">
        <v>3</v>
      </c>
      <c r="W126" s="140">
        <v>2000</v>
      </c>
      <c r="X126" s="140">
        <f t="shared" si="19"/>
        <v>6000</v>
      </c>
      <c r="Z126" s="81" t="s">
        <v>140</v>
      </c>
      <c r="AA126" s="81" t="s">
        <v>78</v>
      </c>
      <c r="AB126" s="82">
        <v>1</v>
      </c>
      <c r="AC126" s="80">
        <v>2000</v>
      </c>
      <c r="AD126" s="80">
        <f t="shared" si="14"/>
        <v>2000</v>
      </c>
      <c r="AF126" s="118"/>
      <c r="AG126" s="118"/>
      <c r="AH126" s="119"/>
      <c r="AI126" s="120"/>
      <c r="AJ126" s="120">
        <f t="shared" si="15"/>
        <v>0</v>
      </c>
    </row>
    <row r="127" spans="2:36" x14ac:dyDescent="0.25">
      <c r="B127" s="42" t="s">
        <v>59</v>
      </c>
      <c r="C127" s="42" t="s">
        <v>79</v>
      </c>
      <c r="D127" s="78">
        <v>1</v>
      </c>
      <c r="E127" s="79">
        <v>2000</v>
      </c>
      <c r="F127" s="79">
        <f t="shared" si="20"/>
        <v>2000</v>
      </c>
      <c r="H127" s="137" t="s">
        <v>925</v>
      </c>
      <c r="I127" s="81" t="s">
        <v>917</v>
      </c>
      <c r="J127" s="82">
        <v>1</v>
      </c>
      <c r="K127" s="80">
        <v>2000</v>
      </c>
      <c r="L127" s="80">
        <f t="shared" si="11"/>
        <v>2000</v>
      </c>
      <c r="N127" s="122"/>
      <c r="O127" s="118"/>
      <c r="P127" s="119"/>
      <c r="Q127" s="120"/>
      <c r="R127" s="79">
        <f t="shared" si="18"/>
        <v>0</v>
      </c>
      <c r="T127" s="138" t="s">
        <v>582</v>
      </c>
      <c r="U127" s="138" t="s">
        <v>81</v>
      </c>
      <c r="V127" s="139">
        <v>2</v>
      </c>
      <c r="W127" s="140">
        <v>2000</v>
      </c>
      <c r="X127" s="140">
        <f t="shared" si="19"/>
        <v>4000</v>
      </c>
      <c r="Z127" s="81" t="s">
        <v>140</v>
      </c>
      <c r="AA127" s="81" t="s">
        <v>78</v>
      </c>
      <c r="AB127" s="82">
        <v>1</v>
      </c>
      <c r="AC127" s="80">
        <v>2000</v>
      </c>
      <c r="AD127" s="80">
        <f t="shared" si="14"/>
        <v>2000</v>
      </c>
      <c r="AF127" s="118"/>
      <c r="AG127" s="118"/>
      <c r="AH127" s="119"/>
      <c r="AI127" s="120"/>
      <c r="AJ127" s="120">
        <f t="shared" si="15"/>
        <v>0</v>
      </c>
    </row>
    <row r="128" spans="2:36" x14ac:dyDescent="0.25">
      <c r="B128" s="42" t="s">
        <v>59</v>
      </c>
      <c r="C128" s="42" t="s">
        <v>79</v>
      </c>
      <c r="D128" s="78">
        <v>1</v>
      </c>
      <c r="E128" s="79">
        <v>2000</v>
      </c>
      <c r="F128" s="79">
        <f t="shared" si="20"/>
        <v>2000</v>
      </c>
      <c r="H128" s="81" t="s">
        <v>925</v>
      </c>
      <c r="I128" s="81" t="s">
        <v>917</v>
      </c>
      <c r="J128" s="82">
        <v>1</v>
      </c>
      <c r="K128" s="80">
        <v>2000</v>
      </c>
      <c r="L128" s="80">
        <f t="shared" si="11"/>
        <v>2000</v>
      </c>
      <c r="N128" s="118"/>
      <c r="O128" s="118"/>
      <c r="P128" s="119"/>
      <c r="Q128" s="120"/>
      <c r="R128" s="79">
        <f t="shared" si="18"/>
        <v>0</v>
      </c>
      <c r="T128" s="138" t="s">
        <v>582</v>
      </c>
      <c r="U128" s="138" t="s">
        <v>48</v>
      </c>
      <c r="V128" s="139">
        <v>1</v>
      </c>
      <c r="W128" s="140">
        <v>1500</v>
      </c>
      <c r="X128" s="140">
        <f t="shared" si="19"/>
        <v>1500</v>
      </c>
      <c r="Z128" s="81" t="s">
        <v>140</v>
      </c>
      <c r="AA128" s="81" t="s">
        <v>81</v>
      </c>
      <c r="AB128" s="82">
        <v>1</v>
      </c>
      <c r="AC128" s="80">
        <v>2000</v>
      </c>
      <c r="AD128" s="80">
        <f t="shared" si="14"/>
        <v>2000</v>
      </c>
      <c r="AF128" s="118"/>
      <c r="AG128" s="118"/>
      <c r="AH128" s="119"/>
      <c r="AI128" s="120"/>
      <c r="AJ128" s="120">
        <f t="shared" si="15"/>
        <v>0</v>
      </c>
    </row>
    <row r="129" spans="2:36" x14ac:dyDescent="0.25">
      <c r="B129" s="42" t="s">
        <v>59</v>
      </c>
      <c r="C129" s="42" t="s">
        <v>78</v>
      </c>
      <c r="D129" s="78">
        <v>3</v>
      </c>
      <c r="E129" s="79">
        <v>2000</v>
      </c>
      <c r="F129" s="79">
        <f t="shared" si="20"/>
        <v>6000</v>
      </c>
      <c r="H129" s="81" t="s">
        <v>925</v>
      </c>
      <c r="I129" s="81" t="s">
        <v>27</v>
      </c>
      <c r="J129" s="82">
        <v>1</v>
      </c>
      <c r="K129" s="80">
        <v>1500</v>
      </c>
      <c r="L129" s="80">
        <f t="shared" si="11"/>
        <v>1500</v>
      </c>
      <c r="N129" s="118"/>
      <c r="O129" s="118"/>
      <c r="P129" s="119"/>
      <c r="Q129" s="120"/>
      <c r="R129" s="79">
        <f t="shared" si="18"/>
        <v>0</v>
      </c>
      <c r="T129" s="138" t="s">
        <v>582</v>
      </c>
      <c r="U129" s="138" t="s">
        <v>48</v>
      </c>
      <c r="V129" s="139">
        <v>2</v>
      </c>
      <c r="W129" s="140">
        <v>1500</v>
      </c>
      <c r="X129" s="140">
        <f t="shared" si="19"/>
        <v>3000</v>
      </c>
      <c r="Z129" s="81" t="s">
        <v>140</v>
      </c>
      <c r="AA129" s="81" t="s">
        <v>78</v>
      </c>
      <c r="AB129" s="82">
        <v>1</v>
      </c>
      <c r="AC129" s="80">
        <v>2000</v>
      </c>
      <c r="AD129" s="80">
        <f t="shared" si="14"/>
        <v>2000</v>
      </c>
      <c r="AF129" s="118"/>
      <c r="AG129" s="118"/>
      <c r="AH129" s="119"/>
      <c r="AI129" s="120"/>
      <c r="AJ129" s="120">
        <f t="shared" si="15"/>
        <v>0</v>
      </c>
    </row>
    <row r="130" spans="2:36" x14ac:dyDescent="0.25">
      <c r="B130" s="42" t="s">
        <v>59</v>
      </c>
      <c r="C130" s="42" t="s">
        <v>81</v>
      </c>
      <c r="D130" s="78">
        <v>1</v>
      </c>
      <c r="E130" s="79">
        <v>2000</v>
      </c>
      <c r="F130" s="79">
        <f t="shared" si="20"/>
        <v>2000</v>
      </c>
      <c r="H130" s="81" t="s">
        <v>925</v>
      </c>
      <c r="I130" s="81" t="s">
        <v>246</v>
      </c>
      <c r="J130" s="82">
        <v>1</v>
      </c>
      <c r="K130" s="80">
        <v>1500</v>
      </c>
      <c r="L130" s="80">
        <f t="shared" si="11"/>
        <v>1500</v>
      </c>
      <c r="N130" s="118"/>
      <c r="O130" s="118"/>
      <c r="P130" s="119"/>
      <c r="Q130" s="120"/>
      <c r="R130" s="79">
        <f t="shared" si="18"/>
        <v>0</v>
      </c>
      <c r="T130" s="138" t="s">
        <v>582</v>
      </c>
      <c r="U130" s="138" t="s">
        <v>48</v>
      </c>
      <c r="V130" s="139">
        <v>1</v>
      </c>
      <c r="W130" s="140">
        <v>1500</v>
      </c>
      <c r="X130" s="140">
        <f t="shared" si="19"/>
        <v>1500</v>
      </c>
      <c r="Z130" s="138" t="s">
        <v>59</v>
      </c>
      <c r="AA130" s="138" t="s">
        <v>81</v>
      </c>
      <c r="AB130" s="139">
        <v>1</v>
      </c>
      <c r="AC130" s="140">
        <v>2000</v>
      </c>
      <c r="AD130" s="140">
        <f t="shared" si="14"/>
        <v>2000</v>
      </c>
      <c r="AF130" s="118"/>
      <c r="AG130" s="118"/>
      <c r="AH130" s="119"/>
      <c r="AI130" s="120"/>
      <c r="AJ130" s="120">
        <f t="shared" si="15"/>
        <v>0</v>
      </c>
    </row>
    <row r="131" spans="2:36" x14ac:dyDescent="0.25">
      <c r="B131" s="42" t="s">
        <v>59</v>
      </c>
      <c r="C131" s="42" t="s">
        <v>81</v>
      </c>
      <c r="D131" s="78">
        <v>2</v>
      </c>
      <c r="E131" s="79">
        <v>2000</v>
      </c>
      <c r="F131" s="79">
        <f t="shared" si="20"/>
        <v>4000</v>
      </c>
      <c r="H131" s="81" t="s">
        <v>925</v>
      </c>
      <c r="I131" s="81" t="s">
        <v>78</v>
      </c>
      <c r="J131" s="82">
        <v>1</v>
      </c>
      <c r="K131" s="80">
        <v>2000</v>
      </c>
      <c r="L131" s="80">
        <f t="shared" si="11"/>
        <v>2000</v>
      </c>
      <c r="N131" s="118"/>
      <c r="O131" s="118"/>
      <c r="P131" s="119"/>
      <c r="Q131" s="120"/>
      <c r="R131" s="79">
        <f t="shared" si="18"/>
        <v>0</v>
      </c>
      <c r="T131" s="138" t="s">
        <v>582</v>
      </c>
      <c r="U131" s="138" t="s">
        <v>48</v>
      </c>
      <c r="V131" s="139">
        <v>1</v>
      </c>
      <c r="W131" s="140">
        <v>1500</v>
      </c>
      <c r="X131" s="140">
        <f t="shared" si="19"/>
        <v>1500</v>
      </c>
      <c r="Z131" s="138" t="s">
        <v>59</v>
      </c>
      <c r="AA131" s="138" t="s">
        <v>917</v>
      </c>
      <c r="AB131" s="139">
        <v>1</v>
      </c>
      <c r="AC131" s="140">
        <v>2000</v>
      </c>
      <c r="AD131" s="140">
        <f t="shared" si="14"/>
        <v>2000</v>
      </c>
      <c r="AF131" s="118"/>
      <c r="AG131" s="118"/>
      <c r="AH131" s="119"/>
      <c r="AI131" s="120"/>
      <c r="AJ131" s="120">
        <f t="shared" si="15"/>
        <v>0</v>
      </c>
    </row>
    <row r="132" spans="2:36" x14ac:dyDescent="0.25">
      <c r="B132" s="42" t="s">
        <v>59</v>
      </c>
      <c r="C132" s="42" t="s">
        <v>78</v>
      </c>
      <c r="D132" s="78">
        <v>1</v>
      </c>
      <c r="E132" s="79">
        <v>2000</v>
      </c>
      <c r="F132" s="79">
        <f t="shared" si="20"/>
        <v>2000</v>
      </c>
      <c r="H132" s="81" t="s">
        <v>925</v>
      </c>
      <c r="I132" s="81" t="s">
        <v>78</v>
      </c>
      <c r="J132" s="82">
        <v>2</v>
      </c>
      <c r="K132" s="80">
        <v>2000</v>
      </c>
      <c r="L132" s="80">
        <f t="shared" ref="L132:L195" si="21">J132*K132</f>
        <v>4000</v>
      </c>
      <c r="N132" s="118"/>
      <c r="O132" s="118"/>
      <c r="P132" s="119"/>
      <c r="Q132" s="120"/>
      <c r="R132" s="79">
        <f t="shared" si="18"/>
        <v>0</v>
      </c>
      <c r="T132" s="138" t="s">
        <v>582</v>
      </c>
      <c r="U132" s="138" t="s">
        <v>246</v>
      </c>
      <c r="V132" s="139">
        <v>2</v>
      </c>
      <c r="W132" s="140">
        <v>1500</v>
      </c>
      <c r="X132" s="140">
        <f t="shared" si="19"/>
        <v>3000</v>
      </c>
      <c r="Z132" s="138" t="s">
        <v>59</v>
      </c>
      <c r="AA132" s="138" t="s">
        <v>81</v>
      </c>
      <c r="AB132" s="139">
        <v>1</v>
      </c>
      <c r="AC132" s="140">
        <v>2000</v>
      </c>
      <c r="AD132" s="140">
        <f t="shared" ref="AD132:AD195" si="22">AB132*AC132</f>
        <v>2000</v>
      </c>
      <c r="AF132" s="118"/>
      <c r="AG132" s="118"/>
      <c r="AH132" s="119"/>
      <c r="AI132" s="120"/>
      <c r="AJ132" s="120">
        <f t="shared" ref="AJ132:AJ195" si="23">AH132*AI132</f>
        <v>0</v>
      </c>
    </row>
    <row r="133" spans="2:36" x14ac:dyDescent="0.25">
      <c r="B133" s="42" t="s">
        <v>59</v>
      </c>
      <c r="C133" s="42" t="s">
        <v>81</v>
      </c>
      <c r="D133" s="78">
        <v>1</v>
      </c>
      <c r="E133" s="79">
        <v>2000</v>
      </c>
      <c r="F133" s="79">
        <f t="shared" si="20"/>
        <v>2000</v>
      </c>
      <c r="H133" s="81" t="s">
        <v>925</v>
      </c>
      <c r="I133" s="81" t="s">
        <v>81</v>
      </c>
      <c r="J133" s="82">
        <v>1</v>
      </c>
      <c r="K133" s="80">
        <v>2000</v>
      </c>
      <c r="L133" s="80">
        <f t="shared" si="21"/>
        <v>2000</v>
      </c>
      <c r="N133" s="118"/>
      <c r="O133" s="118"/>
      <c r="P133" s="119"/>
      <c r="Q133" s="120"/>
      <c r="R133" s="79">
        <f t="shared" si="18"/>
        <v>0</v>
      </c>
      <c r="T133" s="138" t="s">
        <v>582</v>
      </c>
      <c r="U133" s="138" t="s">
        <v>246</v>
      </c>
      <c r="V133" s="139">
        <v>1</v>
      </c>
      <c r="W133" s="140">
        <v>1500</v>
      </c>
      <c r="X133" s="140">
        <f t="shared" si="19"/>
        <v>1500</v>
      </c>
      <c r="Z133" s="138" t="s">
        <v>59</v>
      </c>
      <c r="AA133" s="138" t="s">
        <v>917</v>
      </c>
      <c r="AB133" s="139">
        <v>1</v>
      </c>
      <c r="AC133" s="140">
        <v>2000</v>
      </c>
      <c r="AD133" s="140">
        <f t="shared" si="22"/>
        <v>2000</v>
      </c>
      <c r="AF133" s="118"/>
      <c r="AG133" s="118"/>
      <c r="AH133" s="119"/>
      <c r="AI133" s="120"/>
      <c r="AJ133" s="120">
        <f t="shared" si="23"/>
        <v>0</v>
      </c>
    </row>
    <row r="134" spans="2:36" x14ac:dyDescent="0.25">
      <c r="B134" s="42" t="s">
        <v>59</v>
      </c>
      <c r="C134" s="42" t="s">
        <v>81</v>
      </c>
      <c r="D134" s="78">
        <v>1</v>
      </c>
      <c r="E134" s="79">
        <v>2000</v>
      </c>
      <c r="F134" s="79">
        <f t="shared" si="20"/>
        <v>2000</v>
      </c>
      <c r="H134" s="81" t="s">
        <v>925</v>
      </c>
      <c r="I134" s="81" t="s">
        <v>81</v>
      </c>
      <c r="J134" s="82">
        <v>1</v>
      </c>
      <c r="K134" s="80">
        <v>2000</v>
      </c>
      <c r="L134" s="80">
        <f t="shared" si="21"/>
        <v>2000</v>
      </c>
      <c r="N134" s="118"/>
      <c r="O134" s="118"/>
      <c r="P134" s="119"/>
      <c r="Q134" s="120"/>
      <c r="R134" s="79">
        <f t="shared" si="18"/>
        <v>0</v>
      </c>
      <c r="T134" s="138" t="s">
        <v>582</v>
      </c>
      <c r="U134" s="138" t="s">
        <v>81</v>
      </c>
      <c r="V134" s="139">
        <v>1</v>
      </c>
      <c r="W134" s="140">
        <v>2000</v>
      </c>
      <c r="X134" s="140">
        <f t="shared" si="19"/>
        <v>2000</v>
      </c>
      <c r="Z134" s="81" t="s">
        <v>1251</v>
      </c>
      <c r="AA134" s="81" t="s">
        <v>917</v>
      </c>
      <c r="AB134" s="82">
        <v>1</v>
      </c>
      <c r="AC134" s="80">
        <v>2000</v>
      </c>
      <c r="AD134" s="80">
        <f t="shared" si="22"/>
        <v>2000</v>
      </c>
      <c r="AF134" s="118"/>
      <c r="AG134" s="118"/>
      <c r="AH134" s="119"/>
      <c r="AI134" s="120"/>
      <c r="AJ134" s="120">
        <f t="shared" si="23"/>
        <v>0</v>
      </c>
    </row>
    <row r="135" spans="2:36" x14ac:dyDescent="0.25">
      <c r="B135" s="42" t="s">
        <v>245</v>
      </c>
      <c r="C135" s="42" t="s">
        <v>81</v>
      </c>
      <c r="D135" s="78">
        <v>1</v>
      </c>
      <c r="E135" s="79">
        <v>2000</v>
      </c>
      <c r="F135" s="79">
        <f t="shared" si="20"/>
        <v>2000</v>
      </c>
      <c r="H135" s="118" t="s">
        <v>1037</v>
      </c>
      <c r="I135" s="118" t="s">
        <v>81</v>
      </c>
      <c r="J135" s="119">
        <v>1</v>
      </c>
      <c r="K135" s="120">
        <v>2000</v>
      </c>
      <c r="L135" s="79">
        <f t="shared" si="21"/>
        <v>2000</v>
      </c>
      <c r="N135" s="118"/>
      <c r="O135" s="118"/>
      <c r="P135" s="119"/>
      <c r="Q135" s="120"/>
      <c r="R135" s="79">
        <f t="shared" ref="R135:R166" si="24">P135*Q135</f>
        <v>0</v>
      </c>
      <c r="T135" s="138" t="s">
        <v>582</v>
      </c>
      <c r="U135" s="138" t="s">
        <v>81</v>
      </c>
      <c r="V135" s="139">
        <v>1</v>
      </c>
      <c r="W135" s="140">
        <v>2000</v>
      </c>
      <c r="X135" s="140">
        <f t="shared" si="19"/>
        <v>2000</v>
      </c>
      <c r="Z135" s="81" t="s">
        <v>582</v>
      </c>
      <c r="AA135" s="81" t="s">
        <v>81</v>
      </c>
      <c r="AB135" s="82">
        <v>1</v>
      </c>
      <c r="AC135" s="80">
        <v>2000</v>
      </c>
      <c r="AD135" s="80">
        <f t="shared" si="22"/>
        <v>2000</v>
      </c>
      <c r="AF135" s="118"/>
      <c r="AG135" s="118"/>
      <c r="AH135" s="119"/>
      <c r="AI135" s="120"/>
      <c r="AJ135" s="120">
        <f t="shared" si="23"/>
        <v>0</v>
      </c>
    </row>
    <row r="136" spans="2:36" x14ac:dyDescent="0.25">
      <c r="B136" s="42" t="s">
        <v>245</v>
      </c>
      <c r="C136" s="42" t="s">
        <v>54</v>
      </c>
      <c r="D136" s="78">
        <v>1</v>
      </c>
      <c r="E136" s="79">
        <v>1000</v>
      </c>
      <c r="F136" s="79">
        <f t="shared" si="20"/>
        <v>1000</v>
      </c>
      <c r="H136" s="118" t="s">
        <v>1037</v>
      </c>
      <c r="I136" s="118" t="s">
        <v>78</v>
      </c>
      <c r="J136" s="119">
        <v>1</v>
      </c>
      <c r="K136" s="120">
        <v>2000</v>
      </c>
      <c r="L136" s="79">
        <f t="shared" si="21"/>
        <v>2000</v>
      </c>
      <c r="N136" s="118"/>
      <c r="O136" s="118"/>
      <c r="P136" s="119"/>
      <c r="Q136" s="120"/>
      <c r="R136" s="79">
        <f t="shared" si="24"/>
        <v>0</v>
      </c>
      <c r="T136" s="138" t="s">
        <v>582</v>
      </c>
      <c r="U136" s="138" t="s">
        <v>48</v>
      </c>
      <c r="V136" s="139">
        <v>1</v>
      </c>
      <c r="W136" s="140">
        <v>1500</v>
      </c>
      <c r="X136" s="140">
        <f t="shared" si="19"/>
        <v>1500</v>
      </c>
      <c r="Z136" s="81" t="s">
        <v>582</v>
      </c>
      <c r="AA136" s="81" t="s">
        <v>78</v>
      </c>
      <c r="AB136" s="82">
        <v>1</v>
      </c>
      <c r="AC136" s="80">
        <v>2000</v>
      </c>
      <c r="AD136" s="80">
        <f t="shared" si="22"/>
        <v>2000</v>
      </c>
      <c r="AF136" s="118"/>
      <c r="AG136" s="118"/>
      <c r="AH136" s="119"/>
      <c r="AI136" s="120"/>
      <c r="AJ136" s="120">
        <f t="shared" si="23"/>
        <v>0</v>
      </c>
    </row>
    <row r="137" spans="2:36" x14ac:dyDescent="0.25">
      <c r="B137" s="42" t="s">
        <v>245</v>
      </c>
      <c r="C137" s="42" t="s">
        <v>280</v>
      </c>
      <c r="D137" s="78">
        <v>1</v>
      </c>
      <c r="E137" s="79">
        <v>1500</v>
      </c>
      <c r="F137" s="79">
        <f t="shared" si="20"/>
        <v>1500</v>
      </c>
      <c r="H137" s="118" t="s">
        <v>1037</v>
      </c>
      <c r="I137" s="118" t="s">
        <v>81</v>
      </c>
      <c r="J137" s="119">
        <v>1</v>
      </c>
      <c r="K137" s="120">
        <v>2000</v>
      </c>
      <c r="L137" s="79">
        <f t="shared" si="21"/>
        <v>2000</v>
      </c>
      <c r="N137" s="118"/>
      <c r="O137" s="118"/>
      <c r="P137" s="119"/>
      <c r="Q137" s="120"/>
      <c r="R137" s="79">
        <f t="shared" si="24"/>
        <v>0</v>
      </c>
      <c r="T137" s="138" t="s">
        <v>582</v>
      </c>
      <c r="U137" s="138" t="s">
        <v>48</v>
      </c>
      <c r="V137" s="139">
        <v>2</v>
      </c>
      <c r="W137" s="140">
        <v>1500</v>
      </c>
      <c r="X137" s="140">
        <f t="shared" si="19"/>
        <v>3000</v>
      </c>
      <c r="Z137" s="81" t="s">
        <v>582</v>
      </c>
      <c r="AA137" s="81" t="s">
        <v>917</v>
      </c>
      <c r="AB137" s="82">
        <v>1</v>
      </c>
      <c r="AC137" s="80">
        <v>2000</v>
      </c>
      <c r="AD137" s="80">
        <f t="shared" si="22"/>
        <v>2000</v>
      </c>
      <c r="AF137" s="118"/>
      <c r="AG137" s="118"/>
      <c r="AH137" s="119"/>
      <c r="AI137" s="120"/>
      <c r="AJ137" s="120">
        <f t="shared" si="23"/>
        <v>0</v>
      </c>
    </row>
    <row r="138" spans="2:36" x14ac:dyDescent="0.25">
      <c r="B138" s="42" t="s">
        <v>245</v>
      </c>
      <c r="C138" s="42" t="s">
        <v>54</v>
      </c>
      <c r="D138" s="78">
        <v>1</v>
      </c>
      <c r="E138" s="79">
        <v>1000</v>
      </c>
      <c r="F138" s="79">
        <f t="shared" si="20"/>
        <v>1000</v>
      </c>
      <c r="H138" s="118" t="s">
        <v>347</v>
      </c>
      <c r="I138" s="118" t="s">
        <v>78</v>
      </c>
      <c r="J138" s="119">
        <v>10</v>
      </c>
      <c r="K138" s="120">
        <v>2000</v>
      </c>
      <c r="L138" s="79">
        <f t="shared" si="21"/>
        <v>20000</v>
      </c>
      <c r="N138" s="118"/>
      <c r="O138" s="118"/>
      <c r="P138" s="119"/>
      <c r="Q138" s="120"/>
      <c r="R138" s="79">
        <f t="shared" si="24"/>
        <v>0</v>
      </c>
      <c r="T138" s="138" t="s">
        <v>582</v>
      </c>
      <c r="U138" s="138" t="s">
        <v>48</v>
      </c>
      <c r="V138" s="139">
        <v>1</v>
      </c>
      <c r="W138" s="140">
        <v>1500</v>
      </c>
      <c r="X138" s="140">
        <f t="shared" si="19"/>
        <v>1500</v>
      </c>
      <c r="Z138" s="81" t="s">
        <v>582</v>
      </c>
      <c r="AA138" s="81" t="s">
        <v>81</v>
      </c>
      <c r="AB138" s="82">
        <v>2</v>
      </c>
      <c r="AC138" s="80">
        <v>2000</v>
      </c>
      <c r="AD138" s="80">
        <f t="shared" si="22"/>
        <v>4000</v>
      </c>
      <c r="AF138" s="118"/>
      <c r="AG138" s="118"/>
      <c r="AH138" s="119"/>
      <c r="AI138" s="120"/>
      <c r="AJ138" s="120">
        <f t="shared" si="23"/>
        <v>0</v>
      </c>
    </row>
    <row r="139" spans="2:36" x14ac:dyDescent="0.25">
      <c r="B139" s="42" t="s">
        <v>245</v>
      </c>
      <c r="C139" s="42" t="s">
        <v>244</v>
      </c>
      <c r="D139" s="78">
        <v>2</v>
      </c>
      <c r="E139" s="79">
        <v>2000</v>
      </c>
      <c r="F139" s="79">
        <f t="shared" si="20"/>
        <v>4000</v>
      </c>
      <c r="H139" s="118" t="s">
        <v>347</v>
      </c>
      <c r="I139" s="118" t="s">
        <v>81</v>
      </c>
      <c r="J139" s="119">
        <v>7</v>
      </c>
      <c r="K139" s="120">
        <v>2000</v>
      </c>
      <c r="L139" s="79">
        <f t="shared" si="21"/>
        <v>14000</v>
      </c>
      <c r="N139" s="118"/>
      <c r="O139" s="118"/>
      <c r="P139" s="119"/>
      <c r="Q139" s="120"/>
      <c r="R139" s="79">
        <f t="shared" si="24"/>
        <v>0</v>
      </c>
      <c r="T139" s="138" t="s">
        <v>582</v>
      </c>
      <c r="U139" s="138" t="s">
        <v>48</v>
      </c>
      <c r="V139" s="139">
        <v>1</v>
      </c>
      <c r="W139" s="140">
        <v>1500</v>
      </c>
      <c r="X139" s="140">
        <f t="shared" si="19"/>
        <v>1500</v>
      </c>
      <c r="Z139" s="81" t="s">
        <v>582</v>
      </c>
      <c r="AA139" s="81" t="s">
        <v>48</v>
      </c>
      <c r="AB139" s="82">
        <v>1</v>
      </c>
      <c r="AC139" s="80">
        <v>1500</v>
      </c>
      <c r="AD139" s="80">
        <f t="shared" si="22"/>
        <v>1500</v>
      </c>
      <c r="AF139" s="118"/>
      <c r="AG139" s="118"/>
      <c r="AH139" s="119"/>
      <c r="AI139" s="120"/>
      <c r="AJ139" s="120">
        <f t="shared" si="23"/>
        <v>0</v>
      </c>
    </row>
    <row r="140" spans="2:36" x14ac:dyDescent="0.25">
      <c r="B140" s="42" t="s">
        <v>245</v>
      </c>
      <c r="C140" s="42" t="s">
        <v>54</v>
      </c>
      <c r="D140" s="78">
        <v>3</v>
      </c>
      <c r="E140" s="79">
        <v>1000</v>
      </c>
      <c r="F140" s="79">
        <f t="shared" si="20"/>
        <v>3000</v>
      </c>
      <c r="H140" s="118" t="s">
        <v>347</v>
      </c>
      <c r="I140" s="118" t="s">
        <v>78</v>
      </c>
      <c r="J140" s="119">
        <v>9</v>
      </c>
      <c r="K140" s="120">
        <v>2000</v>
      </c>
      <c r="L140" s="79">
        <f t="shared" si="21"/>
        <v>18000</v>
      </c>
      <c r="N140" s="118"/>
      <c r="O140" s="118"/>
      <c r="P140" s="119"/>
      <c r="Q140" s="120"/>
      <c r="R140" s="79">
        <f t="shared" si="24"/>
        <v>0</v>
      </c>
      <c r="T140" s="138" t="s">
        <v>582</v>
      </c>
      <c r="U140" s="138" t="s">
        <v>246</v>
      </c>
      <c r="V140" s="139">
        <v>1</v>
      </c>
      <c r="W140" s="140">
        <v>1500</v>
      </c>
      <c r="X140" s="140">
        <f t="shared" si="19"/>
        <v>1500</v>
      </c>
      <c r="Z140" s="81" t="s">
        <v>582</v>
      </c>
      <c r="AA140" s="81" t="s">
        <v>48</v>
      </c>
      <c r="AB140" s="82">
        <v>2</v>
      </c>
      <c r="AC140" s="80">
        <v>1500</v>
      </c>
      <c r="AD140" s="80">
        <f t="shared" si="22"/>
        <v>3000</v>
      </c>
      <c r="AF140" s="118"/>
      <c r="AG140" s="118"/>
      <c r="AH140" s="119"/>
      <c r="AI140" s="120"/>
      <c r="AJ140" s="120">
        <f t="shared" si="23"/>
        <v>0</v>
      </c>
    </row>
    <row r="141" spans="2:36" x14ac:dyDescent="0.25">
      <c r="B141" s="42" t="s">
        <v>245</v>
      </c>
      <c r="C141" s="42" t="s">
        <v>48</v>
      </c>
      <c r="D141" s="78">
        <v>1</v>
      </c>
      <c r="E141" s="79">
        <v>1500</v>
      </c>
      <c r="F141" s="79">
        <f t="shared" si="20"/>
        <v>1500</v>
      </c>
      <c r="H141" s="118" t="s">
        <v>347</v>
      </c>
      <c r="I141" s="118" t="s">
        <v>78</v>
      </c>
      <c r="J141" s="119">
        <v>7</v>
      </c>
      <c r="K141" s="120">
        <v>2000</v>
      </c>
      <c r="L141" s="79">
        <f t="shared" si="21"/>
        <v>14000</v>
      </c>
      <c r="N141" s="118"/>
      <c r="O141" s="118"/>
      <c r="P141" s="119"/>
      <c r="Q141" s="120"/>
      <c r="R141" s="79">
        <f t="shared" si="24"/>
        <v>0</v>
      </c>
      <c r="T141" s="138" t="s">
        <v>582</v>
      </c>
      <c r="U141" s="138" t="s">
        <v>246</v>
      </c>
      <c r="V141" s="139">
        <v>1</v>
      </c>
      <c r="W141" s="140">
        <v>1500</v>
      </c>
      <c r="X141" s="140">
        <f t="shared" si="19"/>
        <v>1500</v>
      </c>
      <c r="Z141" s="81" t="s">
        <v>582</v>
      </c>
      <c r="AA141" s="81" t="s">
        <v>48</v>
      </c>
      <c r="AB141" s="82">
        <v>1</v>
      </c>
      <c r="AC141" s="80">
        <v>1500</v>
      </c>
      <c r="AD141" s="80">
        <f t="shared" si="22"/>
        <v>1500</v>
      </c>
      <c r="AF141" s="118"/>
      <c r="AG141" s="118"/>
      <c r="AH141" s="119"/>
      <c r="AI141" s="120"/>
      <c r="AJ141" s="120">
        <f t="shared" si="23"/>
        <v>0</v>
      </c>
    </row>
    <row r="142" spans="2:36" x14ac:dyDescent="0.25">
      <c r="B142" s="42" t="s">
        <v>245</v>
      </c>
      <c r="C142" s="42" t="s">
        <v>81</v>
      </c>
      <c r="D142" s="78">
        <v>1</v>
      </c>
      <c r="E142" s="79">
        <v>2000</v>
      </c>
      <c r="F142" s="79">
        <f t="shared" si="20"/>
        <v>2000</v>
      </c>
      <c r="H142" s="118" t="s">
        <v>347</v>
      </c>
      <c r="I142" s="118" t="s">
        <v>79</v>
      </c>
      <c r="J142" s="119">
        <v>2</v>
      </c>
      <c r="K142" s="120">
        <v>2000</v>
      </c>
      <c r="L142" s="79">
        <f t="shared" si="21"/>
        <v>4000</v>
      </c>
      <c r="N142" s="118"/>
      <c r="O142" s="118"/>
      <c r="P142" s="119"/>
      <c r="Q142" s="120"/>
      <c r="R142" s="79">
        <f t="shared" si="24"/>
        <v>0</v>
      </c>
      <c r="T142" s="138"/>
      <c r="U142" s="138"/>
      <c r="V142" s="139"/>
      <c r="W142" s="140"/>
      <c r="X142" s="140">
        <f t="shared" si="19"/>
        <v>0</v>
      </c>
      <c r="Z142" s="81" t="s">
        <v>582</v>
      </c>
      <c r="AA142" s="81" t="s">
        <v>48</v>
      </c>
      <c r="AB142" s="82">
        <v>1</v>
      </c>
      <c r="AC142" s="80">
        <v>1500</v>
      </c>
      <c r="AD142" s="80">
        <f t="shared" si="22"/>
        <v>1500</v>
      </c>
      <c r="AF142" s="118"/>
      <c r="AG142" s="118"/>
      <c r="AH142" s="119"/>
      <c r="AI142" s="120"/>
      <c r="AJ142" s="120">
        <f t="shared" si="23"/>
        <v>0</v>
      </c>
    </row>
    <row r="143" spans="2:36" x14ac:dyDescent="0.25">
      <c r="B143" s="42" t="s">
        <v>245</v>
      </c>
      <c r="C143" s="42" t="s">
        <v>79</v>
      </c>
      <c r="D143" s="78">
        <v>1</v>
      </c>
      <c r="E143" s="79">
        <v>2000</v>
      </c>
      <c r="F143" s="79">
        <f t="shared" si="20"/>
        <v>2000</v>
      </c>
      <c r="H143" s="118" t="s">
        <v>347</v>
      </c>
      <c r="I143" s="118" t="s">
        <v>81</v>
      </c>
      <c r="J143" s="119">
        <v>6</v>
      </c>
      <c r="K143" s="120">
        <v>2000</v>
      </c>
      <c r="L143" s="79">
        <f t="shared" si="21"/>
        <v>12000</v>
      </c>
      <c r="N143" s="118"/>
      <c r="O143" s="118"/>
      <c r="P143" s="119"/>
      <c r="Q143" s="120"/>
      <c r="R143" s="79">
        <f t="shared" si="24"/>
        <v>0</v>
      </c>
      <c r="T143" s="138"/>
      <c r="U143" s="138"/>
      <c r="V143" s="139"/>
      <c r="W143" s="140"/>
      <c r="X143" s="140">
        <f t="shared" si="19"/>
        <v>0</v>
      </c>
      <c r="Z143" s="81" t="s">
        <v>582</v>
      </c>
      <c r="AA143" s="81" t="s">
        <v>246</v>
      </c>
      <c r="AB143" s="82">
        <v>2</v>
      </c>
      <c r="AC143" s="80">
        <v>1500</v>
      </c>
      <c r="AD143" s="80">
        <f t="shared" si="22"/>
        <v>3000</v>
      </c>
      <c r="AF143" s="118"/>
      <c r="AG143" s="118"/>
      <c r="AH143" s="119"/>
      <c r="AI143" s="120"/>
      <c r="AJ143" s="120">
        <f t="shared" si="23"/>
        <v>0</v>
      </c>
    </row>
    <row r="144" spans="2:36" x14ac:dyDescent="0.25">
      <c r="B144" s="42" t="s">
        <v>347</v>
      </c>
      <c r="C144" s="42" t="s">
        <v>78</v>
      </c>
      <c r="D144" s="78">
        <v>14</v>
      </c>
      <c r="E144" s="79">
        <v>2000</v>
      </c>
      <c r="F144" s="79">
        <f t="shared" si="20"/>
        <v>28000</v>
      </c>
      <c r="H144" s="118" t="s">
        <v>347</v>
      </c>
      <c r="I144" s="118" t="s">
        <v>78</v>
      </c>
      <c r="J144" s="119">
        <v>5</v>
      </c>
      <c r="K144" s="120">
        <v>2000</v>
      </c>
      <c r="L144" s="79">
        <f t="shared" si="21"/>
        <v>10000</v>
      </c>
      <c r="N144" s="118"/>
      <c r="O144" s="118"/>
      <c r="P144" s="119"/>
      <c r="Q144" s="120"/>
      <c r="R144" s="79">
        <f t="shared" si="24"/>
        <v>0</v>
      </c>
      <c r="T144" s="138"/>
      <c r="U144" s="138"/>
      <c r="V144" s="139"/>
      <c r="W144" s="140"/>
      <c r="X144" s="140">
        <f t="shared" si="19"/>
        <v>0</v>
      </c>
      <c r="Z144" s="81" t="s">
        <v>582</v>
      </c>
      <c r="AA144" s="81" t="s">
        <v>246</v>
      </c>
      <c r="AB144" s="82">
        <v>1</v>
      </c>
      <c r="AC144" s="80">
        <v>1500</v>
      </c>
      <c r="AD144" s="80">
        <f t="shared" si="22"/>
        <v>1500</v>
      </c>
      <c r="AF144" s="118"/>
      <c r="AG144" s="118"/>
      <c r="AH144" s="119"/>
      <c r="AI144" s="120"/>
      <c r="AJ144" s="120">
        <f t="shared" si="23"/>
        <v>0</v>
      </c>
    </row>
    <row r="145" spans="2:36" x14ac:dyDescent="0.25">
      <c r="B145" s="42" t="s">
        <v>582</v>
      </c>
      <c r="C145" s="42" t="s">
        <v>244</v>
      </c>
      <c r="D145" s="78">
        <v>1</v>
      </c>
      <c r="E145" s="79">
        <v>2000</v>
      </c>
      <c r="F145" s="79">
        <f t="shared" si="20"/>
        <v>2000</v>
      </c>
      <c r="H145" s="118" t="s">
        <v>582</v>
      </c>
      <c r="I145" s="118" t="s">
        <v>27</v>
      </c>
      <c r="J145" s="119">
        <v>1</v>
      </c>
      <c r="K145" s="120">
        <v>1500</v>
      </c>
      <c r="L145" s="79">
        <f t="shared" si="21"/>
        <v>1500</v>
      </c>
      <c r="N145" s="118"/>
      <c r="O145" s="118"/>
      <c r="P145" s="119"/>
      <c r="Q145" s="120"/>
      <c r="R145" s="79">
        <f t="shared" si="24"/>
        <v>0</v>
      </c>
      <c r="T145" s="138"/>
      <c r="U145" s="138"/>
      <c r="V145" s="139"/>
      <c r="W145" s="140"/>
      <c r="X145" s="140">
        <f t="shared" si="19"/>
        <v>0</v>
      </c>
      <c r="Z145" s="81" t="s">
        <v>582</v>
      </c>
      <c r="AA145" s="81" t="s">
        <v>81</v>
      </c>
      <c r="AB145" s="82">
        <v>1</v>
      </c>
      <c r="AC145" s="80">
        <v>2000</v>
      </c>
      <c r="AD145" s="80">
        <f t="shared" si="22"/>
        <v>2000</v>
      </c>
      <c r="AF145" s="118"/>
      <c r="AG145" s="118"/>
      <c r="AH145" s="119"/>
      <c r="AI145" s="120"/>
      <c r="AJ145" s="120">
        <f t="shared" si="23"/>
        <v>0</v>
      </c>
    </row>
    <row r="146" spans="2:36" x14ac:dyDescent="0.25">
      <c r="B146" s="42" t="s">
        <v>582</v>
      </c>
      <c r="C146" s="42" t="s">
        <v>79</v>
      </c>
      <c r="D146" s="78">
        <v>1</v>
      </c>
      <c r="E146" s="79">
        <v>2000</v>
      </c>
      <c r="F146" s="79">
        <f t="shared" si="20"/>
        <v>2000</v>
      </c>
      <c r="H146" s="118" t="s">
        <v>582</v>
      </c>
      <c r="I146" s="118" t="s">
        <v>246</v>
      </c>
      <c r="J146" s="119">
        <v>1</v>
      </c>
      <c r="K146" s="120">
        <v>1500</v>
      </c>
      <c r="L146" s="79">
        <f t="shared" si="21"/>
        <v>1500</v>
      </c>
      <c r="N146" s="118"/>
      <c r="O146" s="118"/>
      <c r="P146" s="119"/>
      <c r="Q146" s="120"/>
      <c r="R146" s="79">
        <f t="shared" si="24"/>
        <v>0</v>
      </c>
      <c r="T146" s="138"/>
      <c r="U146" s="138"/>
      <c r="V146" s="139"/>
      <c r="W146" s="140"/>
      <c r="X146" s="140">
        <f t="shared" si="19"/>
        <v>0</v>
      </c>
      <c r="Z146" s="81" t="s">
        <v>582</v>
      </c>
      <c r="AA146" s="81" t="s">
        <v>81</v>
      </c>
      <c r="AB146" s="82">
        <v>1</v>
      </c>
      <c r="AC146" s="80">
        <v>2000</v>
      </c>
      <c r="AD146" s="80">
        <f t="shared" si="22"/>
        <v>2000</v>
      </c>
      <c r="AF146" s="118"/>
      <c r="AG146" s="118"/>
      <c r="AH146" s="119"/>
      <c r="AI146" s="120"/>
      <c r="AJ146" s="120">
        <f t="shared" si="23"/>
        <v>0</v>
      </c>
    </row>
    <row r="147" spans="2:36" x14ac:dyDescent="0.25">
      <c r="B147" s="42" t="s">
        <v>582</v>
      </c>
      <c r="C147" s="42" t="s">
        <v>78</v>
      </c>
      <c r="D147" s="78">
        <v>1</v>
      </c>
      <c r="E147" s="79">
        <v>2000</v>
      </c>
      <c r="F147" s="79">
        <f t="shared" si="20"/>
        <v>2000</v>
      </c>
      <c r="H147" s="118" t="s">
        <v>582</v>
      </c>
      <c r="I147" s="118" t="s">
        <v>874</v>
      </c>
      <c r="J147" s="119">
        <v>1</v>
      </c>
      <c r="K147" s="120">
        <v>1500</v>
      </c>
      <c r="L147" s="79">
        <f t="shared" si="21"/>
        <v>1500</v>
      </c>
      <c r="N147" s="118"/>
      <c r="O147" s="118"/>
      <c r="P147" s="119"/>
      <c r="Q147" s="120"/>
      <c r="R147" s="79">
        <f t="shared" si="24"/>
        <v>0</v>
      </c>
      <c r="T147" s="138"/>
      <c r="U147" s="138"/>
      <c r="V147" s="139"/>
      <c r="W147" s="140"/>
      <c r="X147" s="140">
        <f t="shared" si="19"/>
        <v>0</v>
      </c>
      <c r="Z147" s="81" t="s">
        <v>582</v>
      </c>
      <c r="AA147" s="81" t="s">
        <v>48</v>
      </c>
      <c r="AB147" s="82">
        <v>1</v>
      </c>
      <c r="AC147" s="80">
        <v>1500</v>
      </c>
      <c r="AD147" s="80">
        <f t="shared" si="22"/>
        <v>1500</v>
      </c>
      <c r="AF147" s="118"/>
      <c r="AG147" s="118"/>
      <c r="AH147" s="119"/>
      <c r="AI147" s="120"/>
      <c r="AJ147" s="120">
        <f t="shared" si="23"/>
        <v>0</v>
      </c>
    </row>
    <row r="148" spans="2:36" x14ac:dyDescent="0.25">
      <c r="B148" s="42" t="s">
        <v>582</v>
      </c>
      <c r="C148" s="42" t="s">
        <v>78</v>
      </c>
      <c r="D148" s="78">
        <v>1</v>
      </c>
      <c r="E148" s="79">
        <v>2000</v>
      </c>
      <c r="F148" s="79">
        <f t="shared" si="20"/>
        <v>2000</v>
      </c>
      <c r="H148" s="118" t="s">
        <v>582</v>
      </c>
      <c r="I148" s="118" t="s">
        <v>27</v>
      </c>
      <c r="J148" s="119">
        <v>1</v>
      </c>
      <c r="K148" s="120">
        <v>1500</v>
      </c>
      <c r="L148" s="79">
        <f t="shared" si="21"/>
        <v>1500</v>
      </c>
      <c r="N148" s="118"/>
      <c r="O148" s="118"/>
      <c r="P148" s="119"/>
      <c r="Q148" s="120"/>
      <c r="R148" s="79">
        <f t="shared" si="24"/>
        <v>0</v>
      </c>
      <c r="T148" s="138"/>
      <c r="U148" s="138"/>
      <c r="V148" s="139"/>
      <c r="W148" s="140"/>
      <c r="X148" s="140">
        <f t="shared" ref="X148:X179" si="25">V148*W148</f>
        <v>0</v>
      </c>
      <c r="Z148" s="81" t="s">
        <v>582</v>
      </c>
      <c r="AA148" s="81" t="s">
        <v>48</v>
      </c>
      <c r="AB148" s="82">
        <v>2</v>
      </c>
      <c r="AC148" s="80">
        <v>1500</v>
      </c>
      <c r="AD148" s="80">
        <f t="shared" si="22"/>
        <v>3000</v>
      </c>
      <c r="AF148" s="118"/>
      <c r="AG148" s="118"/>
      <c r="AH148" s="119"/>
      <c r="AI148" s="120"/>
      <c r="AJ148" s="120">
        <f t="shared" si="23"/>
        <v>0</v>
      </c>
    </row>
    <row r="149" spans="2:36" x14ac:dyDescent="0.25">
      <c r="B149" s="42" t="s">
        <v>582</v>
      </c>
      <c r="C149" s="42" t="s">
        <v>246</v>
      </c>
      <c r="D149" s="78">
        <v>1</v>
      </c>
      <c r="E149" s="79">
        <v>1500</v>
      </c>
      <c r="F149" s="79">
        <f t="shared" si="20"/>
        <v>1500</v>
      </c>
      <c r="H149" s="118" t="s">
        <v>582</v>
      </c>
      <c r="I149" s="118" t="s">
        <v>81</v>
      </c>
      <c r="J149" s="119">
        <v>1</v>
      </c>
      <c r="K149" s="120">
        <v>2000</v>
      </c>
      <c r="L149" s="79">
        <f t="shared" si="21"/>
        <v>2000</v>
      </c>
      <c r="N149" s="118"/>
      <c r="O149" s="118"/>
      <c r="P149" s="119"/>
      <c r="Q149" s="120"/>
      <c r="R149" s="79">
        <f t="shared" si="24"/>
        <v>0</v>
      </c>
      <c r="T149" s="138"/>
      <c r="U149" s="138"/>
      <c r="V149" s="139"/>
      <c r="W149" s="140"/>
      <c r="X149" s="140">
        <f t="shared" si="25"/>
        <v>0</v>
      </c>
      <c r="Z149" s="81" t="s">
        <v>582</v>
      </c>
      <c r="AA149" s="81" t="s">
        <v>81</v>
      </c>
      <c r="AB149" s="82">
        <v>1</v>
      </c>
      <c r="AC149" s="80">
        <v>2000</v>
      </c>
      <c r="AD149" s="80">
        <f t="shared" si="22"/>
        <v>2000</v>
      </c>
      <c r="AF149" s="118"/>
      <c r="AG149" s="118"/>
      <c r="AH149" s="119"/>
      <c r="AI149" s="120"/>
      <c r="AJ149" s="120">
        <f t="shared" si="23"/>
        <v>0</v>
      </c>
    </row>
    <row r="150" spans="2:36" x14ac:dyDescent="0.25">
      <c r="B150" s="42" t="s">
        <v>582</v>
      </c>
      <c r="C150" s="42" t="s">
        <v>48</v>
      </c>
      <c r="D150" s="78">
        <v>1</v>
      </c>
      <c r="E150" s="79">
        <v>1500</v>
      </c>
      <c r="F150" s="79">
        <f t="shared" si="20"/>
        <v>1500</v>
      </c>
      <c r="H150" s="42" t="s">
        <v>582</v>
      </c>
      <c r="I150" s="42" t="s">
        <v>246</v>
      </c>
      <c r="J150" s="78">
        <v>1</v>
      </c>
      <c r="K150" s="79">
        <v>1500</v>
      </c>
      <c r="L150" s="79">
        <f t="shared" si="21"/>
        <v>1500</v>
      </c>
      <c r="N150" s="42"/>
      <c r="O150" s="42"/>
      <c r="P150" s="78"/>
      <c r="Q150" s="79"/>
      <c r="R150" s="79">
        <f t="shared" si="24"/>
        <v>0</v>
      </c>
      <c r="T150" s="138"/>
      <c r="U150" s="138"/>
      <c r="V150" s="139"/>
      <c r="W150" s="140"/>
      <c r="X150" s="140">
        <f t="shared" si="25"/>
        <v>0</v>
      </c>
      <c r="Z150" s="81" t="s">
        <v>582</v>
      </c>
      <c r="AA150" s="81" t="s">
        <v>48</v>
      </c>
      <c r="AB150" s="82">
        <v>1</v>
      </c>
      <c r="AC150" s="80">
        <v>1500</v>
      </c>
      <c r="AD150" s="80">
        <f t="shared" si="22"/>
        <v>1500</v>
      </c>
      <c r="AF150" s="118"/>
      <c r="AG150" s="118"/>
      <c r="AH150" s="119"/>
      <c r="AI150" s="120"/>
      <c r="AJ150" s="120">
        <f t="shared" si="23"/>
        <v>0</v>
      </c>
    </row>
    <row r="151" spans="2:36" x14ac:dyDescent="0.25">
      <c r="B151" s="42" t="s">
        <v>582</v>
      </c>
      <c r="C151" s="42" t="s">
        <v>246</v>
      </c>
      <c r="D151" s="78">
        <v>1</v>
      </c>
      <c r="E151" s="79">
        <v>1500</v>
      </c>
      <c r="F151" s="79">
        <f t="shared" si="20"/>
        <v>1500</v>
      </c>
      <c r="H151" s="42" t="s">
        <v>582</v>
      </c>
      <c r="I151" s="42" t="s">
        <v>48</v>
      </c>
      <c r="J151" s="78">
        <v>1</v>
      </c>
      <c r="K151" s="79">
        <v>1500</v>
      </c>
      <c r="L151" s="79">
        <f t="shared" si="21"/>
        <v>1500</v>
      </c>
      <c r="N151" s="42"/>
      <c r="O151" s="42"/>
      <c r="P151" s="78"/>
      <c r="Q151" s="79"/>
      <c r="R151" s="79">
        <f t="shared" si="24"/>
        <v>0</v>
      </c>
      <c r="T151" s="138"/>
      <c r="U151" s="138"/>
      <c r="V151" s="139"/>
      <c r="W151" s="140"/>
      <c r="X151" s="140">
        <f t="shared" si="25"/>
        <v>0</v>
      </c>
      <c r="Z151" s="81" t="s">
        <v>582</v>
      </c>
      <c r="AA151" s="81" t="s">
        <v>48</v>
      </c>
      <c r="AB151" s="82">
        <v>2</v>
      </c>
      <c r="AC151" s="80">
        <v>1500</v>
      </c>
      <c r="AD151" s="80">
        <f t="shared" si="22"/>
        <v>3000</v>
      </c>
      <c r="AF151" s="118"/>
      <c r="AG151" s="118"/>
      <c r="AH151" s="119"/>
      <c r="AI151" s="120"/>
      <c r="AJ151" s="120">
        <f t="shared" si="23"/>
        <v>0</v>
      </c>
    </row>
    <row r="152" spans="2:36" x14ac:dyDescent="0.25">
      <c r="B152" s="42" t="s">
        <v>582</v>
      </c>
      <c r="C152" s="42" t="s">
        <v>246</v>
      </c>
      <c r="D152" s="78">
        <v>1</v>
      </c>
      <c r="E152" s="79">
        <v>1500</v>
      </c>
      <c r="F152" s="79">
        <f t="shared" si="20"/>
        <v>1500</v>
      </c>
      <c r="H152" s="42" t="s">
        <v>582</v>
      </c>
      <c r="I152" s="42" t="s">
        <v>246</v>
      </c>
      <c r="J152" s="78">
        <v>1</v>
      </c>
      <c r="K152" s="79">
        <v>1500</v>
      </c>
      <c r="L152" s="79">
        <f t="shared" si="21"/>
        <v>1500</v>
      </c>
      <c r="N152" s="42"/>
      <c r="O152" s="42"/>
      <c r="P152" s="78"/>
      <c r="Q152" s="79"/>
      <c r="R152" s="79">
        <f t="shared" si="24"/>
        <v>0</v>
      </c>
      <c r="T152" s="138"/>
      <c r="U152" s="138"/>
      <c r="V152" s="139"/>
      <c r="W152" s="140"/>
      <c r="X152" s="140">
        <f t="shared" si="25"/>
        <v>0</v>
      </c>
      <c r="Z152" s="138" t="s">
        <v>59</v>
      </c>
      <c r="AA152" s="138" t="s">
        <v>917</v>
      </c>
      <c r="AB152" s="139">
        <v>1</v>
      </c>
      <c r="AC152" s="140">
        <v>2000</v>
      </c>
      <c r="AD152" s="140">
        <f t="shared" si="22"/>
        <v>2000</v>
      </c>
      <c r="AF152" s="118"/>
      <c r="AG152" s="118"/>
      <c r="AH152" s="119"/>
      <c r="AI152" s="120"/>
      <c r="AJ152" s="120">
        <f t="shared" si="23"/>
        <v>0</v>
      </c>
    </row>
    <row r="153" spans="2:36" x14ac:dyDescent="0.25">
      <c r="B153" s="42" t="s">
        <v>582</v>
      </c>
      <c r="C153" s="42" t="s">
        <v>246</v>
      </c>
      <c r="D153" s="78">
        <v>1</v>
      </c>
      <c r="E153" s="79">
        <v>1500</v>
      </c>
      <c r="F153" s="79">
        <f t="shared" si="20"/>
        <v>1500</v>
      </c>
      <c r="H153" s="42" t="s">
        <v>582</v>
      </c>
      <c r="I153" s="42" t="s">
        <v>246</v>
      </c>
      <c r="J153" s="78">
        <v>1</v>
      </c>
      <c r="K153" s="79">
        <v>1500</v>
      </c>
      <c r="L153" s="79">
        <f t="shared" si="21"/>
        <v>1500</v>
      </c>
      <c r="N153" s="42"/>
      <c r="O153" s="42"/>
      <c r="P153" s="78"/>
      <c r="Q153" s="79"/>
      <c r="R153" s="79">
        <f t="shared" si="24"/>
        <v>0</v>
      </c>
      <c r="T153" s="138"/>
      <c r="U153" s="138"/>
      <c r="V153" s="139"/>
      <c r="W153" s="140"/>
      <c r="X153" s="140">
        <f t="shared" si="25"/>
        <v>0</v>
      </c>
      <c r="Z153" s="138" t="s">
        <v>59</v>
      </c>
      <c r="AA153" s="138" t="s">
        <v>81</v>
      </c>
      <c r="AB153" s="139">
        <v>1</v>
      </c>
      <c r="AC153" s="140">
        <v>2000</v>
      </c>
      <c r="AD153" s="140">
        <f t="shared" si="22"/>
        <v>2000</v>
      </c>
      <c r="AF153" s="118"/>
      <c r="AG153" s="118"/>
      <c r="AH153" s="119"/>
      <c r="AI153" s="120"/>
      <c r="AJ153" s="120">
        <f t="shared" si="23"/>
        <v>0</v>
      </c>
    </row>
    <row r="154" spans="2:36" x14ac:dyDescent="0.25">
      <c r="B154" s="42" t="s">
        <v>582</v>
      </c>
      <c r="C154" s="42" t="s">
        <v>246</v>
      </c>
      <c r="D154" s="78">
        <v>1</v>
      </c>
      <c r="E154" s="79">
        <v>1500</v>
      </c>
      <c r="F154" s="79">
        <f t="shared" ref="F154:F185" si="26">D154*E154</f>
        <v>1500</v>
      </c>
      <c r="H154" s="42" t="s">
        <v>582</v>
      </c>
      <c r="I154" s="42" t="s">
        <v>246</v>
      </c>
      <c r="J154" s="78">
        <v>1</v>
      </c>
      <c r="K154" s="79">
        <v>1500</v>
      </c>
      <c r="L154" s="79">
        <f t="shared" si="21"/>
        <v>1500</v>
      </c>
      <c r="N154" s="42"/>
      <c r="O154" s="42"/>
      <c r="P154" s="78"/>
      <c r="Q154" s="79"/>
      <c r="R154" s="79">
        <f t="shared" si="24"/>
        <v>0</v>
      </c>
      <c r="T154" s="138"/>
      <c r="U154" s="138"/>
      <c r="V154" s="139"/>
      <c r="W154" s="140"/>
      <c r="X154" s="140">
        <f t="shared" si="25"/>
        <v>0</v>
      </c>
      <c r="Z154" s="138" t="s">
        <v>59</v>
      </c>
      <c r="AA154" s="138" t="s">
        <v>917</v>
      </c>
      <c r="AB154" s="139">
        <v>1</v>
      </c>
      <c r="AC154" s="140">
        <v>2000</v>
      </c>
      <c r="AD154" s="140">
        <f t="shared" si="22"/>
        <v>2000</v>
      </c>
      <c r="AF154" s="118"/>
      <c r="AG154" s="118"/>
      <c r="AH154" s="119"/>
      <c r="AI154" s="120"/>
      <c r="AJ154" s="120">
        <f t="shared" si="23"/>
        <v>0</v>
      </c>
    </row>
    <row r="155" spans="2:36" x14ac:dyDescent="0.25">
      <c r="B155" s="42" t="s">
        <v>582</v>
      </c>
      <c r="C155" s="42" t="s">
        <v>48</v>
      </c>
      <c r="D155" s="78">
        <v>1</v>
      </c>
      <c r="E155" s="79">
        <v>1500</v>
      </c>
      <c r="F155" s="79">
        <f t="shared" si="26"/>
        <v>1500</v>
      </c>
      <c r="H155" s="42" t="s">
        <v>582</v>
      </c>
      <c r="I155" s="42" t="s">
        <v>246</v>
      </c>
      <c r="J155" s="78">
        <v>1</v>
      </c>
      <c r="K155" s="79">
        <v>1500</v>
      </c>
      <c r="L155" s="79">
        <f t="shared" si="21"/>
        <v>1500</v>
      </c>
      <c r="N155" s="42"/>
      <c r="O155" s="42"/>
      <c r="P155" s="78"/>
      <c r="Q155" s="79"/>
      <c r="R155" s="79">
        <f t="shared" si="24"/>
        <v>0</v>
      </c>
      <c r="T155" s="138"/>
      <c r="U155" s="138"/>
      <c r="V155" s="139"/>
      <c r="W155" s="140"/>
      <c r="X155" s="140">
        <f t="shared" si="25"/>
        <v>0</v>
      </c>
      <c r="Z155" s="138" t="s">
        <v>59</v>
      </c>
      <c r="AA155" s="138" t="s">
        <v>917</v>
      </c>
      <c r="AB155" s="139">
        <v>1</v>
      </c>
      <c r="AC155" s="140">
        <v>2000</v>
      </c>
      <c r="AD155" s="140">
        <f t="shared" si="22"/>
        <v>2000</v>
      </c>
      <c r="AF155" s="118"/>
      <c r="AG155" s="118"/>
      <c r="AH155" s="119"/>
      <c r="AI155" s="120"/>
      <c r="AJ155" s="120">
        <f t="shared" si="23"/>
        <v>0</v>
      </c>
    </row>
    <row r="156" spans="2:36" x14ac:dyDescent="0.25">
      <c r="B156" s="42" t="s">
        <v>582</v>
      </c>
      <c r="C156" s="42" t="s">
        <v>78</v>
      </c>
      <c r="D156" s="78">
        <v>1</v>
      </c>
      <c r="E156" s="79">
        <v>2000</v>
      </c>
      <c r="F156" s="79">
        <f t="shared" si="26"/>
        <v>2000</v>
      </c>
      <c r="H156" s="42" t="s">
        <v>582</v>
      </c>
      <c r="I156" s="42" t="s">
        <v>48</v>
      </c>
      <c r="J156" s="78">
        <v>1</v>
      </c>
      <c r="K156" s="79">
        <v>1500</v>
      </c>
      <c r="L156" s="79">
        <f t="shared" si="21"/>
        <v>1500</v>
      </c>
      <c r="N156" s="42"/>
      <c r="O156" s="42"/>
      <c r="P156" s="78"/>
      <c r="Q156" s="79"/>
      <c r="R156" s="79">
        <f t="shared" si="24"/>
        <v>0</v>
      </c>
      <c r="T156" s="138"/>
      <c r="U156" s="138"/>
      <c r="V156" s="139"/>
      <c r="W156" s="140"/>
      <c r="X156" s="140">
        <f t="shared" si="25"/>
        <v>0</v>
      </c>
      <c r="Z156" s="138" t="s">
        <v>59</v>
      </c>
      <c r="AA156" s="138" t="s">
        <v>81</v>
      </c>
      <c r="AB156" s="139">
        <v>1</v>
      </c>
      <c r="AC156" s="140">
        <v>2000</v>
      </c>
      <c r="AD156" s="140">
        <f t="shared" si="22"/>
        <v>2000</v>
      </c>
      <c r="AF156" s="118"/>
      <c r="AG156" s="118"/>
      <c r="AH156" s="119"/>
      <c r="AI156" s="120"/>
      <c r="AJ156" s="120">
        <f t="shared" si="23"/>
        <v>0</v>
      </c>
    </row>
    <row r="157" spans="2:36" x14ac:dyDescent="0.25">
      <c r="B157" s="42"/>
      <c r="C157" s="42"/>
      <c r="D157" s="78"/>
      <c r="E157" s="79"/>
      <c r="F157" s="79">
        <f t="shared" si="26"/>
        <v>0</v>
      </c>
      <c r="H157" s="42" t="s">
        <v>582</v>
      </c>
      <c r="I157" s="42" t="s">
        <v>78</v>
      </c>
      <c r="J157" s="78">
        <v>1</v>
      </c>
      <c r="K157" s="79">
        <v>2000</v>
      </c>
      <c r="L157" s="79">
        <f t="shared" si="21"/>
        <v>2000</v>
      </c>
      <c r="N157" s="42"/>
      <c r="O157" s="42"/>
      <c r="P157" s="78"/>
      <c r="Q157" s="79"/>
      <c r="R157" s="79">
        <f t="shared" si="24"/>
        <v>0</v>
      </c>
      <c r="T157" s="138"/>
      <c r="U157" s="138"/>
      <c r="V157" s="139"/>
      <c r="W157" s="140"/>
      <c r="X157" s="140">
        <f t="shared" si="25"/>
        <v>0</v>
      </c>
      <c r="Z157" s="138" t="s">
        <v>59</v>
      </c>
      <c r="AA157" s="138" t="s">
        <v>917</v>
      </c>
      <c r="AB157" s="139">
        <v>1</v>
      </c>
      <c r="AC157" s="140">
        <v>2000</v>
      </c>
      <c r="AD157" s="140">
        <f t="shared" si="22"/>
        <v>2000</v>
      </c>
      <c r="AF157" s="118"/>
      <c r="AG157" s="118"/>
      <c r="AH157" s="119"/>
      <c r="AI157" s="120"/>
      <c r="AJ157" s="120">
        <f t="shared" si="23"/>
        <v>0</v>
      </c>
    </row>
    <row r="158" spans="2:36" x14ac:dyDescent="0.25">
      <c r="B158" s="42"/>
      <c r="C158" s="42"/>
      <c r="D158" s="78"/>
      <c r="E158" s="79"/>
      <c r="F158" s="79">
        <f t="shared" si="26"/>
        <v>0</v>
      </c>
      <c r="H158" s="118" t="s">
        <v>1037</v>
      </c>
      <c r="I158" s="118" t="s">
        <v>78</v>
      </c>
      <c r="J158" s="119">
        <v>1</v>
      </c>
      <c r="K158" s="120">
        <v>2000</v>
      </c>
      <c r="L158" s="79">
        <f t="shared" si="21"/>
        <v>2000</v>
      </c>
      <c r="N158" s="118"/>
      <c r="O158" s="118"/>
      <c r="P158" s="119"/>
      <c r="Q158" s="120"/>
      <c r="R158" s="79">
        <f t="shared" si="24"/>
        <v>0</v>
      </c>
      <c r="T158" s="138"/>
      <c r="U158" s="138"/>
      <c r="V158" s="139"/>
      <c r="W158" s="140"/>
      <c r="X158" s="140">
        <f t="shared" si="25"/>
        <v>0</v>
      </c>
      <c r="Z158" s="138" t="s">
        <v>59</v>
      </c>
      <c r="AA158" s="138" t="s">
        <v>81</v>
      </c>
      <c r="AB158" s="139">
        <v>1</v>
      </c>
      <c r="AC158" s="140">
        <v>2000</v>
      </c>
      <c r="AD158" s="140">
        <f t="shared" si="22"/>
        <v>2000</v>
      </c>
      <c r="AF158" s="118"/>
      <c r="AG158" s="118"/>
      <c r="AH158" s="119"/>
      <c r="AI158" s="120"/>
      <c r="AJ158" s="120">
        <f t="shared" si="23"/>
        <v>0</v>
      </c>
    </row>
    <row r="159" spans="2:36" x14ac:dyDescent="0.25">
      <c r="B159" s="42"/>
      <c r="C159" s="42"/>
      <c r="D159" s="78"/>
      <c r="E159" s="79"/>
      <c r="F159" s="79">
        <f t="shared" si="26"/>
        <v>0</v>
      </c>
      <c r="H159" s="118"/>
      <c r="I159" s="118"/>
      <c r="J159" s="119"/>
      <c r="K159" s="120"/>
      <c r="L159" s="79">
        <f t="shared" si="21"/>
        <v>0</v>
      </c>
      <c r="N159" s="118"/>
      <c r="O159" s="118"/>
      <c r="P159" s="119"/>
      <c r="Q159" s="120"/>
      <c r="R159" s="79">
        <f t="shared" si="24"/>
        <v>0</v>
      </c>
      <c r="T159" s="138"/>
      <c r="U159" s="138"/>
      <c r="V159" s="139"/>
      <c r="W159" s="140"/>
      <c r="X159" s="140">
        <f t="shared" si="25"/>
        <v>0</v>
      </c>
      <c r="Z159" s="138" t="s">
        <v>59</v>
      </c>
      <c r="AA159" s="138" t="s">
        <v>917</v>
      </c>
      <c r="AB159" s="139">
        <v>1</v>
      </c>
      <c r="AC159" s="140">
        <v>2000</v>
      </c>
      <c r="AD159" s="140">
        <f t="shared" si="22"/>
        <v>2000</v>
      </c>
      <c r="AF159" s="118"/>
      <c r="AG159" s="118"/>
      <c r="AH159" s="119"/>
      <c r="AI159" s="120"/>
      <c r="AJ159" s="120">
        <f t="shared" si="23"/>
        <v>0</v>
      </c>
    </row>
    <row r="160" spans="2:36" x14ac:dyDescent="0.25">
      <c r="B160" s="42"/>
      <c r="C160" s="42"/>
      <c r="D160" s="78"/>
      <c r="E160" s="79"/>
      <c r="F160" s="79">
        <f t="shared" si="26"/>
        <v>0</v>
      </c>
      <c r="H160" s="118"/>
      <c r="I160" s="118"/>
      <c r="J160" s="119"/>
      <c r="K160" s="120"/>
      <c r="L160" s="79">
        <f t="shared" si="21"/>
        <v>0</v>
      </c>
      <c r="N160" s="118"/>
      <c r="O160" s="118"/>
      <c r="P160" s="119"/>
      <c r="Q160" s="120"/>
      <c r="R160" s="79">
        <f t="shared" si="24"/>
        <v>0</v>
      </c>
      <c r="T160" s="138"/>
      <c r="U160" s="138"/>
      <c r="V160" s="139"/>
      <c r="W160" s="140"/>
      <c r="X160" s="140">
        <f t="shared" si="25"/>
        <v>0</v>
      </c>
      <c r="Z160" s="138"/>
      <c r="AA160" s="138"/>
      <c r="AB160" s="139"/>
      <c r="AC160" s="140"/>
      <c r="AD160" s="140">
        <f t="shared" si="22"/>
        <v>0</v>
      </c>
      <c r="AF160" s="118"/>
      <c r="AG160" s="118"/>
      <c r="AH160" s="119"/>
      <c r="AI160" s="120"/>
      <c r="AJ160" s="120">
        <f t="shared" si="23"/>
        <v>0</v>
      </c>
    </row>
    <row r="161" spans="2:36" x14ac:dyDescent="0.25">
      <c r="B161" s="42"/>
      <c r="C161" s="42"/>
      <c r="D161" s="78"/>
      <c r="E161" s="79"/>
      <c r="F161" s="79">
        <f t="shared" si="26"/>
        <v>0</v>
      </c>
      <c r="H161" s="118"/>
      <c r="I161" s="118"/>
      <c r="J161" s="119"/>
      <c r="K161" s="120"/>
      <c r="L161" s="79">
        <f t="shared" si="21"/>
        <v>0</v>
      </c>
      <c r="N161" s="118"/>
      <c r="O161" s="118"/>
      <c r="P161" s="119"/>
      <c r="Q161" s="120"/>
      <c r="R161" s="79">
        <f t="shared" si="24"/>
        <v>0</v>
      </c>
      <c r="T161" s="138"/>
      <c r="U161" s="138"/>
      <c r="V161" s="139"/>
      <c r="W161" s="140"/>
      <c r="X161" s="140">
        <f t="shared" si="25"/>
        <v>0</v>
      </c>
      <c r="Z161" s="138"/>
      <c r="AA161" s="138"/>
      <c r="AB161" s="139"/>
      <c r="AC161" s="140"/>
      <c r="AD161" s="140">
        <f t="shared" si="22"/>
        <v>0</v>
      </c>
      <c r="AF161" s="118"/>
      <c r="AG161" s="118"/>
      <c r="AH161" s="119"/>
      <c r="AI161" s="120"/>
      <c r="AJ161" s="120">
        <f t="shared" si="23"/>
        <v>0</v>
      </c>
    </row>
    <row r="162" spans="2:36" x14ac:dyDescent="0.25">
      <c r="B162" s="42"/>
      <c r="C162" s="42"/>
      <c r="D162" s="78"/>
      <c r="E162" s="79"/>
      <c r="F162" s="79">
        <f t="shared" si="26"/>
        <v>0</v>
      </c>
      <c r="H162" s="118"/>
      <c r="I162" s="118"/>
      <c r="J162" s="119"/>
      <c r="K162" s="120"/>
      <c r="L162" s="79">
        <f t="shared" si="21"/>
        <v>0</v>
      </c>
      <c r="N162" s="118"/>
      <c r="O162" s="118"/>
      <c r="P162" s="119"/>
      <c r="Q162" s="120"/>
      <c r="R162" s="79">
        <f t="shared" si="24"/>
        <v>0</v>
      </c>
      <c r="T162" s="138"/>
      <c r="U162" s="138"/>
      <c r="V162" s="139"/>
      <c r="W162" s="140"/>
      <c r="X162" s="140">
        <f t="shared" si="25"/>
        <v>0</v>
      </c>
      <c r="Z162" s="138"/>
      <c r="AA162" s="138"/>
      <c r="AB162" s="139"/>
      <c r="AC162" s="140"/>
      <c r="AD162" s="140">
        <f t="shared" si="22"/>
        <v>0</v>
      </c>
      <c r="AF162" s="118"/>
      <c r="AG162" s="118"/>
      <c r="AH162" s="119"/>
      <c r="AI162" s="120"/>
      <c r="AJ162" s="120">
        <f t="shared" si="23"/>
        <v>0</v>
      </c>
    </row>
    <row r="163" spans="2:36" x14ac:dyDescent="0.25">
      <c r="B163" s="42"/>
      <c r="C163" s="42"/>
      <c r="D163" s="78"/>
      <c r="E163" s="79"/>
      <c r="F163" s="79">
        <f t="shared" si="26"/>
        <v>0</v>
      </c>
      <c r="H163" s="118"/>
      <c r="I163" s="118"/>
      <c r="J163" s="119"/>
      <c r="K163" s="120"/>
      <c r="L163" s="79">
        <f t="shared" si="21"/>
        <v>0</v>
      </c>
      <c r="N163" s="118"/>
      <c r="O163" s="118"/>
      <c r="P163" s="119"/>
      <c r="Q163" s="120"/>
      <c r="R163" s="79">
        <f t="shared" si="24"/>
        <v>0</v>
      </c>
      <c r="T163" s="138"/>
      <c r="U163" s="138"/>
      <c r="V163" s="139"/>
      <c r="W163" s="140"/>
      <c r="X163" s="140">
        <f t="shared" si="25"/>
        <v>0</v>
      </c>
      <c r="Z163" s="138"/>
      <c r="AA163" s="138"/>
      <c r="AB163" s="139"/>
      <c r="AC163" s="140"/>
      <c r="AD163" s="140">
        <f t="shared" si="22"/>
        <v>0</v>
      </c>
      <c r="AF163" s="118"/>
      <c r="AG163" s="118"/>
      <c r="AH163" s="119"/>
      <c r="AI163" s="120"/>
      <c r="AJ163" s="120">
        <f t="shared" si="23"/>
        <v>0</v>
      </c>
    </row>
    <row r="164" spans="2:36" x14ac:dyDescent="0.25">
      <c r="B164" s="42"/>
      <c r="C164" s="42"/>
      <c r="D164" s="78"/>
      <c r="E164" s="79"/>
      <c r="F164" s="79">
        <f t="shared" si="26"/>
        <v>0</v>
      </c>
      <c r="H164" s="118"/>
      <c r="I164" s="118"/>
      <c r="J164" s="119"/>
      <c r="K164" s="120"/>
      <c r="L164" s="79">
        <f t="shared" si="21"/>
        <v>0</v>
      </c>
      <c r="N164" s="118"/>
      <c r="O164" s="118"/>
      <c r="P164" s="119"/>
      <c r="Q164" s="120"/>
      <c r="R164" s="79">
        <f t="shared" si="24"/>
        <v>0</v>
      </c>
      <c r="T164" s="138"/>
      <c r="U164" s="138"/>
      <c r="V164" s="139"/>
      <c r="W164" s="140"/>
      <c r="X164" s="140">
        <f t="shared" si="25"/>
        <v>0</v>
      </c>
      <c r="Z164" s="138"/>
      <c r="AA164" s="138"/>
      <c r="AB164" s="139"/>
      <c r="AC164" s="140"/>
      <c r="AD164" s="140">
        <f t="shared" si="22"/>
        <v>0</v>
      </c>
      <c r="AF164" s="118"/>
      <c r="AG164" s="118"/>
      <c r="AH164" s="119"/>
      <c r="AI164" s="120"/>
      <c r="AJ164" s="120">
        <f t="shared" si="23"/>
        <v>0</v>
      </c>
    </row>
    <row r="165" spans="2:36" x14ac:dyDescent="0.25">
      <c r="B165" s="42"/>
      <c r="C165" s="42"/>
      <c r="D165" s="78"/>
      <c r="E165" s="79"/>
      <c r="F165" s="79">
        <f t="shared" si="26"/>
        <v>0</v>
      </c>
      <c r="H165" s="118"/>
      <c r="I165" s="118"/>
      <c r="J165" s="119"/>
      <c r="K165" s="120"/>
      <c r="L165" s="79">
        <f t="shared" si="21"/>
        <v>0</v>
      </c>
      <c r="N165" s="118"/>
      <c r="O165" s="118"/>
      <c r="P165" s="119"/>
      <c r="Q165" s="120"/>
      <c r="R165" s="79">
        <f t="shared" si="24"/>
        <v>0</v>
      </c>
      <c r="T165" s="138"/>
      <c r="U165" s="138"/>
      <c r="V165" s="139"/>
      <c r="W165" s="140"/>
      <c r="X165" s="140">
        <f t="shared" si="25"/>
        <v>0</v>
      </c>
      <c r="Z165" s="138"/>
      <c r="AA165" s="138"/>
      <c r="AB165" s="139"/>
      <c r="AC165" s="140"/>
      <c r="AD165" s="140">
        <f t="shared" si="22"/>
        <v>0</v>
      </c>
      <c r="AF165" s="118"/>
      <c r="AG165" s="118"/>
      <c r="AH165" s="119"/>
      <c r="AI165" s="120"/>
      <c r="AJ165" s="120">
        <f t="shared" si="23"/>
        <v>0</v>
      </c>
    </row>
    <row r="166" spans="2:36" x14ac:dyDescent="0.25">
      <c r="B166" s="42"/>
      <c r="C166" s="42"/>
      <c r="D166" s="78"/>
      <c r="E166" s="79"/>
      <c r="F166" s="79">
        <f t="shared" si="26"/>
        <v>0</v>
      </c>
      <c r="H166" s="118"/>
      <c r="I166" s="118"/>
      <c r="J166" s="119"/>
      <c r="K166" s="120"/>
      <c r="L166" s="79">
        <f t="shared" si="21"/>
        <v>0</v>
      </c>
      <c r="N166" s="118"/>
      <c r="O166" s="118"/>
      <c r="P166" s="119"/>
      <c r="Q166" s="120"/>
      <c r="R166" s="79">
        <f t="shared" si="24"/>
        <v>0</v>
      </c>
      <c r="T166" s="138"/>
      <c r="U166" s="138"/>
      <c r="V166" s="139"/>
      <c r="W166" s="140"/>
      <c r="X166" s="140">
        <f t="shared" si="25"/>
        <v>0</v>
      </c>
      <c r="Z166" s="138"/>
      <c r="AA166" s="138"/>
      <c r="AB166" s="139"/>
      <c r="AC166" s="140"/>
      <c r="AD166" s="140">
        <f t="shared" si="22"/>
        <v>0</v>
      </c>
      <c r="AF166" s="118"/>
      <c r="AG166" s="118"/>
      <c r="AH166" s="119"/>
      <c r="AI166" s="120"/>
      <c r="AJ166" s="120">
        <f t="shared" si="23"/>
        <v>0</v>
      </c>
    </row>
    <row r="167" spans="2:36" x14ac:dyDescent="0.25">
      <c r="B167" s="42"/>
      <c r="C167" s="42"/>
      <c r="D167" s="78"/>
      <c r="E167" s="79"/>
      <c r="F167" s="79">
        <f t="shared" si="26"/>
        <v>0</v>
      </c>
      <c r="H167" s="118"/>
      <c r="I167" s="118"/>
      <c r="J167" s="119"/>
      <c r="K167" s="120"/>
      <c r="L167" s="79">
        <f t="shared" si="21"/>
        <v>0</v>
      </c>
      <c r="N167" s="118"/>
      <c r="O167" s="118"/>
      <c r="P167" s="119"/>
      <c r="Q167" s="120"/>
      <c r="R167" s="79">
        <f t="shared" ref="R167:R198" si="27">P167*Q167</f>
        <v>0</v>
      </c>
      <c r="T167" s="138"/>
      <c r="U167" s="138"/>
      <c r="V167" s="139"/>
      <c r="W167" s="140"/>
      <c r="X167" s="140">
        <f t="shared" si="25"/>
        <v>0</v>
      </c>
      <c r="Z167" s="138"/>
      <c r="AA167" s="138"/>
      <c r="AB167" s="139"/>
      <c r="AC167" s="140"/>
      <c r="AD167" s="140">
        <f t="shared" si="22"/>
        <v>0</v>
      </c>
      <c r="AF167" s="118"/>
      <c r="AG167" s="118"/>
      <c r="AH167" s="119"/>
      <c r="AI167" s="120"/>
      <c r="AJ167" s="120">
        <f t="shared" si="23"/>
        <v>0</v>
      </c>
    </row>
    <row r="168" spans="2:36" x14ac:dyDescent="0.25">
      <c r="B168" s="42"/>
      <c r="C168" s="42"/>
      <c r="D168" s="78"/>
      <c r="E168" s="79"/>
      <c r="F168" s="79">
        <f t="shared" si="26"/>
        <v>0</v>
      </c>
      <c r="H168" s="118"/>
      <c r="I168" s="118"/>
      <c r="J168" s="119"/>
      <c r="K168" s="120"/>
      <c r="L168" s="79">
        <f t="shared" si="21"/>
        <v>0</v>
      </c>
      <c r="N168" s="118"/>
      <c r="O168" s="118"/>
      <c r="P168" s="119"/>
      <c r="Q168" s="120"/>
      <c r="R168" s="79">
        <f t="shared" si="27"/>
        <v>0</v>
      </c>
      <c r="T168" s="138"/>
      <c r="U168" s="138"/>
      <c r="V168" s="139"/>
      <c r="W168" s="140"/>
      <c r="X168" s="140">
        <f t="shared" si="25"/>
        <v>0</v>
      </c>
      <c r="Z168" s="138"/>
      <c r="AA168" s="138"/>
      <c r="AB168" s="139"/>
      <c r="AC168" s="140"/>
      <c r="AD168" s="140">
        <f t="shared" si="22"/>
        <v>0</v>
      </c>
      <c r="AF168" s="118"/>
      <c r="AG168" s="118"/>
      <c r="AH168" s="119"/>
      <c r="AI168" s="120"/>
      <c r="AJ168" s="120">
        <f t="shared" si="23"/>
        <v>0</v>
      </c>
    </row>
    <row r="169" spans="2:36" x14ac:dyDescent="0.25">
      <c r="B169" s="42"/>
      <c r="C169" s="42"/>
      <c r="D169" s="78"/>
      <c r="E169" s="79"/>
      <c r="F169" s="79">
        <f t="shared" si="26"/>
        <v>0</v>
      </c>
      <c r="H169" s="118"/>
      <c r="I169" s="118"/>
      <c r="J169" s="119"/>
      <c r="K169" s="120"/>
      <c r="L169" s="79">
        <f t="shared" si="21"/>
        <v>0</v>
      </c>
      <c r="N169" s="118"/>
      <c r="O169" s="118"/>
      <c r="P169" s="119"/>
      <c r="Q169" s="120"/>
      <c r="R169" s="79">
        <f t="shared" si="27"/>
        <v>0</v>
      </c>
      <c r="T169" s="138"/>
      <c r="U169" s="138"/>
      <c r="V169" s="139"/>
      <c r="W169" s="140"/>
      <c r="X169" s="140">
        <f t="shared" si="25"/>
        <v>0</v>
      </c>
      <c r="Z169" s="138"/>
      <c r="AA169" s="138"/>
      <c r="AB169" s="139"/>
      <c r="AC169" s="140"/>
      <c r="AD169" s="140">
        <f t="shared" si="22"/>
        <v>0</v>
      </c>
      <c r="AF169" s="118"/>
      <c r="AG169" s="118"/>
      <c r="AH169" s="119"/>
      <c r="AI169" s="120"/>
      <c r="AJ169" s="120">
        <f t="shared" si="23"/>
        <v>0</v>
      </c>
    </row>
    <row r="170" spans="2:36" x14ac:dyDescent="0.25">
      <c r="B170" s="42"/>
      <c r="C170" s="42"/>
      <c r="D170" s="78"/>
      <c r="E170" s="79"/>
      <c r="F170" s="79">
        <f t="shared" si="26"/>
        <v>0</v>
      </c>
      <c r="H170" s="118"/>
      <c r="I170" s="118"/>
      <c r="J170" s="119"/>
      <c r="K170" s="120"/>
      <c r="L170" s="79">
        <f t="shared" si="21"/>
        <v>0</v>
      </c>
      <c r="N170" s="118"/>
      <c r="O170" s="118"/>
      <c r="P170" s="119"/>
      <c r="Q170" s="120"/>
      <c r="R170" s="79">
        <f t="shared" si="27"/>
        <v>0</v>
      </c>
      <c r="T170" s="138"/>
      <c r="U170" s="138"/>
      <c r="V170" s="139"/>
      <c r="W170" s="140"/>
      <c r="X170" s="140">
        <f t="shared" si="25"/>
        <v>0</v>
      </c>
      <c r="Z170" s="138"/>
      <c r="AA170" s="138"/>
      <c r="AB170" s="139"/>
      <c r="AC170" s="140"/>
      <c r="AD170" s="140">
        <f t="shared" si="22"/>
        <v>0</v>
      </c>
      <c r="AF170" s="118"/>
      <c r="AG170" s="118"/>
      <c r="AH170" s="119"/>
      <c r="AI170" s="120"/>
      <c r="AJ170" s="120">
        <f t="shared" si="23"/>
        <v>0</v>
      </c>
    </row>
    <row r="171" spans="2:36" x14ac:dyDescent="0.25">
      <c r="B171" s="42"/>
      <c r="C171" s="42"/>
      <c r="D171" s="78"/>
      <c r="E171" s="79"/>
      <c r="F171" s="79">
        <f t="shared" si="26"/>
        <v>0</v>
      </c>
      <c r="H171" s="118"/>
      <c r="I171" s="118"/>
      <c r="J171" s="119"/>
      <c r="K171" s="120"/>
      <c r="L171" s="79">
        <f t="shared" si="21"/>
        <v>0</v>
      </c>
      <c r="N171" s="118"/>
      <c r="O171" s="118"/>
      <c r="P171" s="119"/>
      <c r="Q171" s="120"/>
      <c r="R171" s="79">
        <f t="shared" si="27"/>
        <v>0</v>
      </c>
      <c r="T171" s="138"/>
      <c r="U171" s="138"/>
      <c r="V171" s="139"/>
      <c r="W171" s="140"/>
      <c r="X171" s="140">
        <f t="shared" si="25"/>
        <v>0</v>
      </c>
      <c r="Z171" s="138"/>
      <c r="AA171" s="138"/>
      <c r="AB171" s="139"/>
      <c r="AC171" s="140"/>
      <c r="AD171" s="140">
        <f t="shared" si="22"/>
        <v>0</v>
      </c>
      <c r="AF171" s="118"/>
      <c r="AG171" s="118"/>
      <c r="AH171" s="119"/>
      <c r="AI171" s="120"/>
      <c r="AJ171" s="120">
        <f t="shared" si="23"/>
        <v>0</v>
      </c>
    </row>
    <row r="172" spans="2:36" x14ac:dyDescent="0.25">
      <c r="B172" s="42"/>
      <c r="C172" s="42"/>
      <c r="D172" s="78"/>
      <c r="E172" s="79"/>
      <c r="F172" s="79">
        <f t="shared" si="26"/>
        <v>0</v>
      </c>
      <c r="H172" s="118"/>
      <c r="I172" s="118"/>
      <c r="J172" s="119"/>
      <c r="K172" s="120"/>
      <c r="L172" s="79">
        <f t="shared" si="21"/>
        <v>0</v>
      </c>
      <c r="N172" s="118"/>
      <c r="O172" s="118"/>
      <c r="P172" s="119"/>
      <c r="Q172" s="120"/>
      <c r="R172" s="79">
        <f t="shared" si="27"/>
        <v>0</v>
      </c>
      <c r="T172" s="138"/>
      <c r="U172" s="138"/>
      <c r="V172" s="139"/>
      <c r="W172" s="140"/>
      <c r="X172" s="140">
        <f t="shared" si="25"/>
        <v>0</v>
      </c>
      <c r="Z172" s="138"/>
      <c r="AA172" s="138"/>
      <c r="AB172" s="139"/>
      <c r="AC172" s="140"/>
      <c r="AD172" s="140">
        <f t="shared" si="22"/>
        <v>0</v>
      </c>
      <c r="AF172" s="118"/>
      <c r="AG172" s="118"/>
      <c r="AH172" s="119"/>
      <c r="AI172" s="120"/>
      <c r="AJ172" s="120">
        <f t="shared" si="23"/>
        <v>0</v>
      </c>
    </row>
    <row r="173" spans="2:36" x14ac:dyDescent="0.25">
      <c r="B173" s="42"/>
      <c r="C173" s="42"/>
      <c r="D173" s="78"/>
      <c r="E173" s="79"/>
      <c r="F173" s="79">
        <f t="shared" si="26"/>
        <v>0</v>
      </c>
      <c r="H173" s="118"/>
      <c r="I173" s="118"/>
      <c r="J173" s="119"/>
      <c r="K173" s="120"/>
      <c r="L173" s="79">
        <f t="shared" si="21"/>
        <v>0</v>
      </c>
      <c r="N173" s="118"/>
      <c r="O173" s="118"/>
      <c r="P173" s="119"/>
      <c r="Q173" s="120"/>
      <c r="R173" s="79">
        <f t="shared" si="27"/>
        <v>0</v>
      </c>
      <c r="T173" s="138"/>
      <c r="U173" s="138"/>
      <c r="V173" s="139"/>
      <c r="W173" s="140"/>
      <c r="X173" s="140">
        <f t="shared" si="25"/>
        <v>0</v>
      </c>
      <c r="Z173" s="138"/>
      <c r="AA173" s="138"/>
      <c r="AB173" s="139"/>
      <c r="AC173" s="140"/>
      <c r="AD173" s="140">
        <f t="shared" si="22"/>
        <v>0</v>
      </c>
      <c r="AF173" s="118"/>
      <c r="AG173" s="118"/>
      <c r="AH173" s="119"/>
      <c r="AI173" s="120"/>
      <c r="AJ173" s="120">
        <f t="shared" si="23"/>
        <v>0</v>
      </c>
    </row>
    <row r="174" spans="2:36" x14ac:dyDescent="0.25">
      <c r="B174" s="42"/>
      <c r="C174" s="42"/>
      <c r="D174" s="78"/>
      <c r="E174" s="79"/>
      <c r="F174" s="79">
        <f t="shared" si="26"/>
        <v>0</v>
      </c>
      <c r="H174" s="118"/>
      <c r="I174" s="118"/>
      <c r="J174" s="119"/>
      <c r="K174" s="120"/>
      <c r="L174" s="79">
        <f t="shared" si="21"/>
        <v>0</v>
      </c>
      <c r="N174" s="118"/>
      <c r="O174" s="118"/>
      <c r="P174" s="119"/>
      <c r="Q174" s="120"/>
      <c r="R174" s="79">
        <f t="shared" si="27"/>
        <v>0</v>
      </c>
      <c r="T174" s="138"/>
      <c r="U174" s="138"/>
      <c r="V174" s="139"/>
      <c r="W174" s="140"/>
      <c r="X174" s="140">
        <f t="shared" si="25"/>
        <v>0</v>
      </c>
      <c r="Z174" s="138"/>
      <c r="AA174" s="138"/>
      <c r="AB174" s="139"/>
      <c r="AC174" s="140"/>
      <c r="AD174" s="140">
        <f t="shared" si="22"/>
        <v>0</v>
      </c>
      <c r="AF174" s="118"/>
      <c r="AG174" s="118"/>
      <c r="AH174" s="119"/>
      <c r="AI174" s="120"/>
      <c r="AJ174" s="120">
        <f t="shared" si="23"/>
        <v>0</v>
      </c>
    </row>
    <row r="175" spans="2:36" x14ac:dyDescent="0.25">
      <c r="B175" s="42"/>
      <c r="C175" s="42"/>
      <c r="D175" s="78"/>
      <c r="E175" s="79"/>
      <c r="F175" s="79">
        <f t="shared" si="26"/>
        <v>0</v>
      </c>
      <c r="H175" s="118"/>
      <c r="I175" s="118"/>
      <c r="J175" s="119"/>
      <c r="K175" s="120"/>
      <c r="L175" s="79">
        <f t="shared" si="21"/>
        <v>0</v>
      </c>
      <c r="N175" s="118"/>
      <c r="O175" s="118"/>
      <c r="P175" s="119"/>
      <c r="Q175" s="120"/>
      <c r="R175" s="79">
        <f t="shared" si="27"/>
        <v>0</v>
      </c>
      <c r="T175" s="138"/>
      <c r="U175" s="138"/>
      <c r="V175" s="139"/>
      <c r="W175" s="140"/>
      <c r="X175" s="140">
        <f t="shared" si="25"/>
        <v>0</v>
      </c>
      <c r="Z175" s="138"/>
      <c r="AA175" s="138"/>
      <c r="AB175" s="139"/>
      <c r="AC175" s="140"/>
      <c r="AD175" s="140">
        <f t="shared" si="22"/>
        <v>0</v>
      </c>
      <c r="AF175" s="118"/>
      <c r="AG175" s="118"/>
      <c r="AH175" s="119"/>
      <c r="AI175" s="120"/>
      <c r="AJ175" s="120">
        <f t="shared" si="23"/>
        <v>0</v>
      </c>
    </row>
    <row r="176" spans="2:36" x14ac:dyDescent="0.25">
      <c r="B176" s="42"/>
      <c r="C176" s="42"/>
      <c r="D176" s="78"/>
      <c r="E176" s="79"/>
      <c r="F176" s="79">
        <f t="shared" si="26"/>
        <v>0</v>
      </c>
      <c r="H176" s="118"/>
      <c r="I176" s="118"/>
      <c r="J176" s="119"/>
      <c r="K176" s="120"/>
      <c r="L176" s="79">
        <f t="shared" si="21"/>
        <v>0</v>
      </c>
      <c r="N176" s="118"/>
      <c r="O176" s="118"/>
      <c r="P176" s="119"/>
      <c r="Q176" s="120"/>
      <c r="R176" s="79">
        <f t="shared" si="27"/>
        <v>0</v>
      </c>
      <c r="T176" s="138"/>
      <c r="U176" s="138"/>
      <c r="V176" s="139"/>
      <c r="W176" s="140"/>
      <c r="X176" s="140">
        <f t="shared" si="25"/>
        <v>0</v>
      </c>
      <c r="Z176" s="138"/>
      <c r="AA176" s="138"/>
      <c r="AB176" s="139"/>
      <c r="AC176" s="140"/>
      <c r="AD176" s="140">
        <f t="shared" si="22"/>
        <v>0</v>
      </c>
      <c r="AF176" s="118"/>
      <c r="AG176" s="118"/>
      <c r="AH176" s="119"/>
      <c r="AI176" s="120"/>
      <c r="AJ176" s="120">
        <f t="shared" si="23"/>
        <v>0</v>
      </c>
    </row>
    <row r="177" spans="2:36" x14ac:dyDescent="0.25">
      <c r="B177" s="42"/>
      <c r="C177" s="42"/>
      <c r="D177" s="78"/>
      <c r="E177" s="79"/>
      <c r="F177" s="79">
        <f t="shared" si="26"/>
        <v>0</v>
      </c>
      <c r="H177" s="118"/>
      <c r="I177" s="118"/>
      <c r="J177" s="119"/>
      <c r="K177" s="120"/>
      <c r="L177" s="79">
        <f t="shared" si="21"/>
        <v>0</v>
      </c>
      <c r="N177" s="118"/>
      <c r="O177" s="118"/>
      <c r="P177" s="119"/>
      <c r="Q177" s="120"/>
      <c r="R177" s="79">
        <f t="shared" si="27"/>
        <v>0</v>
      </c>
      <c r="T177" s="138"/>
      <c r="U177" s="138"/>
      <c r="V177" s="139"/>
      <c r="W177" s="140"/>
      <c r="X177" s="140">
        <f t="shared" si="25"/>
        <v>0</v>
      </c>
      <c r="Z177" s="138"/>
      <c r="AA177" s="138"/>
      <c r="AB177" s="139"/>
      <c r="AC177" s="140"/>
      <c r="AD177" s="140">
        <f t="shared" si="22"/>
        <v>0</v>
      </c>
      <c r="AF177" s="118"/>
      <c r="AG177" s="118"/>
      <c r="AH177" s="119"/>
      <c r="AI177" s="120"/>
      <c r="AJ177" s="120">
        <f t="shared" si="23"/>
        <v>0</v>
      </c>
    </row>
    <row r="178" spans="2:36" x14ac:dyDescent="0.25">
      <c r="B178" s="42"/>
      <c r="C178" s="42"/>
      <c r="D178" s="78"/>
      <c r="E178" s="79"/>
      <c r="F178" s="79">
        <f t="shared" si="26"/>
        <v>0</v>
      </c>
      <c r="H178" s="118"/>
      <c r="I178" s="118"/>
      <c r="J178" s="119"/>
      <c r="K178" s="120"/>
      <c r="L178" s="79">
        <f t="shared" si="21"/>
        <v>0</v>
      </c>
      <c r="N178" s="118"/>
      <c r="O178" s="118"/>
      <c r="P178" s="119"/>
      <c r="Q178" s="120"/>
      <c r="R178" s="79">
        <f t="shared" si="27"/>
        <v>0</v>
      </c>
      <c r="T178" s="138"/>
      <c r="U178" s="138"/>
      <c r="V178" s="139"/>
      <c r="W178" s="140"/>
      <c r="X178" s="140">
        <f t="shared" si="25"/>
        <v>0</v>
      </c>
      <c r="Z178" s="138"/>
      <c r="AA178" s="138"/>
      <c r="AB178" s="139"/>
      <c r="AC178" s="140"/>
      <c r="AD178" s="140">
        <f t="shared" si="22"/>
        <v>0</v>
      </c>
      <c r="AF178" s="118"/>
      <c r="AG178" s="118"/>
      <c r="AH178" s="119"/>
      <c r="AI178" s="120"/>
      <c r="AJ178" s="120">
        <f t="shared" si="23"/>
        <v>0</v>
      </c>
    </row>
    <row r="179" spans="2:36" x14ac:dyDescent="0.25">
      <c r="B179" s="42"/>
      <c r="C179" s="42"/>
      <c r="D179" s="78"/>
      <c r="E179" s="79"/>
      <c r="F179" s="79">
        <f t="shared" si="26"/>
        <v>0</v>
      </c>
      <c r="H179" s="118"/>
      <c r="I179" s="118"/>
      <c r="J179" s="119"/>
      <c r="K179" s="120"/>
      <c r="L179" s="79">
        <f t="shared" si="21"/>
        <v>0</v>
      </c>
      <c r="N179" s="118"/>
      <c r="O179" s="118"/>
      <c r="P179" s="119"/>
      <c r="Q179" s="120"/>
      <c r="R179" s="79">
        <f t="shared" si="27"/>
        <v>0</v>
      </c>
      <c r="T179" s="138"/>
      <c r="U179" s="138"/>
      <c r="V179" s="139"/>
      <c r="W179" s="140"/>
      <c r="X179" s="140">
        <f t="shared" si="25"/>
        <v>0</v>
      </c>
      <c r="Z179" s="138"/>
      <c r="AA179" s="138"/>
      <c r="AB179" s="139"/>
      <c r="AC179" s="140"/>
      <c r="AD179" s="140">
        <f t="shared" si="22"/>
        <v>0</v>
      </c>
      <c r="AF179" s="118"/>
      <c r="AG179" s="118"/>
      <c r="AH179" s="119"/>
      <c r="AI179" s="120"/>
      <c r="AJ179" s="120">
        <f t="shared" si="23"/>
        <v>0</v>
      </c>
    </row>
    <row r="180" spans="2:36" x14ac:dyDescent="0.25">
      <c r="B180" s="42"/>
      <c r="C180" s="42"/>
      <c r="D180" s="78"/>
      <c r="E180" s="79"/>
      <c r="F180" s="79">
        <f t="shared" si="26"/>
        <v>0</v>
      </c>
      <c r="H180" s="118"/>
      <c r="I180" s="118"/>
      <c r="J180" s="119"/>
      <c r="K180" s="120"/>
      <c r="L180" s="79">
        <f t="shared" si="21"/>
        <v>0</v>
      </c>
      <c r="N180" s="118"/>
      <c r="O180" s="118"/>
      <c r="P180" s="119"/>
      <c r="Q180" s="120"/>
      <c r="R180" s="79">
        <f t="shared" si="27"/>
        <v>0</v>
      </c>
      <c r="T180" s="138"/>
      <c r="U180" s="138"/>
      <c r="V180" s="139"/>
      <c r="W180" s="140"/>
      <c r="X180" s="140">
        <f t="shared" ref="X180:X211" si="28">V180*W180</f>
        <v>0</v>
      </c>
      <c r="Z180" s="138"/>
      <c r="AA180" s="138"/>
      <c r="AB180" s="139"/>
      <c r="AC180" s="140"/>
      <c r="AD180" s="140">
        <f t="shared" si="22"/>
        <v>0</v>
      </c>
      <c r="AF180" s="118"/>
      <c r="AG180" s="118"/>
      <c r="AH180" s="119"/>
      <c r="AI180" s="120"/>
      <c r="AJ180" s="120">
        <f t="shared" si="23"/>
        <v>0</v>
      </c>
    </row>
    <row r="181" spans="2:36" x14ac:dyDescent="0.25">
      <c r="B181" s="42"/>
      <c r="C181" s="42"/>
      <c r="D181" s="78"/>
      <c r="E181" s="79"/>
      <c r="F181" s="79">
        <f t="shared" si="26"/>
        <v>0</v>
      </c>
      <c r="H181" s="118"/>
      <c r="I181" s="118"/>
      <c r="J181" s="119"/>
      <c r="K181" s="120"/>
      <c r="L181" s="79">
        <f t="shared" si="21"/>
        <v>0</v>
      </c>
      <c r="N181" s="118"/>
      <c r="O181" s="118"/>
      <c r="P181" s="119"/>
      <c r="Q181" s="120"/>
      <c r="R181" s="79">
        <f t="shared" si="27"/>
        <v>0</v>
      </c>
      <c r="T181" s="138"/>
      <c r="U181" s="138"/>
      <c r="V181" s="139"/>
      <c r="W181" s="140"/>
      <c r="X181" s="140">
        <f t="shared" si="28"/>
        <v>0</v>
      </c>
      <c r="Z181" s="138"/>
      <c r="AA181" s="138"/>
      <c r="AB181" s="139"/>
      <c r="AC181" s="140"/>
      <c r="AD181" s="140">
        <f t="shared" si="22"/>
        <v>0</v>
      </c>
      <c r="AF181" s="118"/>
      <c r="AG181" s="118"/>
      <c r="AH181" s="119"/>
      <c r="AI181" s="120"/>
      <c r="AJ181" s="120">
        <f t="shared" si="23"/>
        <v>0</v>
      </c>
    </row>
    <row r="182" spans="2:36" x14ac:dyDescent="0.25">
      <c r="B182" s="42"/>
      <c r="C182" s="42"/>
      <c r="D182" s="78"/>
      <c r="E182" s="79"/>
      <c r="F182" s="79">
        <f t="shared" si="26"/>
        <v>0</v>
      </c>
      <c r="H182" s="118"/>
      <c r="I182" s="118"/>
      <c r="J182" s="119"/>
      <c r="K182" s="120"/>
      <c r="L182" s="79">
        <f t="shared" si="21"/>
        <v>0</v>
      </c>
      <c r="N182" s="118"/>
      <c r="O182" s="118"/>
      <c r="P182" s="119"/>
      <c r="Q182" s="120"/>
      <c r="R182" s="79">
        <f t="shared" si="27"/>
        <v>0</v>
      </c>
      <c r="T182" s="138"/>
      <c r="U182" s="138"/>
      <c r="V182" s="139"/>
      <c r="W182" s="140"/>
      <c r="X182" s="140">
        <f t="shared" si="28"/>
        <v>0</v>
      </c>
      <c r="Z182" s="138"/>
      <c r="AA182" s="138"/>
      <c r="AB182" s="139"/>
      <c r="AC182" s="140"/>
      <c r="AD182" s="140">
        <f t="shared" si="22"/>
        <v>0</v>
      </c>
      <c r="AF182" s="118"/>
      <c r="AG182" s="118"/>
      <c r="AH182" s="119"/>
      <c r="AI182" s="120"/>
      <c r="AJ182" s="120">
        <f t="shared" si="23"/>
        <v>0</v>
      </c>
    </row>
    <row r="183" spans="2:36" x14ac:dyDescent="0.25">
      <c r="B183" s="42"/>
      <c r="C183" s="42"/>
      <c r="D183" s="78"/>
      <c r="E183" s="79"/>
      <c r="F183" s="79">
        <f t="shared" si="26"/>
        <v>0</v>
      </c>
      <c r="H183" s="118"/>
      <c r="I183" s="118"/>
      <c r="J183" s="119"/>
      <c r="K183" s="120"/>
      <c r="L183" s="79">
        <f t="shared" si="21"/>
        <v>0</v>
      </c>
      <c r="N183" s="118"/>
      <c r="O183" s="118"/>
      <c r="P183" s="119"/>
      <c r="Q183" s="120"/>
      <c r="R183" s="79">
        <f t="shared" si="27"/>
        <v>0</v>
      </c>
      <c r="T183" s="138"/>
      <c r="U183" s="138"/>
      <c r="V183" s="139"/>
      <c r="W183" s="140"/>
      <c r="X183" s="140">
        <f t="shared" si="28"/>
        <v>0</v>
      </c>
      <c r="Z183" s="138"/>
      <c r="AA183" s="138"/>
      <c r="AB183" s="139"/>
      <c r="AC183" s="140"/>
      <c r="AD183" s="140">
        <f t="shared" si="22"/>
        <v>0</v>
      </c>
      <c r="AF183" s="118"/>
      <c r="AG183" s="118"/>
      <c r="AH183" s="119"/>
      <c r="AI183" s="120"/>
      <c r="AJ183" s="120">
        <f t="shared" si="23"/>
        <v>0</v>
      </c>
    </row>
    <row r="184" spans="2:36" x14ac:dyDescent="0.25">
      <c r="B184" s="42"/>
      <c r="C184" s="42"/>
      <c r="D184" s="78"/>
      <c r="E184" s="79"/>
      <c r="F184" s="79">
        <f t="shared" si="26"/>
        <v>0</v>
      </c>
      <c r="H184" s="118"/>
      <c r="I184" s="118"/>
      <c r="J184" s="119"/>
      <c r="K184" s="120"/>
      <c r="L184" s="79">
        <f t="shared" si="21"/>
        <v>0</v>
      </c>
      <c r="N184" s="118"/>
      <c r="O184" s="118"/>
      <c r="P184" s="119"/>
      <c r="Q184" s="120"/>
      <c r="R184" s="79">
        <f t="shared" si="27"/>
        <v>0</v>
      </c>
      <c r="T184" s="138"/>
      <c r="U184" s="138"/>
      <c r="V184" s="139"/>
      <c r="W184" s="140"/>
      <c r="X184" s="140">
        <f t="shared" si="28"/>
        <v>0</v>
      </c>
      <c r="Z184" s="138"/>
      <c r="AA184" s="138"/>
      <c r="AB184" s="139"/>
      <c r="AC184" s="140"/>
      <c r="AD184" s="140">
        <f t="shared" si="22"/>
        <v>0</v>
      </c>
      <c r="AF184" s="118"/>
      <c r="AG184" s="118"/>
      <c r="AH184" s="119"/>
      <c r="AI184" s="120"/>
      <c r="AJ184" s="120">
        <f t="shared" si="23"/>
        <v>0</v>
      </c>
    </row>
    <row r="185" spans="2:36" x14ac:dyDescent="0.25">
      <c r="B185" s="42"/>
      <c r="C185" s="42"/>
      <c r="D185" s="78"/>
      <c r="E185" s="79"/>
      <c r="F185" s="79">
        <f t="shared" si="26"/>
        <v>0</v>
      </c>
      <c r="H185" s="118"/>
      <c r="I185" s="118"/>
      <c r="J185" s="119"/>
      <c r="K185" s="120"/>
      <c r="L185" s="79">
        <f t="shared" si="21"/>
        <v>0</v>
      </c>
      <c r="N185" s="118"/>
      <c r="O185" s="118"/>
      <c r="P185" s="119"/>
      <c r="Q185" s="120"/>
      <c r="R185" s="79">
        <f t="shared" si="27"/>
        <v>0</v>
      </c>
      <c r="T185" s="138"/>
      <c r="U185" s="138"/>
      <c r="V185" s="139"/>
      <c r="W185" s="140"/>
      <c r="X185" s="140">
        <f t="shared" si="28"/>
        <v>0</v>
      </c>
      <c r="Z185" s="138"/>
      <c r="AA185" s="138"/>
      <c r="AB185" s="139"/>
      <c r="AC185" s="140"/>
      <c r="AD185" s="140">
        <f t="shared" si="22"/>
        <v>0</v>
      </c>
      <c r="AF185" s="118"/>
      <c r="AG185" s="118"/>
      <c r="AH185" s="119"/>
      <c r="AI185" s="120"/>
      <c r="AJ185" s="120">
        <f t="shared" si="23"/>
        <v>0</v>
      </c>
    </row>
    <row r="186" spans="2:36" x14ac:dyDescent="0.25">
      <c r="B186" s="42"/>
      <c r="C186" s="42"/>
      <c r="D186" s="78"/>
      <c r="E186" s="79"/>
      <c r="F186" s="79">
        <f t="shared" ref="F186:F217" si="29">D186*E186</f>
        <v>0</v>
      </c>
      <c r="H186" s="118"/>
      <c r="I186" s="118"/>
      <c r="J186" s="119"/>
      <c r="K186" s="120"/>
      <c r="L186" s="79">
        <f t="shared" si="21"/>
        <v>0</v>
      </c>
      <c r="N186" s="118"/>
      <c r="O186" s="118"/>
      <c r="P186" s="119"/>
      <c r="Q186" s="120"/>
      <c r="R186" s="79">
        <f t="shared" si="27"/>
        <v>0</v>
      </c>
      <c r="T186" s="138"/>
      <c r="U186" s="138"/>
      <c r="V186" s="139"/>
      <c r="W186" s="140"/>
      <c r="X186" s="140">
        <f t="shared" si="28"/>
        <v>0</v>
      </c>
      <c r="Z186" s="138"/>
      <c r="AA186" s="138"/>
      <c r="AB186" s="139"/>
      <c r="AC186" s="140"/>
      <c r="AD186" s="140">
        <f t="shared" si="22"/>
        <v>0</v>
      </c>
      <c r="AF186" s="118"/>
      <c r="AG186" s="118"/>
      <c r="AH186" s="119"/>
      <c r="AI186" s="120"/>
      <c r="AJ186" s="120">
        <f t="shared" si="23"/>
        <v>0</v>
      </c>
    </row>
    <row r="187" spans="2:36" x14ac:dyDescent="0.25">
      <c r="B187" s="42"/>
      <c r="C187" s="42"/>
      <c r="D187" s="78"/>
      <c r="E187" s="79"/>
      <c r="F187" s="79">
        <f t="shared" si="29"/>
        <v>0</v>
      </c>
      <c r="H187" s="118"/>
      <c r="I187" s="118"/>
      <c r="J187" s="119"/>
      <c r="K187" s="120"/>
      <c r="L187" s="79">
        <f t="shared" si="21"/>
        <v>0</v>
      </c>
      <c r="N187" s="118"/>
      <c r="O187" s="118"/>
      <c r="P187" s="119"/>
      <c r="Q187" s="120"/>
      <c r="R187" s="79">
        <f t="shared" si="27"/>
        <v>0</v>
      </c>
      <c r="T187" s="138"/>
      <c r="U187" s="138"/>
      <c r="V187" s="139"/>
      <c r="W187" s="140"/>
      <c r="X187" s="140">
        <f t="shared" si="28"/>
        <v>0</v>
      </c>
      <c r="Z187" s="138"/>
      <c r="AA187" s="138"/>
      <c r="AB187" s="139"/>
      <c r="AC187" s="140"/>
      <c r="AD187" s="140">
        <f t="shared" si="22"/>
        <v>0</v>
      </c>
      <c r="AF187" s="118"/>
      <c r="AG187" s="118"/>
      <c r="AH187" s="119"/>
      <c r="AI187" s="120"/>
      <c r="AJ187" s="120">
        <f t="shared" si="23"/>
        <v>0</v>
      </c>
    </row>
    <row r="188" spans="2:36" x14ac:dyDescent="0.25">
      <c r="B188" s="42"/>
      <c r="C188" s="42"/>
      <c r="D188" s="78"/>
      <c r="E188" s="79"/>
      <c r="F188" s="79">
        <f t="shared" si="29"/>
        <v>0</v>
      </c>
      <c r="H188" s="118"/>
      <c r="I188" s="118"/>
      <c r="J188" s="119"/>
      <c r="K188" s="120"/>
      <c r="L188" s="79">
        <f t="shared" si="21"/>
        <v>0</v>
      </c>
      <c r="N188" s="118"/>
      <c r="O188" s="118"/>
      <c r="P188" s="119"/>
      <c r="Q188" s="120"/>
      <c r="R188" s="79">
        <f t="shared" si="27"/>
        <v>0</v>
      </c>
      <c r="T188" s="138"/>
      <c r="U188" s="138"/>
      <c r="V188" s="139"/>
      <c r="W188" s="140"/>
      <c r="X188" s="140">
        <f t="shared" si="28"/>
        <v>0</v>
      </c>
      <c r="Z188" s="138"/>
      <c r="AA188" s="138"/>
      <c r="AB188" s="139"/>
      <c r="AC188" s="140"/>
      <c r="AD188" s="140">
        <f t="shared" si="22"/>
        <v>0</v>
      </c>
      <c r="AF188" s="118"/>
      <c r="AG188" s="118"/>
      <c r="AH188" s="119"/>
      <c r="AI188" s="120"/>
      <c r="AJ188" s="120">
        <f t="shared" si="23"/>
        <v>0</v>
      </c>
    </row>
    <row r="189" spans="2:36" x14ac:dyDescent="0.25">
      <c r="B189" s="42"/>
      <c r="C189" s="42"/>
      <c r="D189" s="78"/>
      <c r="E189" s="79"/>
      <c r="F189" s="79">
        <f t="shared" si="29"/>
        <v>0</v>
      </c>
      <c r="H189" s="118"/>
      <c r="I189" s="118"/>
      <c r="J189" s="119"/>
      <c r="K189" s="120"/>
      <c r="L189" s="79">
        <f t="shared" si="21"/>
        <v>0</v>
      </c>
      <c r="N189" s="118"/>
      <c r="O189" s="118"/>
      <c r="P189" s="119"/>
      <c r="Q189" s="120"/>
      <c r="R189" s="79">
        <f t="shared" si="27"/>
        <v>0</v>
      </c>
      <c r="T189" s="138"/>
      <c r="U189" s="138"/>
      <c r="V189" s="139"/>
      <c r="W189" s="140"/>
      <c r="X189" s="140">
        <f t="shared" si="28"/>
        <v>0</v>
      </c>
      <c r="Z189" s="138"/>
      <c r="AA189" s="138"/>
      <c r="AB189" s="139"/>
      <c r="AC189" s="140"/>
      <c r="AD189" s="140">
        <f t="shared" si="22"/>
        <v>0</v>
      </c>
      <c r="AF189" s="118"/>
      <c r="AG189" s="118"/>
      <c r="AH189" s="119"/>
      <c r="AI189" s="120"/>
      <c r="AJ189" s="120">
        <f t="shared" si="23"/>
        <v>0</v>
      </c>
    </row>
    <row r="190" spans="2:36" x14ac:dyDescent="0.25">
      <c r="B190" s="42"/>
      <c r="C190" s="42"/>
      <c r="D190" s="78"/>
      <c r="E190" s="79"/>
      <c r="F190" s="79">
        <f t="shared" si="29"/>
        <v>0</v>
      </c>
      <c r="H190" s="118"/>
      <c r="I190" s="118"/>
      <c r="J190" s="119"/>
      <c r="K190" s="120"/>
      <c r="L190" s="79">
        <f t="shared" si="21"/>
        <v>0</v>
      </c>
      <c r="N190" s="118"/>
      <c r="O190" s="118"/>
      <c r="P190" s="119"/>
      <c r="Q190" s="120"/>
      <c r="R190" s="79">
        <f t="shared" si="27"/>
        <v>0</v>
      </c>
      <c r="T190" s="138"/>
      <c r="U190" s="138"/>
      <c r="V190" s="139"/>
      <c r="W190" s="140"/>
      <c r="X190" s="140">
        <f t="shared" si="28"/>
        <v>0</v>
      </c>
      <c r="Z190" s="138"/>
      <c r="AA190" s="138"/>
      <c r="AB190" s="139"/>
      <c r="AC190" s="140"/>
      <c r="AD190" s="140">
        <f t="shared" si="22"/>
        <v>0</v>
      </c>
      <c r="AF190" s="118"/>
      <c r="AG190" s="118"/>
      <c r="AH190" s="119"/>
      <c r="AI190" s="120"/>
      <c r="AJ190" s="120">
        <f t="shared" si="23"/>
        <v>0</v>
      </c>
    </row>
    <row r="191" spans="2:36" x14ac:dyDescent="0.25">
      <c r="B191" s="42"/>
      <c r="C191" s="42"/>
      <c r="D191" s="78"/>
      <c r="E191" s="79"/>
      <c r="F191" s="79">
        <f t="shared" si="29"/>
        <v>0</v>
      </c>
      <c r="H191" s="118"/>
      <c r="I191" s="118"/>
      <c r="J191" s="119"/>
      <c r="K191" s="120"/>
      <c r="L191" s="79">
        <f t="shared" si="21"/>
        <v>0</v>
      </c>
      <c r="N191" s="118"/>
      <c r="O191" s="118"/>
      <c r="P191" s="119"/>
      <c r="Q191" s="120"/>
      <c r="R191" s="79">
        <f t="shared" si="27"/>
        <v>0</v>
      </c>
      <c r="T191" s="138"/>
      <c r="U191" s="138"/>
      <c r="V191" s="139"/>
      <c r="W191" s="140"/>
      <c r="X191" s="140">
        <f t="shared" si="28"/>
        <v>0</v>
      </c>
      <c r="Z191" s="138"/>
      <c r="AA191" s="138"/>
      <c r="AB191" s="139"/>
      <c r="AC191" s="140"/>
      <c r="AD191" s="140">
        <f t="shared" si="22"/>
        <v>0</v>
      </c>
      <c r="AF191" s="118"/>
      <c r="AG191" s="118"/>
      <c r="AH191" s="119"/>
      <c r="AI191" s="120"/>
      <c r="AJ191" s="120">
        <f t="shared" si="23"/>
        <v>0</v>
      </c>
    </row>
    <row r="192" spans="2:36" x14ac:dyDescent="0.25">
      <c r="B192" s="42"/>
      <c r="C192" s="42"/>
      <c r="D192" s="78"/>
      <c r="E192" s="79"/>
      <c r="F192" s="79">
        <f t="shared" si="29"/>
        <v>0</v>
      </c>
      <c r="H192" s="118"/>
      <c r="I192" s="118"/>
      <c r="J192" s="119"/>
      <c r="K192" s="120"/>
      <c r="L192" s="79">
        <f t="shared" si="21"/>
        <v>0</v>
      </c>
      <c r="N192" s="118"/>
      <c r="O192" s="118"/>
      <c r="P192" s="119"/>
      <c r="Q192" s="120"/>
      <c r="R192" s="79">
        <f t="shared" si="27"/>
        <v>0</v>
      </c>
      <c r="T192" s="138"/>
      <c r="U192" s="138"/>
      <c r="V192" s="139"/>
      <c r="W192" s="140"/>
      <c r="X192" s="140">
        <f t="shared" si="28"/>
        <v>0</v>
      </c>
      <c r="Z192" s="138"/>
      <c r="AA192" s="138"/>
      <c r="AB192" s="139"/>
      <c r="AC192" s="140"/>
      <c r="AD192" s="140">
        <f t="shared" si="22"/>
        <v>0</v>
      </c>
      <c r="AF192" s="118"/>
      <c r="AG192" s="118"/>
      <c r="AH192" s="119"/>
      <c r="AI192" s="120"/>
      <c r="AJ192" s="120">
        <f t="shared" si="23"/>
        <v>0</v>
      </c>
    </row>
    <row r="193" spans="2:36" x14ac:dyDescent="0.25">
      <c r="B193" s="42"/>
      <c r="C193" s="42"/>
      <c r="D193" s="78"/>
      <c r="E193" s="79"/>
      <c r="F193" s="79">
        <f t="shared" si="29"/>
        <v>0</v>
      </c>
      <c r="H193" s="118"/>
      <c r="I193" s="118"/>
      <c r="J193" s="119"/>
      <c r="K193" s="120"/>
      <c r="L193" s="79">
        <f t="shared" si="21"/>
        <v>0</v>
      </c>
      <c r="N193" s="118"/>
      <c r="O193" s="118"/>
      <c r="P193" s="119"/>
      <c r="Q193" s="120"/>
      <c r="R193" s="79">
        <f t="shared" si="27"/>
        <v>0</v>
      </c>
      <c r="T193" s="138"/>
      <c r="U193" s="138"/>
      <c r="V193" s="139"/>
      <c r="W193" s="140"/>
      <c r="X193" s="140">
        <f t="shared" si="28"/>
        <v>0</v>
      </c>
      <c r="Z193" s="138"/>
      <c r="AA193" s="138"/>
      <c r="AB193" s="139"/>
      <c r="AC193" s="140"/>
      <c r="AD193" s="140">
        <f t="shared" si="22"/>
        <v>0</v>
      </c>
      <c r="AF193" s="118"/>
      <c r="AG193" s="118"/>
      <c r="AH193" s="119"/>
      <c r="AI193" s="120"/>
      <c r="AJ193" s="120">
        <f t="shared" si="23"/>
        <v>0</v>
      </c>
    </row>
    <row r="194" spans="2:36" x14ac:dyDescent="0.25">
      <c r="B194" s="42"/>
      <c r="C194" s="42"/>
      <c r="D194" s="78"/>
      <c r="E194" s="79"/>
      <c r="F194" s="79">
        <f t="shared" si="29"/>
        <v>0</v>
      </c>
      <c r="H194" s="118"/>
      <c r="I194" s="118"/>
      <c r="J194" s="119"/>
      <c r="K194" s="120"/>
      <c r="L194" s="79">
        <f t="shared" si="21"/>
        <v>0</v>
      </c>
      <c r="N194" s="118"/>
      <c r="O194" s="118"/>
      <c r="P194" s="119"/>
      <c r="Q194" s="120"/>
      <c r="R194" s="79">
        <f t="shared" si="27"/>
        <v>0</v>
      </c>
      <c r="T194" s="138"/>
      <c r="U194" s="138"/>
      <c r="V194" s="139"/>
      <c r="W194" s="140"/>
      <c r="X194" s="140">
        <f t="shared" si="28"/>
        <v>0</v>
      </c>
      <c r="Z194" s="138"/>
      <c r="AA194" s="138"/>
      <c r="AB194" s="139"/>
      <c r="AC194" s="140"/>
      <c r="AD194" s="140">
        <f t="shared" si="22"/>
        <v>0</v>
      </c>
      <c r="AF194" s="118"/>
      <c r="AG194" s="118"/>
      <c r="AH194" s="119"/>
      <c r="AI194" s="120"/>
      <c r="AJ194" s="120">
        <f t="shared" si="23"/>
        <v>0</v>
      </c>
    </row>
    <row r="195" spans="2:36" x14ac:dyDescent="0.25">
      <c r="B195" s="42"/>
      <c r="C195" s="42"/>
      <c r="D195" s="78"/>
      <c r="E195" s="79"/>
      <c r="F195" s="79">
        <f t="shared" si="29"/>
        <v>0</v>
      </c>
      <c r="H195" s="118"/>
      <c r="I195" s="118"/>
      <c r="J195" s="119"/>
      <c r="K195" s="120"/>
      <c r="L195" s="79">
        <f t="shared" si="21"/>
        <v>0</v>
      </c>
      <c r="N195" s="118"/>
      <c r="O195" s="118"/>
      <c r="P195" s="119"/>
      <c r="Q195" s="120"/>
      <c r="R195" s="79">
        <f t="shared" si="27"/>
        <v>0</v>
      </c>
      <c r="T195" s="138"/>
      <c r="U195" s="138"/>
      <c r="V195" s="139"/>
      <c r="W195" s="140"/>
      <c r="X195" s="140">
        <f t="shared" si="28"/>
        <v>0</v>
      </c>
      <c r="Z195" s="138"/>
      <c r="AA195" s="138"/>
      <c r="AB195" s="139"/>
      <c r="AC195" s="140"/>
      <c r="AD195" s="140">
        <f t="shared" si="22"/>
        <v>0</v>
      </c>
      <c r="AF195" s="118"/>
      <c r="AG195" s="118"/>
      <c r="AH195" s="119"/>
      <c r="AI195" s="120"/>
      <c r="AJ195" s="120">
        <f t="shared" si="23"/>
        <v>0</v>
      </c>
    </row>
    <row r="196" spans="2:36" x14ac:dyDescent="0.25">
      <c r="B196" s="42"/>
      <c r="C196" s="42"/>
      <c r="D196" s="78"/>
      <c r="E196" s="79"/>
      <c r="F196" s="79">
        <f t="shared" si="29"/>
        <v>0</v>
      </c>
      <c r="H196" s="118"/>
      <c r="I196" s="118"/>
      <c r="J196" s="119"/>
      <c r="K196" s="120"/>
      <c r="L196" s="79">
        <f t="shared" ref="L196:L232" si="30">J196*K196</f>
        <v>0</v>
      </c>
      <c r="N196" s="118"/>
      <c r="O196" s="118"/>
      <c r="P196" s="119"/>
      <c r="Q196" s="120"/>
      <c r="R196" s="79">
        <f t="shared" si="27"/>
        <v>0</v>
      </c>
      <c r="T196" s="138"/>
      <c r="U196" s="138"/>
      <c r="V196" s="139"/>
      <c r="W196" s="140"/>
      <c r="X196" s="140">
        <f t="shared" si="28"/>
        <v>0</v>
      </c>
      <c r="Z196" s="138"/>
      <c r="AA196" s="138"/>
      <c r="AB196" s="139"/>
      <c r="AC196" s="140"/>
      <c r="AD196" s="140">
        <f t="shared" ref="AD196:AD232" si="31">AB196*AC196</f>
        <v>0</v>
      </c>
      <c r="AF196" s="118"/>
      <c r="AG196" s="118"/>
      <c r="AH196" s="119"/>
      <c r="AI196" s="120"/>
      <c r="AJ196" s="120">
        <f t="shared" ref="AJ196:AJ232" si="32">AH196*AI196</f>
        <v>0</v>
      </c>
    </row>
    <row r="197" spans="2:36" x14ac:dyDescent="0.25">
      <c r="B197" s="42"/>
      <c r="C197" s="42"/>
      <c r="D197" s="78"/>
      <c r="E197" s="79"/>
      <c r="F197" s="79">
        <f t="shared" si="29"/>
        <v>0</v>
      </c>
      <c r="H197" s="118"/>
      <c r="I197" s="118"/>
      <c r="J197" s="119"/>
      <c r="K197" s="120"/>
      <c r="L197" s="79">
        <f t="shared" si="30"/>
        <v>0</v>
      </c>
      <c r="N197" s="118"/>
      <c r="O197" s="118"/>
      <c r="P197" s="119"/>
      <c r="Q197" s="120"/>
      <c r="R197" s="79">
        <f t="shared" si="27"/>
        <v>0</v>
      </c>
      <c r="T197" s="138"/>
      <c r="U197" s="138"/>
      <c r="V197" s="139"/>
      <c r="W197" s="140"/>
      <c r="X197" s="140">
        <f t="shared" si="28"/>
        <v>0</v>
      </c>
      <c r="Z197" s="138"/>
      <c r="AA197" s="138"/>
      <c r="AB197" s="139"/>
      <c r="AC197" s="140"/>
      <c r="AD197" s="140">
        <f t="shared" si="31"/>
        <v>0</v>
      </c>
      <c r="AF197" s="118"/>
      <c r="AG197" s="118"/>
      <c r="AH197" s="119"/>
      <c r="AI197" s="120"/>
      <c r="AJ197" s="120">
        <f t="shared" si="32"/>
        <v>0</v>
      </c>
    </row>
    <row r="198" spans="2:36" x14ac:dyDescent="0.25">
      <c r="B198" s="42"/>
      <c r="C198" s="42"/>
      <c r="D198" s="78"/>
      <c r="E198" s="79"/>
      <c r="F198" s="79">
        <f t="shared" si="29"/>
        <v>0</v>
      </c>
      <c r="H198" s="118"/>
      <c r="I198" s="118"/>
      <c r="J198" s="119"/>
      <c r="K198" s="120"/>
      <c r="L198" s="79">
        <f t="shared" si="30"/>
        <v>0</v>
      </c>
      <c r="N198" s="118"/>
      <c r="O198" s="118"/>
      <c r="P198" s="119"/>
      <c r="Q198" s="120"/>
      <c r="R198" s="79">
        <f t="shared" si="27"/>
        <v>0</v>
      </c>
      <c r="T198" s="138"/>
      <c r="U198" s="138"/>
      <c r="V198" s="139"/>
      <c r="W198" s="140"/>
      <c r="X198" s="140">
        <f t="shared" si="28"/>
        <v>0</v>
      </c>
      <c r="Z198" s="138"/>
      <c r="AA198" s="138"/>
      <c r="AB198" s="139"/>
      <c r="AC198" s="140"/>
      <c r="AD198" s="140">
        <f t="shared" si="31"/>
        <v>0</v>
      </c>
      <c r="AF198" s="118"/>
      <c r="AG198" s="118"/>
      <c r="AH198" s="119"/>
      <c r="AI198" s="120"/>
      <c r="AJ198" s="120">
        <f t="shared" si="32"/>
        <v>0</v>
      </c>
    </row>
    <row r="199" spans="2:36" x14ac:dyDescent="0.25">
      <c r="B199" s="42"/>
      <c r="C199" s="42"/>
      <c r="D199" s="78"/>
      <c r="E199" s="79"/>
      <c r="F199" s="79">
        <f t="shared" si="29"/>
        <v>0</v>
      </c>
      <c r="H199" s="118"/>
      <c r="I199" s="118"/>
      <c r="J199" s="119"/>
      <c r="K199" s="120"/>
      <c r="L199" s="79">
        <f t="shared" si="30"/>
        <v>0</v>
      </c>
      <c r="N199" s="118"/>
      <c r="O199" s="118"/>
      <c r="P199" s="119"/>
      <c r="Q199" s="120"/>
      <c r="R199" s="79">
        <f t="shared" ref="R199:R230" si="33">P199*Q199</f>
        <v>0</v>
      </c>
      <c r="T199" s="138"/>
      <c r="U199" s="138"/>
      <c r="V199" s="139"/>
      <c r="W199" s="140"/>
      <c r="X199" s="140">
        <f t="shared" si="28"/>
        <v>0</v>
      </c>
      <c r="Z199" s="138"/>
      <c r="AA199" s="138"/>
      <c r="AB199" s="139"/>
      <c r="AC199" s="140"/>
      <c r="AD199" s="140">
        <f t="shared" si="31"/>
        <v>0</v>
      </c>
      <c r="AF199" s="118"/>
      <c r="AG199" s="118"/>
      <c r="AH199" s="119"/>
      <c r="AI199" s="120"/>
      <c r="AJ199" s="120">
        <f t="shared" si="32"/>
        <v>0</v>
      </c>
    </row>
    <row r="200" spans="2:36" x14ac:dyDescent="0.25">
      <c r="B200" s="42"/>
      <c r="C200" s="42"/>
      <c r="D200" s="78"/>
      <c r="E200" s="79"/>
      <c r="F200" s="79">
        <f t="shared" si="29"/>
        <v>0</v>
      </c>
      <c r="H200" s="118"/>
      <c r="I200" s="118"/>
      <c r="J200" s="119"/>
      <c r="K200" s="120"/>
      <c r="L200" s="79">
        <f t="shared" si="30"/>
        <v>0</v>
      </c>
      <c r="N200" s="118"/>
      <c r="O200" s="118"/>
      <c r="P200" s="119"/>
      <c r="Q200" s="120"/>
      <c r="R200" s="79">
        <f t="shared" si="33"/>
        <v>0</v>
      </c>
      <c r="T200" s="138"/>
      <c r="U200" s="138"/>
      <c r="V200" s="139"/>
      <c r="W200" s="140"/>
      <c r="X200" s="140">
        <f t="shared" si="28"/>
        <v>0</v>
      </c>
      <c r="Z200" s="138"/>
      <c r="AA200" s="138"/>
      <c r="AB200" s="139"/>
      <c r="AC200" s="140"/>
      <c r="AD200" s="140">
        <f t="shared" si="31"/>
        <v>0</v>
      </c>
      <c r="AF200" s="118"/>
      <c r="AG200" s="118"/>
      <c r="AH200" s="119"/>
      <c r="AI200" s="120"/>
      <c r="AJ200" s="120">
        <f t="shared" si="32"/>
        <v>0</v>
      </c>
    </row>
    <row r="201" spans="2:36" x14ac:dyDescent="0.25">
      <c r="B201" s="42"/>
      <c r="C201" s="42"/>
      <c r="D201" s="78"/>
      <c r="E201" s="79"/>
      <c r="F201" s="79">
        <f t="shared" si="29"/>
        <v>0</v>
      </c>
      <c r="H201" s="118"/>
      <c r="I201" s="118"/>
      <c r="J201" s="119"/>
      <c r="K201" s="120"/>
      <c r="L201" s="79">
        <f t="shared" si="30"/>
        <v>0</v>
      </c>
      <c r="N201" s="118"/>
      <c r="O201" s="118"/>
      <c r="P201" s="119"/>
      <c r="Q201" s="120"/>
      <c r="R201" s="79">
        <f t="shared" si="33"/>
        <v>0</v>
      </c>
      <c r="T201" s="138"/>
      <c r="U201" s="138"/>
      <c r="V201" s="139"/>
      <c r="W201" s="140"/>
      <c r="X201" s="140">
        <f t="shared" si="28"/>
        <v>0</v>
      </c>
      <c r="Z201" s="138"/>
      <c r="AA201" s="138"/>
      <c r="AB201" s="139"/>
      <c r="AC201" s="140"/>
      <c r="AD201" s="140">
        <f t="shared" si="31"/>
        <v>0</v>
      </c>
      <c r="AF201" s="118"/>
      <c r="AG201" s="118"/>
      <c r="AH201" s="119"/>
      <c r="AI201" s="120"/>
      <c r="AJ201" s="120">
        <f t="shared" si="32"/>
        <v>0</v>
      </c>
    </row>
    <row r="202" spans="2:36" x14ac:dyDescent="0.25">
      <c r="B202" s="42"/>
      <c r="C202" s="42"/>
      <c r="D202" s="78"/>
      <c r="E202" s="79"/>
      <c r="F202" s="79">
        <f t="shared" si="29"/>
        <v>0</v>
      </c>
      <c r="H202" s="118"/>
      <c r="I202" s="118"/>
      <c r="J202" s="119"/>
      <c r="K202" s="120"/>
      <c r="L202" s="79">
        <f t="shared" si="30"/>
        <v>0</v>
      </c>
      <c r="N202" s="118"/>
      <c r="O202" s="118"/>
      <c r="P202" s="119"/>
      <c r="Q202" s="120"/>
      <c r="R202" s="79">
        <f t="shared" si="33"/>
        <v>0</v>
      </c>
      <c r="T202" s="138"/>
      <c r="U202" s="138"/>
      <c r="V202" s="139"/>
      <c r="W202" s="140"/>
      <c r="X202" s="140">
        <f t="shared" si="28"/>
        <v>0</v>
      </c>
      <c r="Z202" s="138"/>
      <c r="AA202" s="138"/>
      <c r="AB202" s="139"/>
      <c r="AC202" s="140"/>
      <c r="AD202" s="140">
        <f t="shared" si="31"/>
        <v>0</v>
      </c>
      <c r="AF202" s="118"/>
      <c r="AG202" s="118"/>
      <c r="AH202" s="119"/>
      <c r="AI202" s="120"/>
      <c r="AJ202" s="120">
        <f t="shared" si="32"/>
        <v>0</v>
      </c>
    </row>
    <row r="203" spans="2:36" x14ac:dyDescent="0.25">
      <c r="B203" s="42"/>
      <c r="C203" s="42"/>
      <c r="D203" s="78"/>
      <c r="E203" s="79"/>
      <c r="F203" s="79">
        <f t="shared" si="29"/>
        <v>0</v>
      </c>
      <c r="H203" s="118"/>
      <c r="I203" s="118"/>
      <c r="J203" s="119"/>
      <c r="K203" s="120"/>
      <c r="L203" s="79">
        <f t="shared" si="30"/>
        <v>0</v>
      </c>
      <c r="N203" s="118"/>
      <c r="O203" s="118"/>
      <c r="P203" s="119"/>
      <c r="Q203" s="120"/>
      <c r="R203" s="79">
        <f t="shared" si="33"/>
        <v>0</v>
      </c>
      <c r="T203" s="138"/>
      <c r="U203" s="138"/>
      <c r="V203" s="139"/>
      <c r="W203" s="140"/>
      <c r="X203" s="140">
        <f t="shared" si="28"/>
        <v>0</v>
      </c>
      <c r="Z203" s="138"/>
      <c r="AA203" s="138"/>
      <c r="AB203" s="139"/>
      <c r="AC203" s="140"/>
      <c r="AD203" s="140">
        <f t="shared" si="31"/>
        <v>0</v>
      </c>
      <c r="AF203" s="118"/>
      <c r="AG203" s="118"/>
      <c r="AH203" s="119"/>
      <c r="AI203" s="120"/>
      <c r="AJ203" s="120">
        <f t="shared" si="32"/>
        <v>0</v>
      </c>
    </row>
    <row r="204" spans="2:36" x14ac:dyDescent="0.25">
      <c r="B204" s="42"/>
      <c r="C204" s="42"/>
      <c r="D204" s="78"/>
      <c r="E204" s="79"/>
      <c r="F204" s="79">
        <f t="shared" si="29"/>
        <v>0</v>
      </c>
      <c r="H204" s="118"/>
      <c r="I204" s="118"/>
      <c r="J204" s="119"/>
      <c r="K204" s="120"/>
      <c r="L204" s="79">
        <f t="shared" si="30"/>
        <v>0</v>
      </c>
      <c r="N204" s="118"/>
      <c r="O204" s="118"/>
      <c r="P204" s="119"/>
      <c r="Q204" s="120"/>
      <c r="R204" s="79">
        <f t="shared" si="33"/>
        <v>0</v>
      </c>
      <c r="T204" s="138"/>
      <c r="U204" s="138"/>
      <c r="V204" s="139"/>
      <c r="W204" s="140"/>
      <c r="X204" s="140">
        <f t="shared" si="28"/>
        <v>0</v>
      </c>
      <c r="Z204" s="138"/>
      <c r="AA204" s="138"/>
      <c r="AB204" s="139"/>
      <c r="AC204" s="140"/>
      <c r="AD204" s="140">
        <f t="shared" si="31"/>
        <v>0</v>
      </c>
      <c r="AF204" s="118"/>
      <c r="AG204" s="118"/>
      <c r="AH204" s="119"/>
      <c r="AI204" s="120"/>
      <c r="AJ204" s="120">
        <f t="shared" si="32"/>
        <v>0</v>
      </c>
    </row>
    <row r="205" spans="2:36" x14ac:dyDescent="0.25">
      <c r="B205" s="42"/>
      <c r="C205" s="42"/>
      <c r="D205" s="78"/>
      <c r="E205" s="79"/>
      <c r="F205" s="79">
        <f t="shared" si="29"/>
        <v>0</v>
      </c>
      <c r="H205" s="118"/>
      <c r="I205" s="118"/>
      <c r="J205" s="119"/>
      <c r="K205" s="120"/>
      <c r="L205" s="79">
        <f t="shared" si="30"/>
        <v>0</v>
      </c>
      <c r="N205" s="118"/>
      <c r="O205" s="118"/>
      <c r="P205" s="119"/>
      <c r="Q205" s="120"/>
      <c r="R205" s="79">
        <f t="shared" si="33"/>
        <v>0</v>
      </c>
      <c r="T205" s="138"/>
      <c r="U205" s="138"/>
      <c r="V205" s="139"/>
      <c r="W205" s="140"/>
      <c r="X205" s="140">
        <f t="shared" si="28"/>
        <v>0</v>
      </c>
      <c r="Z205" s="138"/>
      <c r="AA205" s="138"/>
      <c r="AB205" s="139"/>
      <c r="AC205" s="140"/>
      <c r="AD205" s="140">
        <f t="shared" si="31"/>
        <v>0</v>
      </c>
      <c r="AF205" s="118"/>
      <c r="AG205" s="118"/>
      <c r="AH205" s="119"/>
      <c r="AI205" s="120"/>
      <c r="AJ205" s="120">
        <f t="shared" si="32"/>
        <v>0</v>
      </c>
    </row>
    <row r="206" spans="2:36" x14ac:dyDescent="0.25">
      <c r="B206" s="42"/>
      <c r="C206" s="42"/>
      <c r="D206" s="78"/>
      <c r="E206" s="79"/>
      <c r="F206" s="79">
        <f t="shared" si="29"/>
        <v>0</v>
      </c>
      <c r="H206" s="118"/>
      <c r="I206" s="118"/>
      <c r="J206" s="119"/>
      <c r="K206" s="120"/>
      <c r="L206" s="79">
        <f t="shared" si="30"/>
        <v>0</v>
      </c>
      <c r="N206" s="118"/>
      <c r="O206" s="118"/>
      <c r="P206" s="119"/>
      <c r="Q206" s="120"/>
      <c r="R206" s="79">
        <f t="shared" si="33"/>
        <v>0</v>
      </c>
      <c r="T206" s="138"/>
      <c r="U206" s="138"/>
      <c r="V206" s="139"/>
      <c r="W206" s="140"/>
      <c r="X206" s="140">
        <f t="shared" si="28"/>
        <v>0</v>
      </c>
      <c r="Z206" s="138"/>
      <c r="AA206" s="138"/>
      <c r="AB206" s="139"/>
      <c r="AC206" s="140"/>
      <c r="AD206" s="140">
        <f t="shared" si="31"/>
        <v>0</v>
      </c>
      <c r="AF206" s="118"/>
      <c r="AG206" s="118"/>
      <c r="AH206" s="119"/>
      <c r="AI206" s="120"/>
      <c r="AJ206" s="120">
        <f t="shared" si="32"/>
        <v>0</v>
      </c>
    </row>
    <row r="207" spans="2:36" x14ac:dyDescent="0.25">
      <c r="B207" s="42"/>
      <c r="C207" s="42"/>
      <c r="D207" s="78"/>
      <c r="E207" s="79"/>
      <c r="F207" s="79">
        <f t="shared" si="29"/>
        <v>0</v>
      </c>
      <c r="H207" s="118"/>
      <c r="I207" s="118"/>
      <c r="J207" s="119"/>
      <c r="K207" s="120"/>
      <c r="L207" s="79">
        <f t="shared" si="30"/>
        <v>0</v>
      </c>
      <c r="N207" s="118"/>
      <c r="O207" s="118"/>
      <c r="P207" s="119"/>
      <c r="Q207" s="120"/>
      <c r="R207" s="79">
        <f t="shared" si="33"/>
        <v>0</v>
      </c>
      <c r="T207" s="118"/>
      <c r="U207" s="118"/>
      <c r="V207" s="119"/>
      <c r="W207" s="120"/>
      <c r="X207" s="79">
        <f t="shared" si="28"/>
        <v>0</v>
      </c>
      <c r="Z207" s="118"/>
      <c r="AA207" s="118"/>
      <c r="AB207" s="119"/>
      <c r="AC207" s="120"/>
      <c r="AD207" s="140">
        <f t="shared" si="31"/>
        <v>0</v>
      </c>
      <c r="AF207" s="118"/>
      <c r="AG207" s="118"/>
      <c r="AH207" s="119"/>
      <c r="AI207" s="120"/>
      <c r="AJ207" s="120">
        <f t="shared" si="32"/>
        <v>0</v>
      </c>
    </row>
    <row r="208" spans="2:36" x14ac:dyDescent="0.25">
      <c r="B208" s="42"/>
      <c r="C208" s="42"/>
      <c r="D208" s="78"/>
      <c r="E208" s="79"/>
      <c r="F208" s="79">
        <f t="shared" si="29"/>
        <v>0</v>
      </c>
      <c r="H208" s="118"/>
      <c r="I208" s="118"/>
      <c r="J208" s="119"/>
      <c r="K208" s="120"/>
      <c r="L208" s="79">
        <f t="shared" si="30"/>
        <v>0</v>
      </c>
      <c r="N208" s="118"/>
      <c r="O208" s="118"/>
      <c r="P208" s="119"/>
      <c r="Q208" s="120"/>
      <c r="R208" s="79">
        <f t="shared" si="33"/>
        <v>0</v>
      </c>
      <c r="T208" s="118"/>
      <c r="U208" s="118"/>
      <c r="V208" s="119"/>
      <c r="W208" s="120"/>
      <c r="X208" s="79">
        <f t="shared" si="28"/>
        <v>0</v>
      </c>
      <c r="Z208" s="118"/>
      <c r="AA208" s="118"/>
      <c r="AB208" s="119"/>
      <c r="AC208" s="120"/>
      <c r="AD208" s="140">
        <f t="shared" si="31"/>
        <v>0</v>
      </c>
      <c r="AF208" s="118"/>
      <c r="AG208" s="118"/>
      <c r="AH208" s="119"/>
      <c r="AI208" s="120"/>
      <c r="AJ208" s="120">
        <f t="shared" si="32"/>
        <v>0</v>
      </c>
    </row>
    <row r="209" spans="2:36" x14ac:dyDescent="0.25">
      <c r="B209" s="42"/>
      <c r="C209" s="42"/>
      <c r="D209" s="78"/>
      <c r="E209" s="79"/>
      <c r="F209" s="79">
        <f t="shared" si="29"/>
        <v>0</v>
      </c>
      <c r="H209" s="118"/>
      <c r="I209" s="118"/>
      <c r="J209" s="119"/>
      <c r="K209" s="120"/>
      <c r="L209" s="79">
        <f t="shared" si="30"/>
        <v>0</v>
      </c>
      <c r="N209" s="118"/>
      <c r="O209" s="118"/>
      <c r="P209" s="119"/>
      <c r="Q209" s="120"/>
      <c r="R209" s="79">
        <f t="shared" si="33"/>
        <v>0</v>
      </c>
      <c r="T209" s="118"/>
      <c r="U209" s="118"/>
      <c r="V209" s="119"/>
      <c r="W209" s="120"/>
      <c r="X209" s="79">
        <f t="shared" si="28"/>
        <v>0</v>
      </c>
      <c r="Z209" s="118"/>
      <c r="AA209" s="118"/>
      <c r="AB209" s="119"/>
      <c r="AC209" s="120"/>
      <c r="AD209" s="140">
        <f t="shared" si="31"/>
        <v>0</v>
      </c>
      <c r="AF209" s="118"/>
      <c r="AG209" s="118"/>
      <c r="AH209" s="119"/>
      <c r="AI209" s="120"/>
      <c r="AJ209" s="120">
        <f t="shared" si="32"/>
        <v>0</v>
      </c>
    </row>
    <row r="210" spans="2:36" x14ac:dyDescent="0.25">
      <c r="B210" s="42"/>
      <c r="C210" s="42"/>
      <c r="D210" s="78"/>
      <c r="E210" s="79"/>
      <c r="F210" s="79">
        <f t="shared" si="29"/>
        <v>0</v>
      </c>
      <c r="H210" s="118"/>
      <c r="I210" s="118"/>
      <c r="J210" s="119"/>
      <c r="K210" s="120"/>
      <c r="L210" s="79">
        <f t="shared" si="30"/>
        <v>0</v>
      </c>
      <c r="N210" s="118"/>
      <c r="O210" s="118"/>
      <c r="P210" s="119"/>
      <c r="Q210" s="120"/>
      <c r="R210" s="79">
        <f t="shared" si="33"/>
        <v>0</v>
      </c>
      <c r="T210" s="118"/>
      <c r="U210" s="118"/>
      <c r="V210" s="119"/>
      <c r="W210" s="120"/>
      <c r="X210" s="79">
        <f t="shared" si="28"/>
        <v>0</v>
      </c>
      <c r="Z210" s="118"/>
      <c r="AA210" s="118"/>
      <c r="AB210" s="119"/>
      <c r="AC210" s="120"/>
      <c r="AD210" s="140">
        <f t="shared" si="31"/>
        <v>0</v>
      </c>
      <c r="AF210" s="118"/>
      <c r="AG210" s="118"/>
      <c r="AH210" s="119"/>
      <c r="AI210" s="120"/>
      <c r="AJ210" s="120">
        <f t="shared" si="32"/>
        <v>0</v>
      </c>
    </row>
    <row r="211" spans="2:36" x14ac:dyDescent="0.25">
      <c r="B211" s="42"/>
      <c r="C211" s="42"/>
      <c r="D211" s="78"/>
      <c r="E211" s="79"/>
      <c r="F211" s="79">
        <f t="shared" si="29"/>
        <v>0</v>
      </c>
      <c r="H211" s="118"/>
      <c r="I211" s="118"/>
      <c r="J211" s="119"/>
      <c r="K211" s="120"/>
      <c r="L211" s="79">
        <f t="shared" si="30"/>
        <v>0</v>
      </c>
      <c r="N211" s="118"/>
      <c r="O211" s="118"/>
      <c r="P211" s="119"/>
      <c r="Q211" s="120"/>
      <c r="R211" s="79">
        <f t="shared" si="33"/>
        <v>0</v>
      </c>
      <c r="T211" s="118"/>
      <c r="U211" s="118"/>
      <c r="V211" s="119"/>
      <c r="W211" s="120"/>
      <c r="X211" s="79">
        <f t="shared" si="28"/>
        <v>0</v>
      </c>
      <c r="Z211" s="118"/>
      <c r="AA211" s="118"/>
      <c r="AB211" s="119"/>
      <c r="AC211" s="120"/>
      <c r="AD211" s="140">
        <f t="shared" si="31"/>
        <v>0</v>
      </c>
      <c r="AF211" s="118"/>
      <c r="AG211" s="118"/>
      <c r="AH211" s="119"/>
      <c r="AI211" s="120"/>
      <c r="AJ211" s="120">
        <f t="shared" si="32"/>
        <v>0</v>
      </c>
    </row>
    <row r="212" spans="2:36" x14ac:dyDescent="0.25">
      <c r="B212" s="42"/>
      <c r="C212" s="42"/>
      <c r="D212" s="78"/>
      <c r="E212" s="79"/>
      <c r="F212" s="79">
        <f t="shared" si="29"/>
        <v>0</v>
      </c>
      <c r="H212" s="118"/>
      <c r="I212" s="118"/>
      <c r="J212" s="119"/>
      <c r="K212" s="120"/>
      <c r="L212" s="79">
        <f t="shared" si="30"/>
        <v>0</v>
      </c>
      <c r="N212" s="118"/>
      <c r="O212" s="118"/>
      <c r="P212" s="119"/>
      <c r="Q212" s="120"/>
      <c r="R212" s="79">
        <f t="shared" si="33"/>
        <v>0</v>
      </c>
      <c r="T212" s="118"/>
      <c r="U212" s="118"/>
      <c r="V212" s="119"/>
      <c r="W212" s="120"/>
      <c r="X212" s="79">
        <f t="shared" ref="X212:X232" si="34">V212*W212</f>
        <v>0</v>
      </c>
      <c r="Z212" s="118"/>
      <c r="AA212" s="118"/>
      <c r="AB212" s="119"/>
      <c r="AC212" s="120"/>
      <c r="AD212" s="140">
        <f t="shared" si="31"/>
        <v>0</v>
      </c>
      <c r="AF212" s="118"/>
      <c r="AG212" s="118"/>
      <c r="AH212" s="119"/>
      <c r="AI212" s="120"/>
      <c r="AJ212" s="120">
        <f t="shared" si="32"/>
        <v>0</v>
      </c>
    </row>
    <row r="213" spans="2:36" x14ac:dyDescent="0.25">
      <c r="B213" s="42"/>
      <c r="C213" s="42"/>
      <c r="D213" s="78"/>
      <c r="E213" s="79"/>
      <c r="F213" s="79">
        <f t="shared" si="29"/>
        <v>0</v>
      </c>
      <c r="H213" s="118"/>
      <c r="I213" s="118"/>
      <c r="J213" s="119"/>
      <c r="K213" s="120"/>
      <c r="L213" s="79">
        <f t="shared" si="30"/>
        <v>0</v>
      </c>
      <c r="N213" s="118"/>
      <c r="O213" s="118"/>
      <c r="P213" s="119"/>
      <c r="Q213" s="120"/>
      <c r="R213" s="79">
        <f t="shared" si="33"/>
        <v>0</v>
      </c>
      <c r="T213" s="118"/>
      <c r="U213" s="118"/>
      <c r="V213" s="119"/>
      <c r="W213" s="120"/>
      <c r="X213" s="79">
        <f t="shared" si="34"/>
        <v>0</v>
      </c>
      <c r="Z213" s="118"/>
      <c r="AA213" s="118"/>
      <c r="AB213" s="119"/>
      <c r="AC213" s="120"/>
      <c r="AD213" s="140">
        <f t="shared" si="31"/>
        <v>0</v>
      </c>
      <c r="AF213" s="118"/>
      <c r="AG213" s="118"/>
      <c r="AH213" s="119"/>
      <c r="AI213" s="120"/>
      <c r="AJ213" s="120">
        <f t="shared" si="32"/>
        <v>0</v>
      </c>
    </row>
    <row r="214" spans="2:36" x14ac:dyDescent="0.25">
      <c r="B214" s="42"/>
      <c r="C214" s="42"/>
      <c r="D214" s="78"/>
      <c r="E214" s="79"/>
      <c r="F214" s="79">
        <f t="shared" si="29"/>
        <v>0</v>
      </c>
      <c r="H214" s="118"/>
      <c r="I214" s="118"/>
      <c r="J214" s="119"/>
      <c r="K214" s="120"/>
      <c r="L214" s="79">
        <f t="shared" si="30"/>
        <v>0</v>
      </c>
      <c r="N214" s="118"/>
      <c r="O214" s="118"/>
      <c r="P214" s="119"/>
      <c r="Q214" s="120"/>
      <c r="R214" s="79">
        <f t="shared" si="33"/>
        <v>0</v>
      </c>
      <c r="T214" s="118"/>
      <c r="U214" s="118"/>
      <c r="V214" s="119"/>
      <c r="W214" s="120"/>
      <c r="X214" s="79">
        <f t="shared" si="34"/>
        <v>0</v>
      </c>
      <c r="Z214" s="118"/>
      <c r="AA214" s="118"/>
      <c r="AB214" s="119"/>
      <c r="AC214" s="120"/>
      <c r="AD214" s="140">
        <f t="shared" si="31"/>
        <v>0</v>
      </c>
      <c r="AF214" s="118"/>
      <c r="AG214" s="118"/>
      <c r="AH214" s="119"/>
      <c r="AI214" s="120"/>
      <c r="AJ214" s="120">
        <f t="shared" si="32"/>
        <v>0</v>
      </c>
    </row>
    <row r="215" spans="2:36" x14ac:dyDescent="0.25">
      <c r="B215" s="42"/>
      <c r="C215" s="42"/>
      <c r="D215" s="78"/>
      <c r="E215" s="79"/>
      <c r="F215" s="79">
        <f t="shared" si="29"/>
        <v>0</v>
      </c>
      <c r="H215" s="118"/>
      <c r="I215" s="118"/>
      <c r="J215" s="119"/>
      <c r="K215" s="120"/>
      <c r="L215" s="79">
        <f t="shared" si="30"/>
        <v>0</v>
      </c>
      <c r="N215" s="118"/>
      <c r="O215" s="118"/>
      <c r="P215" s="119"/>
      <c r="Q215" s="120"/>
      <c r="R215" s="79">
        <f t="shared" si="33"/>
        <v>0</v>
      </c>
      <c r="T215" s="118"/>
      <c r="U215" s="118"/>
      <c r="V215" s="119"/>
      <c r="W215" s="120"/>
      <c r="X215" s="79">
        <f t="shared" si="34"/>
        <v>0</v>
      </c>
      <c r="Z215" s="118"/>
      <c r="AA215" s="118"/>
      <c r="AB215" s="119"/>
      <c r="AC215" s="120"/>
      <c r="AD215" s="140">
        <f t="shared" si="31"/>
        <v>0</v>
      </c>
      <c r="AF215" s="118"/>
      <c r="AG215" s="118"/>
      <c r="AH215" s="119"/>
      <c r="AI215" s="120"/>
      <c r="AJ215" s="120">
        <f t="shared" si="32"/>
        <v>0</v>
      </c>
    </row>
    <row r="216" spans="2:36" x14ac:dyDescent="0.25">
      <c r="B216" s="42"/>
      <c r="C216" s="42"/>
      <c r="D216" s="78"/>
      <c r="E216" s="79"/>
      <c r="F216" s="79">
        <f t="shared" si="29"/>
        <v>0</v>
      </c>
      <c r="H216" s="118"/>
      <c r="I216" s="118"/>
      <c r="J216" s="119"/>
      <c r="K216" s="120"/>
      <c r="L216" s="79">
        <f t="shared" si="30"/>
        <v>0</v>
      </c>
      <c r="N216" s="118"/>
      <c r="O216" s="118"/>
      <c r="P216" s="119"/>
      <c r="Q216" s="120"/>
      <c r="R216" s="79">
        <f t="shared" si="33"/>
        <v>0</v>
      </c>
      <c r="T216" s="118"/>
      <c r="U216" s="118"/>
      <c r="V216" s="119"/>
      <c r="W216" s="120"/>
      <c r="X216" s="79">
        <f t="shared" si="34"/>
        <v>0</v>
      </c>
      <c r="Z216" s="118"/>
      <c r="AA216" s="118"/>
      <c r="AB216" s="119"/>
      <c r="AC216" s="120"/>
      <c r="AD216" s="140">
        <f t="shared" si="31"/>
        <v>0</v>
      </c>
      <c r="AF216" s="118"/>
      <c r="AG216" s="118"/>
      <c r="AH216" s="119"/>
      <c r="AI216" s="120"/>
      <c r="AJ216" s="120">
        <f t="shared" si="32"/>
        <v>0</v>
      </c>
    </row>
    <row r="217" spans="2:36" x14ac:dyDescent="0.25">
      <c r="B217" s="42"/>
      <c r="C217" s="42"/>
      <c r="D217" s="78"/>
      <c r="E217" s="79"/>
      <c r="F217" s="79">
        <f t="shared" si="29"/>
        <v>0</v>
      </c>
      <c r="H217" s="118"/>
      <c r="I217" s="118"/>
      <c r="J217" s="119"/>
      <c r="K217" s="120"/>
      <c r="L217" s="79">
        <f t="shared" si="30"/>
        <v>0</v>
      </c>
      <c r="N217" s="118"/>
      <c r="O217" s="118"/>
      <c r="P217" s="119"/>
      <c r="Q217" s="120"/>
      <c r="R217" s="79">
        <f t="shared" si="33"/>
        <v>0</v>
      </c>
      <c r="T217" s="118"/>
      <c r="U217" s="118"/>
      <c r="V217" s="119"/>
      <c r="W217" s="120"/>
      <c r="X217" s="79">
        <f t="shared" si="34"/>
        <v>0</v>
      </c>
      <c r="Z217" s="118"/>
      <c r="AA217" s="118"/>
      <c r="AB217" s="119"/>
      <c r="AC217" s="120"/>
      <c r="AD217" s="140">
        <f t="shared" si="31"/>
        <v>0</v>
      </c>
      <c r="AF217" s="118"/>
      <c r="AG217" s="118"/>
      <c r="AH217" s="119"/>
      <c r="AI217" s="120"/>
      <c r="AJ217" s="120">
        <f t="shared" si="32"/>
        <v>0</v>
      </c>
    </row>
    <row r="218" spans="2:36" x14ac:dyDescent="0.25">
      <c r="B218" s="42"/>
      <c r="C218" s="42"/>
      <c r="D218" s="78"/>
      <c r="E218" s="79"/>
      <c r="F218" s="79">
        <f t="shared" ref="F218:F233" si="35">D218*E218</f>
        <v>0</v>
      </c>
      <c r="H218" s="118"/>
      <c r="I218" s="118"/>
      <c r="J218" s="119"/>
      <c r="K218" s="120"/>
      <c r="L218" s="79">
        <f t="shared" si="30"/>
        <v>0</v>
      </c>
      <c r="N218" s="118"/>
      <c r="O218" s="118"/>
      <c r="P218" s="119"/>
      <c r="Q218" s="120"/>
      <c r="R218" s="79">
        <f t="shared" si="33"/>
        <v>0</v>
      </c>
      <c r="T218" s="118"/>
      <c r="U218" s="118"/>
      <c r="V218" s="119"/>
      <c r="W218" s="120"/>
      <c r="X218" s="79">
        <f t="shared" si="34"/>
        <v>0</v>
      </c>
      <c r="Z218" s="118"/>
      <c r="AA218" s="118"/>
      <c r="AB218" s="119"/>
      <c r="AC218" s="120"/>
      <c r="AD218" s="140">
        <f t="shared" si="31"/>
        <v>0</v>
      </c>
      <c r="AF218" s="118"/>
      <c r="AG218" s="118"/>
      <c r="AH218" s="119"/>
      <c r="AI218" s="120"/>
      <c r="AJ218" s="120">
        <f t="shared" si="32"/>
        <v>0</v>
      </c>
    </row>
    <row r="219" spans="2:36" x14ac:dyDescent="0.25">
      <c r="B219" s="42"/>
      <c r="C219" s="42"/>
      <c r="D219" s="78"/>
      <c r="E219" s="79"/>
      <c r="F219" s="79">
        <f t="shared" si="35"/>
        <v>0</v>
      </c>
      <c r="H219" s="118"/>
      <c r="I219" s="118"/>
      <c r="J219" s="119"/>
      <c r="K219" s="120"/>
      <c r="L219" s="79">
        <f t="shared" si="30"/>
        <v>0</v>
      </c>
      <c r="N219" s="118"/>
      <c r="O219" s="118"/>
      <c r="P219" s="119"/>
      <c r="Q219" s="120"/>
      <c r="R219" s="79">
        <f t="shared" si="33"/>
        <v>0</v>
      </c>
      <c r="T219" s="118"/>
      <c r="U219" s="118"/>
      <c r="V219" s="119"/>
      <c r="W219" s="120"/>
      <c r="X219" s="79">
        <f t="shared" si="34"/>
        <v>0</v>
      </c>
      <c r="Z219" s="118"/>
      <c r="AA219" s="118"/>
      <c r="AB219" s="119"/>
      <c r="AC219" s="120"/>
      <c r="AD219" s="140">
        <f t="shared" si="31"/>
        <v>0</v>
      </c>
      <c r="AF219" s="118"/>
      <c r="AG219" s="118"/>
      <c r="AH219" s="119"/>
      <c r="AI219" s="120"/>
      <c r="AJ219" s="120">
        <f t="shared" si="32"/>
        <v>0</v>
      </c>
    </row>
    <row r="220" spans="2:36" x14ac:dyDescent="0.25">
      <c r="B220" s="42"/>
      <c r="C220" s="42"/>
      <c r="D220" s="78"/>
      <c r="E220" s="79"/>
      <c r="F220" s="79">
        <f t="shared" si="35"/>
        <v>0</v>
      </c>
      <c r="H220" s="118"/>
      <c r="I220" s="118"/>
      <c r="J220" s="119"/>
      <c r="K220" s="120"/>
      <c r="L220" s="79">
        <f t="shared" si="30"/>
        <v>0</v>
      </c>
      <c r="N220" s="118"/>
      <c r="O220" s="118"/>
      <c r="P220" s="119"/>
      <c r="Q220" s="120"/>
      <c r="R220" s="79">
        <f t="shared" si="33"/>
        <v>0</v>
      </c>
      <c r="T220" s="118"/>
      <c r="U220" s="118"/>
      <c r="V220" s="119"/>
      <c r="W220" s="120"/>
      <c r="X220" s="79">
        <f t="shared" si="34"/>
        <v>0</v>
      </c>
      <c r="Z220" s="118"/>
      <c r="AA220" s="118"/>
      <c r="AB220" s="119"/>
      <c r="AC220" s="120"/>
      <c r="AD220" s="79">
        <f t="shared" si="31"/>
        <v>0</v>
      </c>
      <c r="AF220" s="118"/>
      <c r="AG220" s="118"/>
      <c r="AH220" s="119"/>
      <c r="AI220" s="120"/>
      <c r="AJ220" s="120">
        <f t="shared" si="32"/>
        <v>0</v>
      </c>
    </row>
    <row r="221" spans="2:36" x14ac:dyDescent="0.25">
      <c r="B221" s="42"/>
      <c r="C221" s="42"/>
      <c r="D221" s="78"/>
      <c r="E221" s="79"/>
      <c r="F221" s="79">
        <f t="shared" si="35"/>
        <v>0</v>
      </c>
      <c r="H221" s="118"/>
      <c r="I221" s="118"/>
      <c r="J221" s="119"/>
      <c r="K221" s="120"/>
      <c r="L221" s="79">
        <f t="shared" si="30"/>
        <v>0</v>
      </c>
      <c r="N221" s="118"/>
      <c r="O221" s="118"/>
      <c r="P221" s="119"/>
      <c r="Q221" s="120"/>
      <c r="R221" s="79">
        <f t="shared" si="33"/>
        <v>0</v>
      </c>
      <c r="T221" s="118"/>
      <c r="U221" s="118"/>
      <c r="V221" s="119"/>
      <c r="W221" s="120"/>
      <c r="X221" s="79">
        <f t="shared" si="34"/>
        <v>0</v>
      </c>
      <c r="Z221" s="118"/>
      <c r="AA221" s="118"/>
      <c r="AB221" s="119"/>
      <c r="AC221" s="120"/>
      <c r="AD221" s="79">
        <f t="shared" si="31"/>
        <v>0</v>
      </c>
      <c r="AF221" s="118"/>
      <c r="AG221" s="118"/>
      <c r="AH221" s="119"/>
      <c r="AI221" s="120"/>
      <c r="AJ221" s="120">
        <f t="shared" si="32"/>
        <v>0</v>
      </c>
    </row>
    <row r="222" spans="2:36" x14ac:dyDescent="0.25">
      <c r="B222" s="42"/>
      <c r="C222" s="42"/>
      <c r="D222" s="78"/>
      <c r="E222" s="79"/>
      <c r="F222" s="79">
        <f t="shared" si="35"/>
        <v>0</v>
      </c>
      <c r="H222" s="118"/>
      <c r="I222" s="118"/>
      <c r="J222" s="119"/>
      <c r="K222" s="120"/>
      <c r="L222" s="79">
        <f t="shared" si="30"/>
        <v>0</v>
      </c>
      <c r="N222" s="118"/>
      <c r="O222" s="118"/>
      <c r="P222" s="119"/>
      <c r="Q222" s="120"/>
      <c r="R222" s="79">
        <f t="shared" si="33"/>
        <v>0</v>
      </c>
      <c r="T222" s="118"/>
      <c r="U222" s="118"/>
      <c r="V222" s="119"/>
      <c r="W222" s="120"/>
      <c r="X222" s="79">
        <f t="shared" si="34"/>
        <v>0</v>
      </c>
      <c r="Z222" s="118"/>
      <c r="AA222" s="118"/>
      <c r="AB222" s="119"/>
      <c r="AC222" s="120"/>
      <c r="AD222" s="79">
        <f t="shared" si="31"/>
        <v>0</v>
      </c>
      <c r="AF222" s="118"/>
      <c r="AG222" s="118"/>
      <c r="AH222" s="119"/>
      <c r="AI222" s="120"/>
      <c r="AJ222" s="79">
        <f t="shared" si="32"/>
        <v>0</v>
      </c>
    </row>
    <row r="223" spans="2:36" x14ac:dyDescent="0.25">
      <c r="B223" s="42"/>
      <c r="C223" s="42"/>
      <c r="D223" s="78"/>
      <c r="E223" s="79"/>
      <c r="F223" s="79">
        <f t="shared" si="35"/>
        <v>0</v>
      </c>
      <c r="H223" s="118"/>
      <c r="I223" s="118"/>
      <c r="J223" s="119"/>
      <c r="K223" s="120"/>
      <c r="L223" s="79">
        <f t="shared" si="30"/>
        <v>0</v>
      </c>
      <c r="N223" s="118"/>
      <c r="O223" s="118"/>
      <c r="P223" s="119"/>
      <c r="Q223" s="120"/>
      <c r="R223" s="79">
        <f t="shared" si="33"/>
        <v>0</v>
      </c>
      <c r="T223" s="118"/>
      <c r="U223" s="118"/>
      <c r="V223" s="119"/>
      <c r="W223" s="120"/>
      <c r="X223" s="79">
        <f t="shared" si="34"/>
        <v>0</v>
      </c>
      <c r="Z223" s="118"/>
      <c r="AA223" s="118"/>
      <c r="AB223" s="119"/>
      <c r="AC223" s="120"/>
      <c r="AD223" s="79">
        <f t="shared" si="31"/>
        <v>0</v>
      </c>
      <c r="AF223" s="118"/>
      <c r="AG223" s="118"/>
      <c r="AH223" s="119"/>
      <c r="AI223" s="120"/>
      <c r="AJ223" s="79">
        <f t="shared" si="32"/>
        <v>0</v>
      </c>
    </row>
    <row r="224" spans="2:36" x14ac:dyDescent="0.25">
      <c r="B224" s="42"/>
      <c r="C224" s="42"/>
      <c r="D224" s="78"/>
      <c r="E224" s="79"/>
      <c r="F224" s="79">
        <f t="shared" si="35"/>
        <v>0</v>
      </c>
      <c r="H224" s="118"/>
      <c r="I224" s="118"/>
      <c r="J224" s="119"/>
      <c r="K224" s="120"/>
      <c r="L224" s="79">
        <f t="shared" si="30"/>
        <v>0</v>
      </c>
      <c r="N224" s="118"/>
      <c r="O224" s="118"/>
      <c r="P224" s="119"/>
      <c r="Q224" s="120"/>
      <c r="R224" s="79">
        <f t="shared" si="33"/>
        <v>0</v>
      </c>
      <c r="T224" s="118"/>
      <c r="U224" s="118"/>
      <c r="V224" s="119"/>
      <c r="W224" s="120"/>
      <c r="X224" s="79">
        <f t="shared" si="34"/>
        <v>0</v>
      </c>
      <c r="Z224" s="118"/>
      <c r="AA224" s="118"/>
      <c r="AB224" s="119"/>
      <c r="AC224" s="120"/>
      <c r="AD224" s="79">
        <f t="shared" si="31"/>
        <v>0</v>
      </c>
      <c r="AF224" s="118"/>
      <c r="AG224" s="118"/>
      <c r="AH224" s="119"/>
      <c r="AI224" s="120"/>
      <c r="AJ224" s="79">
        <f t="shared" si="32"/>
        <v>0</v>
      </c>
    </row>
    <row r="225" spans="2:36" x14ac:dyDescent="0.25">
      <c r="B225" s="42"/>
      <c r="C225" s="42"/>
      <c r="D225" s="78"/>
      <c r="E225" s="79"/>
      <c r="F225" s="79">
        <f t="shared" si="35"/>
        <v>0</v>
      </c>
      <c r="H225" s="118"/>
      <c r="I225" s="118"/>
      <c r="J225" s="119"/>
      <c r="K225" s="120"/>
      <c r="L225" s="79">
        <f t="shared" si="30"/>
        <v>0</v>
      </c>
      <c r="N225" s="118"/>
      <c r="O225" s="118"/>
      <c r="P225" s="119"/>
      <c r="Q225" s="120"/>
      <c r="R225" s="79">
        <f t="shared" si="33"/>
        <v>0</v>
      </c>
      <c r="T225" s="118"/>
      <c r="U225" s="118"/>
      <c r="V225" s="119"/>
      <c r="W225" s="120"/>
      <c r="X225" s="79">
        <f t="shared" si="34"/>
        <v>0</v>
      </c>
      <c r="Z225" s="118"/>
      <c r="AA225" s="118"/>
      <c r="AB225" s="119"/>
      <c r="AC225" s="120"/>
      <c r="AD225" s="79">
        <f t="shared" si="31"/>
        <v>0</v>
      </c>
      <c r="AF225" s="118"/>
      <c r="AG225" s="118"/>
      <c r="AH225" s="119"/>
      <c r="AI225" s="120"/>
      <c r="AJ225" s="79">
        <f t="shared" si="32"/>
        <v>0</v>
      </c>
    </row>
    <row r="226" spans="2:36" x14ac:dyDescent="0.25">
      <c r="B226" s="42"/>
      <c r="C226" s="42"/>
      <c r="D226" s="78"/>
      <c r="E226" s="79"/>
      <c r="F226" s="79">
        <f t="shared" si="35"/>
        <v>0</v>
      </c>
      <c r="H226" s="118"/>
      <c r="I226" s="118"/>
      <c r="J226" s="119"/>
      <c r="K226" s="120"/>
      <c r="L226" s="79">
        <f t="shared" si="30"/>
        <v>0</v>
      </c>
      <c r="N226" s="118"/>
      <c r="O226" s="118"/>
      <c r="P226" s="119"/>
      <c r="Q226" s="120"/>
      <c r="R226" s="79">
        <f t="shared" si="33"/>
        <v>0</v>
      </c>
      <c r="T226" s="118"/>
      <c r="U226" s="118"/>
      <c r="V226" s="119"/>
      <c r="W226" s="120"/>
      <c r="X226" s="79">
        <f t="shared" si="34"/>
        <v>0</v>
      </c>
      <c r="Z226" s="118"/>
      <c r="AA226" s="118"/>
      <c r="AB226" s="119"/>
      <c r="AC226" s="120"/>
      <c r="AD226" s="79">
        <f t="shared" si="31"/>
        <v>0</v>
      </c>
      <c r="AF226" s="118"/>
      <c r="AG226" s="118"/>
      <c r="AH226" s="119"/>
      <c r="AI226" s="120"/>
      <c r="AJ226" s="79">
        <f t="shared" si="32"/>
        <v>0</v>
      </c>
    </row>
    <row r="227" spans="2:36" x14ac:dyDescent="0.25">
      <c r="B227" s="42"/>
      <c r="C227" s="42"/>
      <c r="D227" s="78"/>
      <c r="E227" s="79"/>
      <c r="F227" s="79">
        <f t="shared" si="35"/>
        <v>0</v>
      </c>
      <c r="H227" s="118"/>
      <c r="I227" s="118"/>
      <c r="J227" s="119"/>
      <c r="K227" s="120"/>
      <c r="L227" s="79">
        <f t="shared" si="30"/>
        <v>0</v>
      </c>
      <c r="N227" s="118"/>
      <c r="O227" s="118"/>
      <c r="P227" s="119"/>
      <c r="Q227" s="120"/>
      <c r="R227" s="79">
        <f t="shared" si="33"/>
        <v>0</v>
      </c>
      <c r="T227" s="118"/>
      <c r="U227" s="118"/>
      <c r="V227" s="119"/>
      <c r="W227" s="120"/>
      <c r="X227" s="79">
        <f t="shared" si="34"/>
        <v>0</v>
      </c>
      <c r="Z227" s="118"/>
      <c r="AA227" s="118"/>
      <c r="AB227" s="119"/>
      <c r="AC227" s="120"/>
      <c r="AD227" s="79">
        <f t="shared" si="31"/>
        <v>0</v>
      </c>
      <c r="AF227" s="118"/>
      <c r="AG227" s="118"/>
      <c r="AH227" s="119"/>
      <c r="AI227" s="120"/>
      <c r="AJ227" s="79">
        <f t="shared" si="32"/>
        <v>0</v>
      </c>
    </row>
    <row r="228" spans="2:36" x14ac:dyDescent="0.25">
      <c r="B228" s="42"/>
      <c r="C228" s="42"/>
      <c r="D228" s="78"/>
      <c r="E228" s="79"/>
      <c r="F228" s="79">
        <f t="shared" si="35"/>
        <v>0</v>
      </c>
      <c r="H228" s="118"/>
      <c r="I228" s="118"/>
      <c r="J228" s="119"/>
      <c r="K228" s="120"/>
      <c r="L228" s="79">
        <f t="shared" si="30"/>
        <v>0</v>
      </c>
      <c r="N228" s="118"/>
      <c r="O228" s="118"/>
      <c r="P228" s="119"/>
      <c r="Q228" s="120"/>
      <c r="R228" s="79">
        <f t="shared" si="33"/>
        <v>0</v>
      </c>
      <c r="T228" s="118"/>
      <c r="U228" s="118"/>
      <c r="V228" s="119"/>
      <c r="W228" s="120"/>
      <c r="X228" s="79">
        <f t="shared" si="34"/>
        <v>0</v>
      </c>
      <c r="Z228" s="118"/>
      <c r="AA228" s="118"/>
      <c r="AB228" s="119"/>
      <c r="AC228" s="120"/>
      <c r="AD228" s="79">
        <f t="shared" si="31"/>
        <v>0</v>
      </c>
      <c r="AF228" s="118"/>
      <c r="AG228" s="118"/>
      <c r="AH228" s="119"/>
      <c r="AI228" s="120"/>
      <c r="AJ228" s="79">
        <f t="shared" si="32"/>
        <v>0</v>
      </c>
    </row>
    <row r="229" spans="2:36" x14ac:dyDescent="0.25">
      <c r="B229" s="42"/>
      <c r="C229" s="42"/>
      <c r="D229" s="78"/>
      <c r="E229" s="79"/>
      <c r="F229" s="79">
        <f t="shared" si="35"/>
        <v>0</v>
      </c>
      <c r="H229" s="118"/>
      <c r="I229" s="118"/>
      <c r="J229" s="119"/>
      <c r="K229" s="120"/>
      <c r="L229" s="79">
        <f t="shared" si="30"/>
        <v>0</v>
      </c>
      <c r="N229" s="118"/>
      <c r="O229" s="118"/>
      <c r="P229" s="119"/>
      <c r="Q229" s="120"/>
      <c r="R229" s="79">
        <f t="shared" si="33"/>
        <v>0</v>
      </c>
      <c r="T229" s="118"/>
      <c r="U229" s="118"/>
      <c r="V229" s="119"/>
      <c r="W229" s="120"/>
      <c r="X229" s="79">
        <f t="shared" si="34"/>
        <v>0</v>
      </c>
      <c r="Z229" s="118"/>
      <c r="AA229" s="118"/>
      <c r="AB229" s="119"/>
      <c r="AC229" s="120"/>
      <c r="AD229" s="79">
        <f t="shared" si="31"/>
        <v>0</v>
      </c>
      <c r="AF229" s="118"/>
      <c r="AG229" s="118"/>
      <c r="AH229" s="119"/>
      <c r="AI229" s="120"/>
      <c r="AJ229" s="79">
        <f t="shared" si="32"/>
        <v>0</v>
      </c>
    </row>
    <row r="230" spans="2:36" x14ac:dyDescent="0.25">
      <c r="B230" s="42"/>
      <c r="C230" s="42"/>
      <c r="D230" s="78"/>
      <c r="E230" s="79"/>
      <c r="F230" s="79">
        <f t="shared" si="35"/>
        <v>0</v>
      </c>
      <c r="H230" s="118"/>
      <c r="I230" s="118"/>
      <c r="J230" s="119"/>
      <c r="K230" s="120"/>
      <c r="L230" s="79">
        <f t="shared" si="30"/>
        <v>0</v>
      </c>
      <c r="N230" s="118"/>
      <c r="O230" s="118"/>
      <c r="P230" s="119"/>
      <c r="Q230" s="120"/>
      <c r="R230" s="79">
        <f t="shared" si="33"/>
        <v>0</v>
      </c>
      <c r="T230" s="118"/>
      <c r="U230" s="118"/>
      <c r="V230" s="119"/>
      <c r="W230" s="120"/>
      <c r="X230" s="79">
        <f t="shared" si="34"/>
        <v>0</v>
      </c>
      <c r="Z230" s="118"/>
      <c r="AA230" s="118"/>
      <c r="AB230" s="119"/>
      <c r="AC230" s="120"/>
      <c r="AD230" s="79">
        <f t="shared" si="31"/>
        <v>0</v>
      </c>
      <c r="AF230" s="118"/>
      <c r="AG230" s="118"/>
      <c r="AH230" s="119"/>
      <c r="AI230" s="120"/>
      <c r="AJ230" s="79">
        <f t="shared" si="32"/>
        <v>0</v>
      </c>
    </row>
    <row r="231" spans="2:36" x14ac:dyDescent="0.25">
      <c r="B231" s="42"/>
      <c r="C231" s="42"/>
      <c r="D231" s="78"/>
      <c r="E231" s="79"/>
      <c r="F231" s="79">
        <f t="shared" si="35"/>
        <v>0</v>
      </c>
      <c r="H231" s="118"/>
      <c r="I231" s="118"/>
      <c r="J231" s="119"/>
      <c r="K231" s="120"/>
      <c r="L231" s="79">
        <f t="shared" si="30"/>
        <v>0</v>
      </c>
      <c r="N231" s="118"/>
      <c r="O231" s="118"/>
      <c r="P231" s="119"/>
      <c r="Q231" s="120"/>
      <c r="R231" s="79">
        <f t="shared" ref="R231:R232" si="36">P231*Q231</f>
        <v>0</v>
      </c>
      <c r="T231" s="118"/>
      <c r="U231" s="118"/>
      <c r="V231" s="119"/>
      <c r="W231" s="120"/>
      <c r="X231" s="79">
        <f t="shared" si="34"/>
        <v>0</v>
      </c>
      <c r="Z231" s="118"/>
      <c r="AA231" s="118"/>
      <c r="AB231" s="119"/>
      <c r="AC231" s="120"/>
      <c r="AD231" s="79">
        <f t="shared" si="31"/>
        <v>0</v>
      </c>
      <c r="AF231" s="118"/>
      <c r="AG231" s="118"/>
      <c r="AH231" s="119"/>
      <c r="AI231" s="120"/>
      <c r="AJ231" s="79">
        <f t="shared" si="32"/>
        <v>0</v>
      </c>
    </row>
    <row r="232" spans="2:36" x14ac:dyDescent="0.25">
      <c r="B232" s="42"/>
      <c r="C232" s="42"/>
      <c r="D232" s="78"/>
      <c r="E232" s="79"/>
      <c r="F232" s="79">
        <f t="shared" si="35"/>
        <v>0</v>
      </c>
      <c r="H232" s="118"/>
      <c r="I232" s="118"/>
      <c r="J232" s="119"/>
      <c r="K232" s="120"/>
      <c r="L232" s="79">
        <f t="shared" si="30"/>
        <v>0</v>
      </c>
      <c r="N232" s="118"/>
      <c r="O232" s="118"/>
      <c r="P232" s="119"/>
      <c r="Q232" s="120"/>
      <c r="R232" s="79">
        <f t="shared" si="36"/>
        <v>0</v>
      </c>
      <c r="T232" s="118"/>
      <c r="U232" s="118"/>
      <c r="V232" s="119"/>
      <c r="W232" s="120"/>
      <c r="X232" s="79">
        <f t="shared" si="34"/>
        <v>0</v>
      </c>
      <c r="Z232" s="118"/>
      <c r="AA232" s="118"/>
      <c r="AB232" s="119"/>
      <c r="AC232" s="120"/>
      <c r="AD232" s="79">
        <f t="shared" si="31"/>
        <v>0</v>
      </c>
      <c r="AF232" s="118"/>
      <c r="AG232" s="118"/>
      <c r="AH232" s="119"/>
      <c r="AI232" s="120"/>
      <c r="AJ232" s="79">
        <f t="shared" si="32"/>
        <v>0</v>
      </c>
    </row>
    <row r="233" spans="2:36" x14ac:dyDescent="0.25">
      <c r="B233" s="42"/>
      <c r="C233" s="42"/>
      <c r="D233" s="78"/>
      <c r="E233" s="79"/>
      <c r="F233" s="79">
        <f t="shared" si="35"/>
        <v>0</v>
      </c>
    </row>
  </sheetData>
  <autoFilter ref="Z3:AD232" xr:uid="{418C058E-14D2-498C-8B99-401D9D9AD7F7}">
    <sortState xmlns:xlrd2="http://schemas.microsoft.com/office/spreadsheetml/2017/richdata2" ref="Z4:AD232">
      <sortCondition ref="Z3"/>
    </sortState>
  </autoFilter>
  <mergeCells count="6">
    <mergeCell ref="AF2:AJ2"/>
    <mergeCell ref="B2:F2"/>
    <mergeCell ref="H2:L2"/>
    <mergeCell ref="N2:R2"/>
    <mergeCell ref="T2:X2"/>
    <mergeCell ref="Z2:A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23E-5FFC-4471-8A70-D907851F0D09}">
  <sheetPr codeName="Hoja5"/>
  <dimension ref="A1:R747"/>
  <sheetViews>
    <sheetView topLeftCell="A686" workbookViewId="0">
      <selection activeCell="B767" sqref="B767"/>
    </sheetView>
  </sheetViews>
  <sheetFormatPr baseColWidth="10" defaultRowHeight="15" x14ac:dyDescent="0.25"/>
  <cols>
    <col min="2" max="2" width="20.85546875" customWidth="1"/>
    <col min="3" max="3" width="49.42578125" customWidth="1"/>
    <col min="4" max="4" width="14.28515625" customWidth="1"/>
    <col min="5" max="5" width="17.5703125" customWidth="1"/>
    <col min="6" max="6" width="8.28515625" hidden="1" customWidth="1"/>
    <col min="7" max="7" width="17.85546875" customWidth="1"/>
    <col min="9" max="9" width="2.28515625" style="45" customWidth="1"/>
    <col min="10" max="10" width="19.85546875" customWidth="1"/>
    <col min="11" max="11" width="23" customWidth="1"/>
    <col min="12" max="12" width="4.140625" customWidth="1"/>
    <col min="13" max="13" width="1.42578125" customWidth="1"/>
    <col min="14" max="14" width="24.28515625" customWidth="1"/>
    <col min="15" max="15" width="30.140625" bestFit="1" customWidth="1"/>
    <col min="16" max="16" width="19.28515625" customWidth="1"/>
    <col min="17" max="17" width="18.5703125" customWidth="1"/>
  </cols>
  <sheetData>
    <row r="1" spans="1:17" hidden="1" x14ac:dyDescent="0.25">
      <c r="I1"/>
    </row>
    <row r="2" spans="1:17" ht="15" customHeight="1" x14ac:dyDescent="0.25">
      <c r="A2" s="182" t="s">
        <v>108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</row>
    <row r="3" spans="1:17" ht="24.75" customHeight="1" x14ac:dyDescent="0.25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</row>
    <row r="6" spans="1:17" x14ac:dyDescent="0.25">
      <c r="J6" s="46" t="s">
        <v>109</v>
      </c>
    </row>
    <row r="7" spans="1:17" x14ac:dyDescent="0.25">
      <c r="B7" s="46"/>
      <c r="J7" s="47" t="s">
        <v>110</v>
      </c>
      <c r="K7" s="47" t="s">
        <v>111</v>
      </c>
    </row>
    <row r="8" spans="1:17" x14ac:dyDescent="0.25">
      <c r="B8" s="47" t="s">
        <v>4</v>
      </c>
      <c r="C8" s="47" t="s">
        <v>112</v>
      </c>
      <c r="D8" s="47" t="s">
        <v>110</v>
      </c>
      <c r="E8" s="47" t="s">
        <v>8</v>
      </c>
      <c r="F8" s="47" t="s">
        <v>113</v>
      </c>
      <c r="G8" s="48" t="s">
        <v>111</v>
      </c>
      <c r="J8" s="49" t="s">
        <v>114</v>
      </c>
      <c r="K8" s="68">
        <f>SUMIF(movimientos54[COLABORADOR],resumen_caja55[[#This Row],[COLABORADOR]],movimientos54[MONTO])-SUMIF(movimientos54[COLABORADOR],resumen_caja55[[#This Row],[COLABORADOR]],movimientos54[SALIDAS])</f>
        <v>360665</v>
      </c>
    </row>
    <row r="9" spans="1:17" x14ac:dyDescent="0.25">
      <c r="B9" s="50">
        <v>45812</v>
      </c>
      <c r="C9" s="51" t="s">
        <v>115</v>
      </c>
      <c r="D9" s="51" t="s">
        <v>116</v>
      </c>
      <c r="E9" s="66">
        <v>15000</v>
      </c>
      <c r="F9" s="52"/>
      <c r="G9" s="67">
        <f>movimientos54[[#This Row],[MONTO]]-movimientos54[[#This Row],[SALIDAS]]</f>
        <v>15000</v>
      </c>
      <c r="J9" s="49" t="s">
        <v>116</v>
      </c>
      <c r="K9" s="68">
        <f>SUMIF(movimientos54[COLABORADOR],resumen_caja55[[#This Row],[COLABORADOR]],movimientos54[MONTO])-SUMIF(movimientos54[COLABORADOR],resumen_caja55[[#This Row],[COLABORADOR]],movimientos54[SALIDAS])</f>
        <v>475000</v>
      </c>
    </row>
    <row r="10" spans="1:17" x14ac:dyDescent="0.25">
      <c r="B10" s="50">
        <v>45812</v>
      </c>
      <c r="C10" s="53" t="s">
        <v>117</v>
      </c>
      <c r="D10" s="53" t="s">
        <v>118</v>
      </c>
      <c r="E10" s="66">
        <v>100000</v>
      </c>
      <c r="F10" s="54"/>
      <c r="G10" s="66">
        <f>movimientos54[[#This Row],[MONTO]]-movimientos54[[#This Row],[SALIDAS]]</f>
        <v>100000</v>
      </c>
      <c r="J10" s="49" t="s">
        <v>119</v>
      </c>
      <c r="K10" s="68">
        <f>SUMIF(movimientos54[COLABORADOR],resumen_caja55[[#This Row],[COLABORADOR]],movimientos54[MONTO])-SUMIF(movimientos54[COLABORADOR],resumen_caja55[[#This Row],[COLABORADOR]],movimientos54[SALIDAS])</f>
        <v>241000</v>
      </c>
    </row>
    <row r="11" spans="1:17" x14ac:dyDescent="0.25">
      <c r="B11" s="50">
        <v>45810</v>
      </c>
      <c r="C11" s="53" t="s">
        <v>120</v>
      </c>
      <c r="D11" s="53" t="s">
        <v>121</v>
      </c>
      <c r="E11" s="66">
        <v>30000</v>
      </c>
      <c r="F11" s="54"/>
      <c r="G11" s="66">
        <f>movimientos54[[#This Row],[MONTO]]-movimientos54[[#This Row],[SALIDAS]]</f>
        <v>30000</v>
      </c>
      <c r="J11" s="49" t="s">
        <v>118</v>
      </c>
      <c r="K11" s="68">
        <f>SUMIF(movimientos54[COLABORADOR],resumen_caja55[[#This Row],[COLABORADOR]],movimientos54[MONTO])-SUMIF(movimientos54[COLABORADOR],resumen_caja55[[#This Row],[COLABORADOR]],movimientos54[SALIDAS])</f>
        <v>794990</v>
      </c>
      <c r="N11" s="180"/>
      <c r="O11" s="180"/>
    </row>
    <row r="12" spans="1:17" x14ac:dyDescent="0.25">
      <c r="B12" s="50">
        <v>45813</v>
      </c>
      <c r="C12" s="51" t="s">
        <v>122</v>
      </c>
      <c r="D12" s="51" t="s">
        <v>119</v>
      </c>
      <c r="E12" s="66">
        <v>20000</v>
      </c>
      <c r="F12" s="55"/>
      <c r="G12" s="66">
        <f>movimientos54[[#This Row],[MONTO]]-movimientos54[[#This Row],[SALIDAS]]</f>
        <v>20000</v>
      </c>
      <c r="J12" s="49" t="s">
        <v>123</v>
      </c>
      <c r="K12" s="68">
        <f>SUMIF(movimientos54[COLABORADOR],resumen_caja55[[#This Row],[COLABORADOR]],movimientos54[MONTO])-SUMIF(movimientos54[COLABORADOR],resumen_caja55[[#This Row],[COLABORADOR]],movimientos54[SALIDAS])</f>
        <v>734500</v>
      </c>
      <c r="N12" s="180"/>
      <c r="O12" s="180"/>
    </row>
    <row r="13" spans="1:17" x14ac:dyDescent="0.25">
      <c r="B13" s="50">
        <v>45815</v>
      </c>
      <c r="C13" s="51" t="s">
        <v>124</v>
      </c>
      <c r="D13" s="51" t="s">
        <v>119</v>
      </c>
      <c r="E13" s="66">
        <v>50000</v>
      </c>
      <c r="F13" s="55"/>
      <c r="G13" s="66">
        <f>movimientos54[[#This Row],[MONTO]]-movimientos54[[#This Row],[SALIDAS]]</f>
        <v>50000</v>
      </c>
      <c r="J13" s="49" t="s">
        <v>121</v>
      </c>
      <c r="K13" s="68">
        <f>SUMIF(movimientos54[COLABORADOR],resumen_caja55[[#This Row],[COLABORADOR]],movimientos54[MONTO])-SUMIF(movimientos54[COLABORADOR],resumen_caja55[[#This Row],[COLABORADOR]],movimientos54[SALIDAS])</f>
        <v>35000</v>
      </c>
    </row>
    <row r="14" spans="1:17" x14ac:dyDescent="0.25">
      <c r="B14" s="50">
        <v>45815</v>
      </c>
      <c r="C14" s="51" t="s">
        <v>125</v>
      </c>
      <c r="D14" s="51" t="s">
        <v>116</v>
      </c>
      <c r="E14" s="66">
        <v>50000</v>
      </c>
      <c r="F14" s="55"/>
      <c r="G14" s="66">
        <f>movimientos54[[#This Row],[MONTO]]-movimientos54[[#This Row],[SALIDAS]]</f>
        <v>50000</v>
      </c>
      <c r="J14" s="49" t="s">
        <v>126</v>
      </c>
      <c r="K14" s="68">
        <f>SUMIF(movimientos54[COLABORADOR],resumen_caja55[[#This Row],[COLABORADOR]],movimientos54[MONTO])-SUMIF(movimientos54[COLABORADOR],resumen_caja55[[#This Row],[COLABORADOR]],movimientos54[SALIDAS])</f>
        <v>400000</v>
      </c>
    </row>
    <row r="15" spans="1:17" x14ac:dyDescent="0.25">
      <c r="B15" s="50">
        <v>45819</v>
      </c>
      <c r="C15" s="51" t="s">
        <v>127</v>
      </c>
      <c r="D15" s="51" t="s">
        <v>118</v>
      </c>
      <c r="E15" s="66">
        <v>60000</v>
      </c>
      <c r="F15" s="55"/>
      <c r="G15" s="66">
        <f>movimientos54[[#This Row],[MONTO]]-movimientos54[[#This Row],[SALIDAS]]</f>
        <v>60000</v>
      </c>
    </row>
    <row r="16" spans="1:17" x14ac:dyDescent="0.25">
      <c r="B16" s="50">
        <v>45820</v>
      </c>
      <c r="C16" s="51" t="s">
        <v>128</v>
      </c>
      <c r="D16" s="51" t="s">
        <v>118</v>
      </c>
      <c r="E16" s="66">
        <v>184990</v>
      </c>
      <c r="F16" s="55"/>
      <c r="G16" s="66">
        <f>movimientos54[[#This Row],[MONTO]]-movimientos54[[#This Row],[SALIDAS]]</f>
        <v>184990</v>
      </c>
    </row>
    <row r="17" spans="2:17" x14ac:dyDescent="0.25">
      <c r="B17" s="50">
        <v>45824</v>
      </c>
      <c r="C17" s="51" t="s">
        <v>70</v>
      </c>
      <c r="D17" s="51" t="s">
        <v>116</v>
      </c>
      <c r="E17" s="66">
        <v>40000</v>
      </c>
      <c r="F17" s="55"/>
      <c r="G17" s="66">
        <f>movimientos54[[#This Row],[MONTO]]-movimientos54[[#This Row],[SALIDAS]]</f>
        <v>40000</v>
      </c>
    </row>
    <row r="18" spans="2:17" x14ac:dyDescent="0.25">
      <c r="B18" s="50">
        <v>45825</v>
      </c>
      <c r="C18" s="51" t="s">
        <v>129</v>
      </c>
      <c r="D18" s="51" t="s">
        <v>114</v>
      </c>
      <c r="E18" s="66">
        <v>50000</v>
      </c>
      <c r="F18" s="55"/>
      <c r="G18" s="66">
        <f>movimientos54[[#This Row],[MONTO]]-movimientos54[[#This Row],[SALIDAS]]</f>
        <v>50000</v>
      </c>
    </row>
    <row r="19" spans="2:17" x14ac:dyDescent="0.25">
      <c r="B19" s="50">
        <v>45826</v>
      </c>
      <c r="C19" s="51" t="s">
        <v>130</v>
      </c>
      <c r="D19" s="51" t="s">
        <v>118</v>
      </c>
      <c r="E19" s="66">
        <v>10000</v>
      </c>
      <c r="F19" s="55"/>
      <c r="G19" s="66">
        <f>movimientos54[[#This Row],[MONTO]]-movimientos54[[#This Row],[SALIDAS]]</f>
        <v>10000</v>
      </c>
    </row>
    <row r="20" spans="2:17" x14ac:dyDescent="0.25">
      <c r="B20" s="50">
        <v>45826</v>
      </c>
      <c r="C20" s="51" t="s">
        <v>77</v>
      </c>
      <c r="D20" s="51" t="s">
        <v>118</v>
      </c>
      <c r="E20" s="66">
        <v>180000</v>
      </c>
      <c r="F20" s="55"/>
      <c r="G20" s="66">
        <f>movimientos54[[#This Row],[MONTO]]-movimientos54[[#This Row],[SALIDAS]]</f>
        <v>180000</v>
      </c>
      <c r="N20" s="56" t="s">
        <v>110</v>
      </c>
      <c r="O20" s="56" t="s">
        <v>131</v>
      </c>
      <c r="P20" s="56" t="s">
        <v>132</v>
      </c>
      <c r="Q20" s="56" t="s">
        <v>133</v>
      </c>
    </row>
    <row r="21" spans="2:17" x14ac:dyDescent="0.25">
      <c r="B21" s="50">
        <v>45827</v>
      </c>
      <c r="C21" s="51" t="s">
        <v>134</v>
      </c>
      <c r="D21" s="51" t="s">
        <v>116</v>
      </c>
      <c r="E21" s="66">
        <v>90000</v>
      </c>
      <c r="F21" s="55"/>
      <c r="G21" s="66">
        <f>movimientos54[[#This Row],[MONTO]]-movimientos54[[#This Row],[SALIDAS]]</f>
        <v>90000</v>
      </c>
      <c r="N21" s="42" t="s">
        <v>135</v>
      </c>
      <c r="O21" s="57">
        <v>900000</v>
      </c>
      <c r="P21" s="57">
        <f>O21-K8-11500</f>
        <v>527835</v>
      </c>
      <c r="Q21" s="42" t="s">
        <v>136</v>
      </c>
    </row>
    <row r="22" spans="2:17" x14ac:dyDescent="0.25">
      <c r="B22" s="50">
        <v>45827</v>
      </c>
      <c r="C22" s="51" t="s">
        <v>137</v>
      </c>
      <c r="D22" s="51" t="s">
        <v>116</v>
      </c>
      <c r="E22" s="66">
        <v>100000</v>
      </c>
      <c r="F22" s="55"/>
      <c r="G22" s="66">
        <f>movimientos54[[#This Row],[MONTO]]-movimientos54[[#This Row],[SALIDAS]]</f>
        <v>100000</v>
      </c>
      <c r="N22" s="42" t="s">
        <v>62</v>
      </c>
      <c r="O22" s="57">
        <v>650000</v>
      </c>
      <c r="P22" s="57">
        <f>O22-K9-13500</f>
        <v>161500</v>
      </c>
      <c r="Q22" s="42" t="s">
        <v>136</v>
      </c>
    </row>
    <row r="23" spans="2:17" x14ac:dyDescent="0.25">
      <c r="B23" s="50">
        <v>45827</v>
      </c>
      <c r="C23" s="51" t="s">
        <v>138</v>
      </c>
      <c r="D23" s="51" t="s">
        <v>119</v>
      </c>
      <c r="E23" s="66">
        <v>11000</v>
      </c>
      <c r="F23" s="55"/>
      <c r="G23" s="66">
        <f>movimientos54[[#This Row],[MONTO]]-movimientos54[[#This Row],[SALIDAS]]</f>
        <v>11000</v>
      </c>
      <c r="N23" s="42" t="s">
        <v>72</v>
      </c>
      <c r="O23" s="183" t="s">
        <v>139</v>
      </c>
      <c r="P23" s="184"/>
      <c r="Q23" s="185"/>
    </row>
    <row r="24" spans="2:17" x14ac:dyDescent="0.25">
      <c r="B24" s="50">
        <v>45827</v>
      </c>
      <c r="C24" s="51" t="s">
        <v>61</v>
      </c>
      <c r="D24" s="51" t="s">
        <v>119</v>
      </c>
      <c r="E24" s="66">
        <v>100000</v>
      </c>
      <c r="F24" s="55"/>
      <c r="G24" s="66">
        <f>movimientos54[[#This Row],[MONTO]]-movimientos54[[#This Row],[SALIDAS]]</f>
        <v>100000</v>
      </c>
      <c r="N24" s="42" t="s">
        <v>76</v>
      </c>
      <c r="O24" s="57">
        <v>700000</v>
      </c>
      <c r="P24" s="57">
        <f>O24-K10-45500</f>
        <v>413500</v>
      </c>
      <c r="Q24" s="42" t="s">
        <v>136</v>
      </c>
    </row>
    <row r="25" spans="2:17" x14ac:dyDescent="0.25">
      <c r="B25" s="50">
        <v>45827</v>
      </c>
      <c r="C25" s="51" t="s">
        <v>138</v>
      </c>
      <c r="D25" s="51" t="s">
        <v>118</v>
      </c>
      <c r="E25" s="66">
        <v>11000</v>
      </c>
      <c r="F25" s="55"/>
      <c r="G25" s="66">
        <f>movimientos54[[#This Row],[MONTO]]-movimientos54[[#This Row],[SALIDAS]]</f>
        <v>11000</v>
      </c>
      <c r="N25" s="42" t="s">
        <v>140</v>
      </c>
      <c r="O25" s="57">
        <v>950000</v>
      </c>
      <c r="P25" s="57">
        <f>O25-K11-40000</f>
        <v>115010</v>
      </c>
      <c r="Q25" s="42" t="s">
        <v>136</v>
      </c>
    </row>
    <row r="26" spans="2:17" x14ac:dyDescent="0.25">
      <c r="B26" s="50">
        <v>45827</v>
      </c>
      <c r="C26" s="51" t="s">
        <v>141</v>
      </c>
      <c r="D26" s="51" t="s">
        <v>118</v>
      </c>
      <c r="E26" s="66">
        <v>170000</v>
      </c>
      <c r="F26" s="55"/>
      <c r="G26" s="66">
        <f>movimientos54[[#This Row],[MONTO]]-movimientos54[[#This Row],[SALIDAS]]</f>
        <v>170000</v>
      </c>
      <c r="N26" s="42" t="s">
        <v>142</v>
      </c>
      <c r="O26" s="57">
        <v>700000</v>
      </c>
      <c r="P26" s="57">
        <f>O26-K13-5000-13500</f>
        <v>646500</v>
      </c>
      <c r="Q26" s="42" t="s">
        <v>143</v>
      </c>
    </row>
    <row r="27" spans="2:17" x14ac:dyDescent="0.25">
      <c r="B27" s="50">
        <v>45827</v>
      </c>
      <c r="C27" s="51" t="s">
        <v>141</v>
      </c>
      <c r="D27" s="51" t="s">
        <v>123</v>
      </c>
      <c r="E27" s="66">
        <v>370000</v>
      </c>
      <c r="F27" s="55"/>
      <c r="G27" s="66">
        <f>movimientos54[[#This Row],[MONTO]]-movimientos54[[#This Row],[SALIDAS]]</f>
        <v>370000</v>
      </c>
      <c r="N27" s="42" t="s">
        <v>144</v>
      </c>
      <c r="O27" s="57">
        <v>900000</v>
      </c>
      <c r="P27" s="57">
        <f>O27-0</f>
        <v>900000</v>
      </c>
      <c r="Q27" s="42" t="s">
        <v>143</v>
      </c>
    </row>
    <row r="28" spans="2:17" x14ac:dyDescent="0.25">
      <c r="B28" s="50">
        <v>45827</v>
      </c>
      <c r="C28" s="51" t="s">
        <v>138</v>
      </c>
      <c r="D28" s="51" t="s">
        <v>123</v>
      </c>
      <c r="E28" s="66">
        <v>22000</v>
      </c>
      <c r="F28" s="55"/>
      <c r="G28" s="66">
        <f>movimientos54[[#This Row],[MONTO]]-movimientos54[[#This Row],[SALIDAS]]</f>
        <v>22000</v>
      </c>
      <c r="N28" s="42" t="s">
        <v>145</v>
      </c>
      <c r="O28" s="57">
        <v>900000</v>
      </c>
      <c r="P28" s="57">
        <f>O28-0</f>
        <v>900000</v>
      </c>
      <c r="Q28" s="42" t="s">
        <v>143</v>
      </c>
    </row>
    <row r="29" spans="2:17" x14ac:dyDescent="0.25">
      <c r="B29" s="50">
        <v>45827</v>
      </c>
      <c r="C29" s="51" t="s">
        <v>146</v>
      </c>
      <c r="D29" s="51" t="s">
        <v>123</v>
      </c>
      <c r="E29" s="66">
        <v>25000</v>
      </c>
      <c r="F29" s="55"/>
      <c r="G29" s="66">
        <f>movimientos54[[#This Row],[MONTO]]-movimientos54[[#This Row],[SALIDAS]]</f>
        <v>25000</v>
      </c>
      <c r="N29" s="42" t="s">
        <v>147</v>
      </c>
      <c r="O29" s="57">
        <v>600000</v>
      </c>
      <c r="P29" s="57">
        <f>O29-0</f>
        <v>600000</v>
      </c>
      <c r="Q29" s="42" t="s">
        <v>136</v>
      </c>
    </row>
    <row r="30" spans="2:17" x14ac:dyDescent="0.25">
      <c r="B30" s="50">
        <v>45827</v>
      </c>
      <c r="C30" s="51" t="s">
        <v>148</v>
      </c>
      <c r="D30" s="51" t="s">
        <v>123</v>
      </c>
      <c r="E30" s="66">
        <v>150000</v>
      </c>
      <c r="F30" s="55"/>
      <c r="G30" s="66">
        <f>movimientos54[[#This Row],[MONTO]]-movimientos54[[#This Row],[SALIDAS]]</f>
        <v>150000</v>
      </c>
      <c r="O30" s="42" t="s">
        <v>149</v>
      </c>
      <c r="P30" s="186">
        <f>P21+P22+P24+P25+P29</f>
        <v>1817845</v>
      </c>
      <c r="Q30" s="186"/>
    </row>
    <row r="31" spans="2:17" x14ac:dyDescent="0.25">
      <c r="B31" s="50">
        <v>45827</v>
      </c>
      <c r="C31" s="51" t="s">
        <v>150</v>
      </c>
      <c r="D31" s="51" t="s">
        <v>123</v>
      </c>
      <c r="E31" s="66">
        <v>150000</v>
      </c>
      <c r="F31" s="55"/>
      <c r="G31" s="66">
        <f>movimientos54[[#This Row],[MONTO]]-movimientos54[[#This Row],[SALIDAS]]</f>
        <v>150000</v>
      </c>
      <c r="O31" s="42" t="s">
        <v>151</v>
      </c>
      <c r="P31" s="186">
        <f>P26+P27+P28</f>
        <v>2446500</v>
      </c>
      <c r="Q31" s="186"/>
    </row>
    <row r="32" spans="2:17" x14ac:dyDescent="0.25">
      <c r="B32" s="50">
        <v>45827</v>
      </c>
      <c r="C32" s="51" t="s">
        <v>137</v>
      </c>
      <c r="D32" s="51" t="s">
        <v>126</v>
      </c>
      <c r="E32" s="66">
        <v>200000</v>
      </c>
      <c r="F32" s="55"/>
      <c r="G32" s="66">
        <f>movimientos54[[#This Row],[MONTO]]-movimientos54[[#This Row],[SALIDAS]]</f>
        <v>200000</v>
      </c>
      <c r="O32" s="42" t="s">
        <v>152</v>
      </c>
      <c r="P32" s="187">
        <f>P30+P31</f>
        <v>4264345</v>
      </c>
      <c r="Q32" s="187"/>
    </row>
    <row r="33" spans="2:17" x14ac:dyDescent="0.25">
      <c r="B33" s="50">
        <v>45827</v>
      </c>
      <c r="C33" s="51" t="s">
        <v>148</v>
      </c>
      <c r="D33" s="51" t="s">
        <v>126</v>
      </c>
      <c r="E33" s="66">
        <v>100000</v>
      </c>
      <c r="F33" s="55"/>
      <c r="G33" s="66">
        <f>movimientos54[[#This Row],[MONTO]]-movimientos54[[#This Row],[SALIDAS]]</f>
        <v>100000</v>
      </c>
      <c r="Q33" s="58" t="s">
        <v>153</v>
      </c>
    </row>
    <row r="34" spans="2:17" x14ac:dyDescent="0.25">
      <c r="B34" s="50">
        <v>45827</v>
      </c>
      <c r="C34" s="51" t="s">
        <v>150</v>
      </c>
      <c r="D34" s="51" t="s">
        <v>126</v>
      </c>
      <c r="E34" s="66">
        <v>100000</v>
      </c>
      <c r="F34" s="55"/>
      <c r="G34" s="66">
        <f>movimientos54[[#This Row],[MONTO]]-movimientos54[[#This Row],[SALIDAS]]</f>
        <v>100000</v>
      </c>
      <c r="O34" s="42" t="s">
        <v>154</v>
      </c>
      <c r="P34" s="59">
        <v>2500000</v>
      </c>
      <c r="Q34" s="57"/>
    </row>
    <row r="35" spans="2:17" x14ac:dyDescent="0.25">
      <c r="B35" s="50">
        <v>45827</v>
      </c>
      <c r="C35" s="51" t="s">
        <v>155</v>
      </c>
      <c r="D35" s="51" t="s">
        <v>114</v>
      </c>
      <c r="E35" s="66">
        <v>125000</v>
      </c>
      <c r="F35" s="55"/>
      <c r="G35" s="66">
        <f>movimientos54[[#This Row],[MONTO]]-movimientos54[[#This Row],[SALIDAS]]</f>
        <v>125000</v>
      </c>
      <c r="O35" s="42" t="s">
        <v>135</v>
      </c>
      <c r="P35" s="60">
        <v>520000</v>
      </c>
      <c r="Q35" s="57">
        <v>7900</v>
      </c>
    </row>
    <row r="36" spans="2:17" x14ac:dyDescent="0.25">
      <c r="B36" s="50">
        <v>45827</v>
      </c>
      <c r="C36" s="51" t="s">
        <v>156</v>
      </c>
      <c r="D36" s="51" t="s">
        <v>114</v>
      </c>
      <c r="E36" s="66">
        <v>100000</v>
      </c>
      <c r="F36" s="55"/>
      <c r="G36" s="66">
        <f>movimientos54[[#This Row],[MONTO]]-movimientos54[[#This Row],[SALIDAS]]</f>
        <v>100000</v>
      </c>
      <c r="O36" s="42" t="s">
        <v>73</v>
      </c>
      <c r="P36" s="60">
        <v>400000</v>
      </c>
      <c r="Q36" s="57">
        <v>13500</v>
      </c>
    </row>
    <row r="37" spans="2:17" x14ac:dyDescent="0.25">
      <c r="B37" s="50">
        <v>45827</v>
      </c>
      <c r="C37" s="51" t="s">
        <v>157</v>
      </c>
      <c r="D37" s="51" t="s">
        <v>121</v>
      </c>
      <c r="E37" s="66">
        <v>5000</v>
      </c>
      <c r="F37" s="55"/>
      <c r="G37" s="66">
        <f>movimientos54[[#This Row],[MONTO]]-movimientos54[[#This Row],[SALIDAS]]</f>
        <v>5000</v>
      </c>
      <c r="O37" s="42" t="s">
        <v>140</v>
      </c>
      <c r="P37" s="60" t="s">
        <v>158</v>
      </c>
      <c r="Q37" s="57">
        <v>115000</v>
      </c>
    </row>
    <row r="38" spans="2:17" x14ac:dyDescent="0.25">
      <c r="B38" s="50">
        <v>45828</v>
      </c>
      <c r="C38" s="51" t="s">
        <v>159</v>
      </c>
      <c r="D38" s="51" t="s">
        <v>118</v>
      </c>
      <c r="E38" s="66">
        <v>50000</v>
      </c>
      <c r="F38" s="55"/>
      <c r="G38" s="66">
        <f>movimientos54[[#This Row],[MONTO]]-movimientos54[[#This Row],[SALIDAS]]</f>
        <v>50000</v>
      </c>
      <c r="O38" s="42" t="s">
        <v>62</v>
      </c>
      <c r="P38" s="60">
        <v>400000</v>
      </c>
      <c r="Q38" s="57" t="s">
        <v>158</v>
      </c>
    </row>
    <row r="39" spans="2:17" x14ac:dyDescent="0.25">
      <c r="B39" s="50">
        <v>45828</v>
      </c>
      <c r="C39" s="51" t="s">
        <v>160</v>
      </c>
      <c r="D39" s="51" t="s">
        <v>116</v>
      </c>
      <c r="E39" s="66">
        <v>10000</v>
      </c>
      <c r="F39" s="55"/>
      <c r="G39" s="66">
        <f>movimientos54[[#This Row],[MONTO]]-movimientos54[[#This Row],[SALIDAS]]</f>
        <v>10000</v>
      </c>
      <c r="O39" s="42" t="s">
        <v>161</v>
      </c>
      <c r="P39" s="60">
        <v>600000</v>
      </c>
      <c r="Q39" s="57"/>
    </row>
    <row r="40" spans="2:17" ht="18.75" x14ac:dyDescent="0.3">
      <c r="B40" s="50">
        <v>45831</v>
      </c>
      <c r="C40" s="51" t="s">
        <v>162</v>
      </c>
      <c r="D40" s="51" t="s">
        <v>119</v>
      </c>
      <c r="E40" s="66">
        <v>30000</v>
      </c>
      <c r="F40" s="55"/>
      <c r="G40" s="66">
        <f>movimientos54[[#This Row],[MONTO]]-movimientos54[[#This Row],[SALIDAS]]</f>
        <v>30000</v>
      </c>
      <c r="O40" s="61" t="s">
        <v>163</v>
      </c>
      <c r="P40" s="62">
        <f>P34-P35-P36-P38-P39</f>
        <v>580000</v>
      </c>
      <c r="Q40" s="57"/>
    </row>
    <row r="41" spans="2:17" x14ac:dyDescent="0.25">
      <c r="B41" s="50">
        <v>45831</v>
      </c>
      <c r="C41" s="51" t="s">
        <v>164</v>
      </c>
      <c r="D41" s="51" t="s">
        <v>116</v>
      </c>
      <c r="E41" s="66">
        <v>60000</v>
      </c>
      <c r="F41" s="55"/>
      <c r="G41" s="66">
        <f>movimientos54[[#This Row],[MONTO]]-movimientos54[[#This Row],[SALIDAS]]</f>
        <v>60000</v>
      </c>
    </row>
    <row r="42" spans="2:17" x14ac:dyDescent="0.25">
      <c r="B42" s="50">
        <v>45831</v>
      </c>
      <c r="C42" s="51" t="s">
        <v>165</v>
      </c>
      <c r="D42" s="51" t="s">
        <v>118</v>
      </c>
      <c r="E42" s="66">
        <v>18000</v>
      </c>
      <c r="F42" s="55"/>
      <c r="G42" s="66">
        <f>movimientos54[[#This Row],[MONTO]]-movimientos54[[#This Row],[SALIDAS]]</f>
        <v>18000</v>
      </c>
    </row>
    <row r="43" spans="2:17" x14ac:dyDescent="0.25">
      <c r="B43" s="50">
        <v>45831</v>
      </c>
      <c r="C43" s="51" t="s">
        <v>66</v>
      </c>
      <c r="D43" s="51" t="s">
        <v>114</v>
      </c>
      <c r="E43" s="66">
        <v>35665</v>
      </c>
      <c r="F43" s="55"/>
      <c r="G43" s="66">
        <f>movimientos54[[#This Row],[MONTO]]-movimientos54[[#This Row],[SALIDAS]]</f>
        <v>35665</v>
      </c>
    </row>
    <row r="44" spans="2:17" x14ac:dyDescent="0.25">
      <c r="B44" s="50">
        <v>45831</v>
      </c>
      <c r="C44" s="51" t="s">
        <v>166</v>
      </c>
      <c r="D44" s="51" t="s">
        <v>116</v>
      </c>
      <c r="E44" s="66">
        <v>100000</v>
      </c>
      <c r="F44" s="55"/>
      <c r="G44" s="66">
        <f>movimientos54[[#This Row],[MONTO]]-movimientos54[[#This Row],[SALIDAS]]</f>
        <v>100000</v>
      </c>
    </row>
    <row r="45" spans="2:17" x14ac:dyDescent="0.25">
      <c r="B45" s="50">
        <v>45832</v>
      </c>
      <c r="C45" s="53" t="s">
        <v>167</v>
      </c>
      <c r="D45" s="53" t="s">
        <v>119</v>
      </c>
      <c r="E45" s="66">
        <v>20000</v>
      </c>
      <c r="F45" s="54"/>
      <c r="G45" s="66">
        <f>movimientos54[[#This Row],[MONTO]]-movimientos54[[#This Row],[SALIDAS]]</f>
        <v>20000</v>
      </c>
    </row>
    <row r="46" spans="2:17" x14ac:dyDescent="0.25">
      <c r="B46" s="50">
        <v>45832</v>
      </c>
      <c r="C46" s="53" t="s">
        <v>168</v>
      </c>
      <c r="D46" s="53" t="s">
        <v>118</v>
      </c>
      <c r="E46" s="66">
        <v>10000</v>
      </c>
      <c r="F46" s="54"/>
      <c r="G46" s="66">
        <f>movimientos54[[#This Row],[MONTO]]-movimientos54[[#This Row],[SALIDAS]]</f>
        <v>10000</v>
      </c>
    </row>
    <row r="47" spans="2:17" x14ac:dyDescent="0.25">
      <c r="B47" s="50">
        <v>45833</v>
      </c>
      <c r="C47" s="53" t="s">
        <v>169</v>
      </c>
      <c r="D47" s="53" t="s">
        <v>114</v>
      </c>
      <c r="E47" s="66">
        <v>50000</v>
      </c>
      <c r="F47" s="54"/>
      <c r="G47" s="66">
        <f>movimientos54[[#This Row],[MONTO]]-movimientos54[[#This Row],[SALIDAS]]</f>
        <v>50000</v>
      </c>
    </row>
    <row r="48" spans="2:17" x14ac:dyDescent="0.25">
      <c r="B48" s="50">
        <v>45834</v>
      </c>
      <c r="C48" s="53" t="s">
        <v>170</v>
      </c>
      <c r="D48" s="53" t="s">
        <v>116</v>
      </c>
      <c r="E48" s="66">
        <v>10000</v>
      </c>
      <c r="F48" s="54"/>
      <c r="G48" s="66">
        <f>movimientos54[[#This Row],[MONTO]]-movimientos54[[#This Row],[SALIDAS]]</f>
        <v>10000</v>
      </c>
    </row>
    <row r="49" spans="1:18" x14ac:dyDescent="0.25">
      <c r="B49" s="50">
        <v>45835</v>
      </c>
      <c r="C49" s="53" t="s">
        <v>171</v>
      </c>
      <c r="D49" s="53" t="s">
        <v>118</v>
      </c>
      <c r="E49" s="66">
        <v>1000</v>
      </c>
      <c r="F49" s="54"/>
      <c r="G49" s="66">
        <f>movimientos54[[#This Row],[MONTO]]-movimientos54[[#This Row],[SALIDAS]]</f>
        <v>1000</v>
      </c>
    </row>
    <row r="50" spans="1:18" x14ac:dyDescent="0.25">
      <c r="B50" s="50">
        <v>45835</v>
      </c>
      <c r="C50" s="53" t="s">
        <v>172</v>
      </c>
      <c r="D50" s="53" t="s">
        <v>119</v>
      </c>
      <c r="E50" s="66">
        <v>10000</v>
      </c>
      <c r="F50" s="54"/>
      <c r="G50" s="66">
        <f>movimientos54[[#This Row],[MONTO]]-movimientos54[[#This Row],[SALIDAS]]</f>
        <v>10000</v>
      </c>
    </row>
    <row r="51" spans="1:18" x14ac:dyDescent="0.25">
      <c r="B51" s="50">
        <v>45838</v>
      </c>
      <c r="C51" s="53" t="s">
        <v>27</v>
      </c>
      <c r="D51" s="53" t="s">
        <v>123</v>
      </c>
      <c r="E51" s="66">
        <v>17500</v>
      </c>
      <c r="F51" s="54"/>
      <c r="G51" s="66">
        <f>movimientos54[[#This Row],[MONTO]]-movimientos54[[#This Row],[SALIDAS]]</f>
        <v>17500</v>
      </c>
    </row>
    <row r="52" spans="1:18" x14ac:dyDescent="0.25">
      <c r="I52"/>
    </row>
    <row r="53" spans="1:18" ht="31.5" x14ac:dyDescent="0.5">
      <c r="A53" s="181" t="s">
        <v>173</v>
      </c>
      <c r="B53" s="181"/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</row>
    <row r="57" spans="1:18" x14ac:dyDescent="0.25">
      <c r="J57" s="46" t="s">
        <v>109</v>
      </c>
    </row>
    <row r="58" spans="1:18" x14ac:dyDescent="0.25">
      <c r="B58" s="46"/>
      <c r="J58" s="47" t="s">
        <v>110</v>
      </c>
      <c r="K58" s="47" t="s">
        <v>111</v>
      </c>
    </row>
    <row r="59" spans="1:18" x14ac:dyDescent="0.25">
      <c r="B59" s="47" t="s">
        <v>4</v>
      </c>
      <c r="C59" s="47" t="s">
        <v>112</v>
      </c>
      <c r="D59" s="47" t="s">
        <v>110</v>
      </c>
      <c r="E59" s="47" t="s">
        <v>8</v>
      </c>
      <c r="F59" s="47" t="s">
        <v>113</v>
      </c>
      <c r="G59" s="48" t="s">
        <v>111</v>
      </c>
      <c r="J59" s="49" t="s">
        <v>116</v>
      </c>
      <c r="K59" s="68">
        <f>SUMIF(movimientos5488[COLABORADOR],resumen_caja5589[[#This Row],[COLABORADOR]],movimientos5488[MONTO])-SUMIF(movimientos5488[COLABORADOR],resumen_caja5589[[#This Row],[COLABORADOR]],movimientos5488[SALIDAS])</f>
        <v>494500</v>
      </c>
    </row>
    <row r="60" spans="1:18" x14ac:dyDescent="0.25">
      <c r="B60" s="50">
        <v>45839</v>
      </c>
      <c r="C60" s="51" t="s">
        <v>174</v>
      </c>
      <c r="D60" s="51" t="s">
        <v>116</v>
      </c>
      <c r="E60" s="66">
        <v>273500</v>
      </c>
      <c r="F60" s="69"/>
      <c r="G60" s="67">
        <f>movimientos5488[[#This Row],[MONTO]]-movimientos5488[[#This Row],[SALIDAS]]</f>
        <v>273500</v>
      </c>
      <c r="J60" s="63" t="s">
        <v>123</v>
      </c>
      <c r="K60" s="76">
        <f>SUMIF(movimientos5488[COLABORADOR],resumen_caja5589[[#This Row],[COLABORADOR]],movimientos5488[MONTO])-SUMIF(movimientos5488[COLABORADOR],resumen_caja5589[[#This Row],[COLABORADOR]],movimientos5488[SALIDAS])</f>
        <v>1500877</v>
      </c>
    </row>
    <row r="61" spans="1:18" x14ac:dyDescent="0.25">
      <c r="B61" s="50">
        <v>45839</v>
      </c>
      <c r="C61" s="53" t="s">
        <v>175</v>
      </c>
      <c r="D61" s="51" t="s">
        <v>119</v>
      </c>
      <c r="E61" s="70">
        <v>100000</v>
      </c>
      <c r="F61" s="71"/>
      <c r="G61" s="67">
        <f>movimientos5488[[#This Row],[MONTO]]-movimientos5488[[#This Row],[SALIDAS]]</f>
        <v>100000</v>
      </c>
      <c r="J61" s="49" t="s">
        <v>176</v>
      </c>
      <c r="K61" s="68">
        <f>SUMIF(movimientos5488[COLABORADOR],resumen_caja5589[[#This Row],[COLABORADOR]],movimientos5488[MONTO])-SUMIF(movimientos5488[COLABORADOR],resumen_caja5589[[#This Row],[COLABORADOR]],movimientos5488[SALIDAS])</f>
        <v>95500</v>
      </c>
    </row>
    <row r="62" spans="1:18" x14ac:dyDescent="0.25">
      <c r="B62" s="50">
        <v>45839</v>
      </c>
      <c r="C62" s="53" t="s">
        <v>177</v>
      </c>
      <c r="D62" s="51" t="s">
        <v>118</v>
      </c>
      <c r="E62" s="70">
        <v>20000</v>
      </c>
      <c r="F62" s="71"/>
      <c r="G62" s="67">
        <f>movimientos5488[[#This Row],[MONTO]]-movimientos5488[[#This Row],[SALIDAS]]</f>
        <v>20000</v>
      </c>
      <c r="J62" s="49" t="s">
        <v>121</v>
      </c>
      <c r="K62" s="68">
        <f>SUMIF(movimientos5488[COLABORADOR],resumen_caja5589[[#This Row],[COLABORADOR]],movimientos5488[MONTO])-SUMIF(movimientos5488[COLABORADOR],resumen_caja5589[[#This Row],[COLABORADOR]],movimientos5488[SALIDAS])</f>
        <v>201500</v>
      </c>
      <c r="N62" s="180"/>
      <c r="O62" s="180"/>
    </row>
    <row r="63" spans="1:18" x14ac:dyDescent="0.25">
      <c r="B63" s="50">
        <v>45839</v>
      </c>
      <c r="C63" s="51" t="s">
        <v>178</v>
      </c>
      <c r="D63" s="51" t="s">
        <v>123</v>
      </c>
      <c r="E63" s="66">
        <v>370000</v>
      </c>
      <c r="F63" s="72"/>
      <c r="G63" s="67">
        <f>movimientos5488[[#This Row],[MONTO]]-movimientos5488[[#This Row],[SALIDAS]]</f>
        <v>370000</v>
      </c>
      <c r="J63" s="49" t="s">
        <v>114</v>
      </c>
      <c r="K63" s="68">
        <f>SUMIF(movimientos5488[COLABORADOR],resumen_caja5589[[#This Row],[COLABORADOR]],movimientos5488[MONTO])-SUMIF(movimientos5488[COLABORADOR],resumen_caja5589[[#This Row],[COLABORADOR]],movimientos5488[SALIDAS])</f>
        <v>539696</v>
      </c>
      <c r="N63" s="180"/>
      <c r="O63" s="180"/>
    </row>
    <row r="64" spans="1:18" x14ac:dyDescent="0.25">
      <c r="B64" s="50"/>
      <c r="C64" s="51"/>
      <c r="D64" s="51"/>
      <c r="E64" s="66"/>
      <c r="F64" s="72"/>
      <c r="G64" s="67">
        <f>movimientos5488[[#This Row],[MONTO]]-movimientos5488[[#This Row],[SALIDAS]]</f>
        <v>0</v>
      </c>
      <c r="J64" s="49" t="s">
        <v>119</v>
      </c>
      <c r="K64" s="68">
        <f>SUMIF(movimientos5488[COLABORADOR],resumen_caja5589[[#This Row],[COLABORADOR]],movimientos5488[MONTO])-SUMIF(movimientos5488[COLABORADOR],resumen_caja5589[[#This Row],[COLABORADOR]],movimientos5488[SALIDAS])</f>
        <v>500500</v>
      </c>
    </row>
    <row r="65" spans="2:11" x14ac:dyDescent="0.25">
      <c r="B65" s="50">
        <v>45845</v>
      </c>
      <c r="C65" s="51" t="s">
        <v>179</v>
      </c>
      <c r="D65" s="51" t="s">
        <v>118</v>
      </c>
      <c r="E65" s="66">
        <v>170000</v>
      </c>
      <c r="F65" s="72"/>
      <c r="G65" s="67">
        <f>movimientos5488[[#This Row],[MONTO]]-movimientos5488[[#This Row],[SALIDAS]]</f>
        <v>170000</v>
      </c>
      <c r="J65" s="49" t="s">
        <v>118</v>
      </c>
      <c r="K65" s="68">
        <f>SUMIF(movimientos5488[COLABORADOR],resumen_caja5589[[#This Row],[COLABORADOR]],movimientos5488[MONTO])-SUMIF(movimientos5488[COLABORADOR],resumen_caja5589[[#This Row],[COLABORADOR]],movimientos5488[SALIDAS])</f>
        <v>618000</v>
      </c>
    </row>
    <row r="66" spans="2:11" x14ac:dyDescent="0.25">
      <c r="B66" s="50">
        <v>45845</v>
      </c>
      <c r="C66" s="51" t="s">
        <v>180</v>
      </c>
      <c r="D66" s="51" t="s">
        <v>118</v>
      </c>
      <c r="E66" s="66">
        <v>11000</v>
      </c>
      <c r="F66" s="72"/>
      <c r="G66" s="67">
        <f>movimientos5488[[#This Row],[MONTO]]-movimientos5488[[#This Row],[SALIDAS]]</f>
        <v>11000</v>
      </c>
      <c r="J66" s="49" t="s">
        <v>126</v>
      </c>
      <c r="K66" s="68">
        <f>SUMIF(movimientos5488[COLABORADOR],resumen_caja5589[[#This Row],[COLABORADOR]],movimientos5488[MONTO])-SUMIF(movimientos5488[COLABORADOR],resumen_caja5589[[#This Row],[COLABORADOR]],movimientos5488[SALIDAS])</f>
        <v>15000</v>
      </c>
    </row>
    <row r="67" spans="2:11" x14ac:dyDescent="0.25">
      <c r="B67" s="50">
        <v>45845</v>
      </c>
      <c r="C67" s="51" t="s">
        <v>180</v>
      </c>
      <c r="D67" s="51" t="s">
        <v>119</v>
      </c>
      <c r="E67" s="66">
        <v>11000</v>
      </c>
      <c r="F67" s="72"/>
      <c r="G67" s="67">
        <f>movimientos5488[[#This Row],[MONTO]]-movimientos5488[[#This Row],[SALIDAS]]</f>
        <v>11000</v>
      </c>
      <c r="J67" s="49" t="s">
        <v>181</v>
      </c>
      <c r="K67" s="68">
        <f>SUMIF(movimientos5488[COLABORADOR],resumen_caja5589[[#This Row],[COLABORADOR]],movimientos5488[MONTO])-SUMIF(movimientos5488[COLABORADOR],resumen_caja5589[[#This Row],[COLABORADOR]],movimientos5488[SALIDAS])</f>
        <v>578000</v>
      </c>
    </row>
    <row r="68" spans="2:11" x14ac:dyDescent="0.25">
      <c r="B68" s="50">
        <v>45845</v>
      </c>
      <c r="C68" s="51" t="s">
        <v>180</v>
      </c>
      <c r="D68" s="51" t="s">
        <v>123</v>
      </c>
      <c r="E68" s="66">
        <v>24000</v>
      </c>
      <c r="F68" s="72"/>
      <c r="G68" s="67">
        <f>movimientos5488[[#This Row],[MONTO]]-movimientos5488[[#This Row],[SALIDAS]]</f>
        <v>24000</v>
      </c>
    </row>
    <row r="69" spans="2:11" x14ac:dyDescent="0.25">
      <c r="B69" s="50">
        <v>45845</v>
      </c>
      <c r="C69" s="51" t="s">
        <v>146</v>
      </c>
      <c r="D69" s="51" t="s">
        <v>123</v>
      </c>
      <c r="E69" s="66">
        <v>24000</v>
      </c>
      <c r="F69" s="72"/>
      <c r="G69" s="67">
        <f>movimientos5488[[#This Row],[MONTO]]-movimientos5488[[#This Row],[SALIDAS]]</f>
        <v>24000</v>
      </c>
    </row>
    <row r="70" spans="2:11" x14ac:dyDescent="0.25">
      <c r="B70" s="50">
        <v>45845</v>
      </c>
      <c r="C70" s="51" t="s">
        <v>182</v>
      </c>
      <c r="D70" s="51" t="s">
        <v>119</v>
      </c>
      <c r="E70" s="66">
        <v>20000</v>
      </c>
      <c r="F70" s="72"/>
      <c r="G70" s="67">
        <f>movimientos5488[[#This Row],[MONTO]]-movimientos5488[[#This Row],[SALIDAS]]</f>
        <v>20000</v>
      </c>
    </row>
    <row r="71" spans="2:11" x14ac:dyDescent="0.25">
      <c r="B71" s="50">
        <v>45846</v>
      </c>
      <c r="C71" s="51" t="s">
        <v>183</v>
      </c>
      <c r="D71" s="51" t="s">
        <v>114</v>
      </c>
      <c r="E71" s="66">
        <v>28196</v>
      </c>
      <c r="F71" s="72"/>
      <c r="G71" s="67">
        <f>movimientos5488[[#This Row],[MONTO]]-movimientos5488[[#This Row],[SALIDAS]]</f>
        <v>28196</v>
      </c>
    </row>
    <row r="72" spans="2:11" x14ac:dyDescent="0.25">
      <c r="B72" s="50">
        <v>45846</v>
      </c>
      <c r="C72" s="51" t="s">
        <v>184</v>
      </c>
      <c r="D72" s="51" t="s">
        <v>118</v>
      </c>
      <c r="E72" s="66">
        <v>100000</v>
      </c>
      <c r="F72" s="72"/>
      <c r="G72" s="67">
        <f>movimientos5488[[#This Row],[MONTO]]-movimientos5488[[#This Row],[SALIDAS]]</f>
        <v>100000</v>
      </c>
    </row>
    <row r="73" spans="2:11" x14ac:dyDescent="0.25">
      <c r="B73" s="50">
        <v>45848</v>
      </c>
      <c r="C73" s="51" t="s">
        <v>185</v>
      </c>
      <c r="D73" s="51" t="s">
        <v>119</v>
      </c>
      <c r="E73" s="66">
        <v>20000</v>
      </c>
      <c r="F73" s="72"/>
      <c r="G73" s="67">
        <f>movimientos5488[[#This Row],[MONTO]]-movimientos5488[[#This Row],[SALIDAS]]</f>
        <v>20000</v>
      </c>
    </row>
    <row r="74" spans="2:11" x14ac:dyDescent="0.25">
      <c r="B74" s="50">
        <v>45849</v>
      </c>
      <c r="C74" s="51" t="s">
        <v>186</v>
      </c>
      <c r="D74" s="51" t="s">
        <v>181</v>
      </c>
      <c r="E74" s="66">
        <v>578000</v>
      </c>
      <c r="F74" s="72"/>
      <c r="G74" s="67">
        <f>movimientos5488[[#This Row],[MONTO]]-movimientos5488[[#This Row],[SALIDAS]]</f>
        <v>578000</v>
      </c>
    </row>
    <row r="75" spans="2:11" x14ac:dyDescent="0.25">
      <c r="B75" s="50">
        <v>45852</v>
      </c>
      <c r="C75" s="51" t="s">
        <v>187</v>
      </c>
      <c r="D75" s="51" t="s">
        <v>119</v>
      </c>
      <c r="E75" s="66">
        <v>30000</v>
      </c>
      <c r="F75" s="72"/>
      <c r="G75" s="67">
        <f>movimientos5488[[#This Row],[MONTO]]-movimientos5488[[#This Row],[SALIDAS]]</f>
        <v>30000</v>
      </c>
    </row>
    <row r="76" spans="2:11" x14ac:dyDescent="0.25">
      <c r="B76" s="50">
        <v>45850</v>
      </c>
      <c r="C76" s="51" t="s">
        <v>188</v>
      </c>
      <c r="D76" s="51" t="s">
        <v>119</v>
      </c>
      <c r="E76" s="66">
        <v>26000</v>
      </c>
      <c r="F76" s="72"/>
      <c r="G76" s="67">
        <f>movimientos5488[[#This Row],[MONTO]]-movimientos5488[[#This Row],[SALIDAS]]</f>
        <v>26000</v>
      </c>
    </row>
    <row r="77" spans="2:11" x14ac:dyDescent="0.25">
      <c r="B77" s="50">
        <v>45850</v>
      </c>
      <c r="C77" s="51" t="s">
        <v>129</v>
      </c>
      <c r="D77" s="51" t="s">
        <v>114</v>
      </c>
      <c r="E77" s="66">
        <v>50000</v>
      </c>
      <c r="F77" s="72"/>
      <c r="G77" s="67">
        <f>movimientos5488[[#This Row],[MONTO]]-movimientos5488[[#This Row],[SALIDAS]]</f>
        <v>50000</v>
      </c>
    </row>
    <row r="78" spans="2:11" x14ac:dyDescent="0.25">
      <c r="B78" s="50">
        <v>45852</v>
      </c>
      <c r="C78" s="51" t="s">
        <v>189</v>
      </c>
      <c r="D78" s="51" t="s">
        <v>114</v>
      </c>
      <c r="E78" s="66">
        <v>50000</v>
      </c>
      <c r="F78" s="72"/>
      <c r="G78" s="67">
        <f>movimientos5488[[#This Row],[MONTO]]-movimientos5488[[#This Row],[SALIDAS]]</f>
        <v>50000</v>
      </c>
    </row>
    <row r="79" spans="2:11" x14ac:dyDescent="0.25">
      <c r="B79" s="50">
        <v>45852</v>
      </c>
      <c r="C79" s="51" t="s">
        <v>190</v>
      </c>
      <c r="D79" s="51" t="s">
        <v>118</v>
      </c>
      <c r="E79" s="66">
        <v>120000</v>
      </c>
      <c r="F79" s="72"/>
      <c r="G79" s="67">
        <f>movimientos5488[[#This Row],[MONTO]]-movimientos5488[[#This Row],[SALIDAS]]</f>
        <v>120000</v>
      </c>
    </row>
    <row r="80" spans="2:11" x14ac:dyDescent="0.25">
      <c r="B80" s="50">
        <v>45855</v>
      </c>
      <c r="C80" s="51" t="s">
        <v>191</v>
      </c>
      <c r="D80" s="51" t="s">
        <v>119</v>
      </c>
      <c r="E80" s="66">
        <v>200000</v>
      </c>
      <c r="F80" s="72"/>
      <c r="G80" s="67">
        <f>movimientos5488[[#This Row],[MONTO]]-movimientos5488[[#This Row],[SALIDAS]]</f>
        <v>200000</v>
      </c>
    </row>
    <row r="81" spans="2:7" x14ac:dyDescent="0.25">
      <c r="B81" s="50">
        <v>45859</v>
      </c>
      <c r="C81" s="51" t="s">
        <v>192</v>
      </c>
      <c r="D81" s="51" t="s">
        <v>119</v>
      </c>
      <c r="E81" s="66">
        <v>5000</v>
      </c>
      <c r="F81" s="72"/>
      <c r="G81" s="67">
        <f>movimientos5488[[#This Row],[MONTO]]-movimientos5488[[#This Row],[SALIDAS]]</f>
        <v>5000</v>
      </c>
    </row>
    <row r="82" spans="2:7" x14ac:dyDescent="0.25">
      <c r="B82" s="50">
        <v>45855</v>
      </c>
      <c r="C82" s="51" t="s">
        <v>193</v>
      </c>
      <c r="D82" s="51" t="s">
        <v>118</v>
      </c>
      <c r="E82" s="66">
        <v>10000</v>
      </c>
      <c r="F82" s="72"/>
      <c r="G82" s="67">
        <f>movimientos5488[[#This Row],[MONTO]]-movimientos5488[[#This Row],[SALIDAS]]</f>
        <v>10000</v>
      </c>
    </row>
    <row r="83" spans="2:7" x14ac:dyDescent="0.25">
      <c r="B83" s="50">
        <v>45859</v>
      </c>
      <c r="C83" s="51" t="s">
        <v>194</v>
      </c>
      <c r="D83" s="51" t="s">
        <v>114</v>
      </c>
      <c r="E83" s="66">
        <v>50000</v>
      </c>
      <c r="F83" s="72"/>
      <c r="G83" s="67">
        <f>movimientos5488[[#This Row],[MONTO]]-movimientos5488[[#This Row],[SALIDAS]]</f>
        <v>50000</v>
      </c>
    </row>
    <row r="84" spans="2:7" x14ac:dyDescent="0.25">
      <c r="B84" s="50">
        <v>45860</v>
      </c>
      <c r="C84" s="51" t="s">
        <v>195</v>
      </c>
      <c r="D84" s="51" t="s">
        <v>119</v>
      </c>
      <c r="E84" s="66">
        <v>10000</v>
      </c>
      <c r="F84" s="72"/>
      <c r="G84" s="67">
        <f>movimientos5488[[#This Row],[MONTO]]-movimientos5488[[#This Row],[SALIDAS]]</f>
        <v>10000</v>
      </c>
    </row>
    <row r="85" spans="2:7" x14ac:dyDescent="0.25">
      <c r="B85" s="50">
        <v>45860</v>
      </c>
      <c r="C85" s="51" t="s">
        <v>196</v>
      </c>
      <c r="D85" s="51" t="s">
        <v>123</v>
      </c>
      <c r="E85" s="66">
        <v>105000</v>
      </c>
      <c r="F85" s="72"/>
      <c r="G85" s="67">
        <f>movimientos5488[[#This Row],[MONTO]]-movimientos5488[[#This Row],[SALIDAS]]</f>
        <v>105000</v>
      </c>
    </row>
    <row r="86" spans="2:7" x14ac:dyDescent="0.25">
      <c r="B86" s="50">
        <v>45860</v>
      </c>
      <c r="C86" s="51" t="s">
        <v>197</v>
      </c>
      <c r="D86" s="51" t="s">
        <v>116</v>
      </c>
      <c r="E86" s="66">
        <v>50000</v>
      </c>
      <c r="F86" s="72"/>
      <c r="G86" s="67">
        <f>movimientos5488[[#This Row],[MONTO]]-movimientos5488[[#This Row],[SALIDAS]]</f>
        <v>50000</v>
      </c>
    </row>
    <row r="87" spans="2:7" x14ac:dyDescent="0.25">
      <c r="B87" s="50">
        <v>45861</v>
      </c>
      <c r="C87" s="51" t="s">
        <v>198</v>
      </c>
      <c r="D87" s="51" t="s">
        <v>114</v>
      </c>
      <c r="E87" s="66">
        <v>112000</v>
      </c>
      <c r="F87" s="72"/>
      <c r="G87" s="67">
        <f>movimientos5488[[#This Row],[MONTO]]-movimientos5488[[#This Row],[SALIDAS]]</f>
        <v>112000</v>
      </c>
    </row>
    <row r="88" spans="2:7" x14ac:dyDescent="0.25">
      <c r="B88" s="50">
        <v>45861</v>
      </c>
      <c r="C88" s="51" t="s">
        <v>199</v>
      </c>
      <c r="D88" s="51" t="s">
        <v>126</v>
      </c>
      <c r="E88" s="66">
        <v>15000</v>
      </c>
      <c r="F88" s="72"/>
      <c r="G88" s="67">
        <f>movimientos5488[[#This Row],[MONTO]]-movimientos5488[[#This Row],[SALIDAS]]</f>
        <v>15000</v>
      </c>
    </row>
    <row r="89" spans="2:7" x14ac:dyDescent="0.25">
      <c r="B89" s="50">
        <v>45864</v>
      </c>
      <c r="C89" s="51" t="s">
        <v>200</v>
      </c>
      <c r="D89" s="51" t="s">
        <v>176</v>
      </c>
      <c r="E89" s="66">
        <v>40000</v>
      </c>
      <c r="F89" s="72"/>
      <c r="G89" s="67">
        <f>movimientos5488[[#This Row],[MONTO]]-movimientos5488[[#This Row],[SALIDAS]]</f>
        <v>40000</v>
      </c>
    </row>
    <row r="90" spans="2:7" x14ac:dyDescent="0.25">
      <c r="B90" s="50">
        <v>45864</v>
      </c>
      <c r="C90" s="51" t="s">
        <v>201</v>
      </c>
      <c r="D90" s="51" t="s">
        <v>118</v>
      </c>
      <c r="E90" s="66">
        <v>20000</v>
      </c>
      <c r="F90" s="72"/>
      <c r="G90" s="67">
        <f>movimientos5488[[#This Row],[MONTO]]-movimientos5488[[#This Row],[SALIDAS]]</f>
        <v>20000</v>
      </c>
    </row>
    <row r="91" spans="2:7" x14ac:dyDescent="0.25">
      <c r="B91" s="50">
        <v>45864</v>
      </c>
      <c r="C91" s="51" t="s">
        <v>202</v>
      </c>
      <c r="D91" s="51" t="s">
        <v>116</v>
      </c>
      <c r="E91" s="66">
        <v>20000</v>
      </c>
      <c r="F91" s="72"/>
      <c r="G91" s="67">
        <f>movimientos5488[[#This Row],[MONTO]]-movimientos5488[[#This Row],[SALIDAS]]</f>
        <v>20000</v>
      </c>
    </row>
    <row r="92" spans="2:7" x14ac:dyDescent="0.25">
      <c r="B92" s="50">
        <v>45864</v>
      </c>
      <c r="C92" s="51" t="s">
        <v>203</v>
      </c>
      <c r="D92" s="51" t="s">
        <v>114</v>
      </c>
      <c r="E92" s="66">
        <v>40000</v>
      </c>
      <c r="F92" s="72"/>
      <c r="G92" s="67">
        <f>movimientos5488[[#This Row],[MONTO]]-movimientos5488[[#This Row],[SALIDAS]]</f>
        <v>40000</v>
      </c>
    </row>
    <row r="93" spans="2:7" x14ac:dyDescent="0.25">
      <c r="B93" s="50">
        <v>45867</v>
      </c>
      <c r="C93" s="51" t="s">
        <v>71</v>
      </c>
      <c r="D93" s="51" t="s">
        <v>123</v>
      </c>
      <c r="E93" s="66">
        <v>500000</v>
      </c>
      <c r="F93" s="72"/>
      <c r="G93" s="67">
        <f>movimientos5488[[#This Row],[MONTO]]-movimientos5488[[#This Row],[SALIDAS]]</f>
        <v>500000</v>
      </c>
    </row>
    <row r="94" spans="2:7" x14ac:dyDescent="0.25">
      <c r="B94" s="50">
        <v>45869</v>
      </c>
      <c r="C94" s="51" t="s">
        <v>27</v>
      </c>
      <c r="D94" s="51" t="s">
        <v>116</v>
      </c>
      <c r="E94" s="66">
        <v>23000</v>
      </c>
      <c r="F94" s="72"/>
      <c r="G94" s="67">
        <f>movimientos5488[[#This Row],[MONTO]]-movimientos5488[[#This Row],[SALIDAS]]</f>
        <v>23000</v>
      </c>
    </row>
    <row r="95" spans="2:7" x14ac:dyDescent="0.25">
      <c r="B95" s="50">
        <v>45869</v>
      </c>
      <c r="C95" s="51" t="s">
        <v>204</v>
      </c>
      <c r="D95" s="51" t="s">
        <v>121</v>
      </c>
      <c r="E95" s="66">
        <v>180000</v>
      </c>
      <c r="F95" s="72"/>
      <c r="G95" s="67">
        <f>movimientos5488[[#This Row],[MONTO]]-movimientos5488[[#This Row],[SALIDAS]]</f>
        <v>180000</v>
      </c>
    </row>
    <row r="96" spans="2:7" x14ac:dyDescent="0.25">
      <c r="B96" s="50">
        <v>45869</v>
      </c>
      <c r="C96" s="53" t="s">
        <v>27</v>
      </c>
      <c r="D96" s="51" t="s">
        <v>114</v>
      </c>
      <c r="E96" s="70">
        <v>1500</v>
      </c>
      <c r="F96" s="71"/>
      <c r="G96" s="73">
        <f>movimientos5488[[#This Row],[MONTO]]-movimientos5488[[#This Row],[SALIDAS]]</f>
        <v>1500</v>
      </c>
    </row>
    <row r="97" spans="2:7" x14ac:dyDescent="0.25">
      <c r="B97" s="50">
        <v>45869</v>
      </c>
      <c r="C97" s="53" t="s">
        <v>27</v>
      </c>
      <c r="D97" s="51" t="s">
        <v>118</v>
      </c>
      <c r="E97" s="70">
        <v>50000</v>
      </c>
      <c r="F97" s="71"/>
      <c r="G97" s="73">
        <f>movimientos5488[[#This Row],[MONTO]]-movimientos5488[[#This Row],[SALIDAS]]</f>
        <v>50000</v>
      </c>
    </row>
    <row r="98" spans="2:7" x14ac:dyDescent="0.25">
      <c r="B98" s="50">
        <v>45869</v>
      </c>
      <c r="C98" s="53" t="s">
        <v>205</v>
      </c>
      <c r="D98" s="51" t="s">
        <v>118</v>
      </c>
      <c r="E98" s="70">
        <v>15000</v>
      </c>
      <c r="F98" s="71"/>
      <c r="G98" s="73">
        <f>movimientos5488[[#This Row],[MONTO]]-movimientos5488[[#This Row],[SALIDAS]]</f>
        <v>15000</v>
      </c>
    </row>
    <row r="99" spans="2:7" x14ac:dyDescent="0.25">
      <c r="B99" s="50">
        <v>45869</v>
      </c>
      <c r="C99" s="53" t="s">
        <v>180</v>
      </c>
      <c r="D99" s="51" t="s">
        <v>118</v>
      </c>
      <c r="E99" s="70">
        <v>12000</v>
      </c>
      <c r="F99" s="71"/>
      <c r="G99" s="73">
        <f>movimientos5488[[#This Row],[MONTO]]-movimientos5488[[#This Row],[SALIDAS]]</f>
        <v>12000</v>
      </c>
    </row>
    <row r="100" spans="2:7" x14ac:dyDescent="0.25">
      <c r="B100" s="50">
        <v>45869</v>
      </c>
      <c r="C100" s="53" t="s">
        <v>180</v>
      </c>
      <c r="D100" s="51" t="s">
        <v>119</v>
      </c>
      <c r="E100" s="70">
        <v>12000</v>
      </c>
      <c r="F100" s="71"/>
      <c r="G100" s="73">
        <f>movimientos5488[[#This Row],[MONTO]]-movimientos5488[[#This Row],[SALIDAS]]</f>
        <v>12000</v>
      </c>
    </row>
    <row r="101" spans="2:7" x14ac:dyDescent="0.25">
      <c r="B101" s="50">
        <v>45869</v>
      </c>
      <c r="C101" s="53" t="s">
        <v>206</v>
      </c>
      <c r="D101" s="51" t="s">
        <v>116</v>
      </c>
      <c r="E101" s="70">
        <v>88000</v>
      </c>
      <c r="F101" s="71"/>
      <c r="G101" s="73">
        <f>movimientos5488[[#This Row],[MONTO]]-movimientos5488[[#This Row],[SALIDAS]]</f>
        <v>88000</v>
      </c>
    </row>
    <row r="102" spans="2:7" x14ac:dyDescent="0.25">
      <c r="B102" s="50">
        <v>45869</v>
      </c>
      <c r="C102" s="51" t="s">
        <v>207</v>
      </c>
      <c r="D102" s="51" t="s">
        <v>116</v>
      </c>
      <c r="E102" s="66">
        <v>40000</v>
      </c>
      <c r="F102" s="72"/>
      <c r="G102" s="67">
        <f>movimientos5488[[#This Row],[MONTO]]-movimientos5488[[#This Row],[SALIDAS]]</f>
        <v>40000</v>
      </c>
    </row>
    <row r="103" spans="2:7" x14ac:dyDescent="0.25">
      <c r="B103" s="50">
        <v>45869</v>
      </c>
      <c r="C103" s="53" t="s">
        <v>27</v>
      </c>
      <c r="D103" s="53" t="s">
        <v>121</v>
      </c>
      <c r="E103" s="70">
        <v>21500</v>
      </c>
      <c r="F103" s="71"/>
      <c r="G103" s="73">
        <f>movimientos5488[[#This Row],[MONTO]]-movimientos5488[[#This Row],[SALIDAS]]</f>
        <v>21500</v>
      </c>
    </row>
    <row r="104" spans="2:7" x14ac:dyDescent="0.25">
      <c r="B104" s="50">
        <v>45869</v>
      </c>
      <c r="C104" s="53" t="s">
        <v>141</v>
      </c>
      <c r="D104" s="53" t="s">
        <v>114</v>
      </c>
      <c r="E104" s="70">
        <v>200000</v>
      </c>
      <c r="F104" s="71"/>
      <c r="G104" s="73">
        <f>movimientos5488[[#This Row],[MONTO]]-movimientos5488[[#This Row],[SALIDAS]]</f>
        <v>200000</v>
      </c>
    </row>
    <row r="105" spans="2:7" x14ac:dyDescent="0.25">
      <c r="B105" s="50">
        <v>45869</v>
      </c>
      <c r="C105" s="53" t="s">
        <v>69</v>
      </c>
      <c r="D105" s="53" t="s">
        <v>114</v>
      </c>
      <c r="E105" s="70">
        <v>8000</v>
      </c>
      <c r="F105" s="71"/>
      <c r="G105" s="73">
        <f>movimientos5488[[#This Row],[MONTO]]-movimientos5488[[#This Row],[SALIDAS]]</f>
        <v>8000</v>
      </c>
    </row>
    <row r="106" spans="2:7" x14ac:dyDescent="0.25">
      <c r="B106" s="50">
        <v>45869</v>
      </c>
      <c r="C106" s="53" t="s">
        <v>208</v>
      </c>
      <c r="D106" s="53" t="s">
        <v>118</v>
      </c>
      <c r="E106" s="70">
        <v>90000</v>
      </c>
      <c r="F106" s="71"/>
      <c r="G106" s="73">
        <f>movimientos5488[[#This Row],[MONTO]]-movimientos5488[[#This Row],[SALIDAS]]</f>
        <v>90000</v>
      </c>
    </row>
    <row r="107" spans="2:7" x14ac:dyDescent="0.25">
      <c r="B107" s="50">
        <v>45869</v>
      </c>
      <c r="C107" s="53" t="s">
        <v>27</v>
      </c>
      <c r="D107" s="53" t="s">
        <v>176</v>
      </c>
      <c r="E107" s="70">
        <v>35500</v>
      </c>
      <c r="F107" s="71"/>
      <c r="G107" s="73">
        <f>movimientos5488[[#This Row],[MONTO]]-movimientos5488[[#This Row],[SALIDAS]]</f>
        <v>35500</v>
      </c>
    </row>
    <row r="108" spans="2:7" x14ac:dyDescent="0.25">
      <c r="B108" s="50">
        <v>45869</v>
      </c>
      <c r="C108" s="53" t="s">
        <v>209</v>
      </c>
      <c r="D108" s="53" t="s">
        <v>176</v>
      </c>
      <c r="E108" s="70">
        <v>20000</v>
      </c>
      <c r="F108" s="71"/>
      <c r="G108" s="73">
        <f>movimientos5488[[#This Row],[MONTO]]-movimientos5488[[#This Row],[SALIDAS]]</f>
        <v>20000</v>
      </c>
    </row>
    <row r="109" spans="2:7" x14ac:dyDescent="0.25">
      <c r="B109" s="50">
        <v>45869</v>
      </c>
      <c r="C109" s="53" t="s">
        <v>27</v>
      </c>
      <c r="D109" s="53" t="s">
        <v>123</v>
      </c>
      <c r="E109" s="70">
        <v>13500</v>
      </c>
      <c r="F109" s="71"/>
      <c r="G109" s="73">
        <f>movimientos5488[[#This Row],[MONTO]]-movimientos5488[[#This Row],[SALIDAS]]</f>
        <v>13500</v>
      </c>
    </row>
    <row r="110" spans="2:7" x14ac:dyDescent="0.25">
      <c r="B110" s="50">
        <v>45869</v>
      </c>
      <c r="C110" s="53" t="s">
        <v>210</v>
      </c>
      <c r="D110" s="53" t="s">
        <v>119</v>
      </c>
      <c r="E110" s="70">
        <v>20000</v>
      </c>
      <c r="F110" s="71"/>
      <c r="G110" s="73">
        <f>movimientos5488[[#This Row],[MONTO]]-movimientos5488[[#This Row],[SALIDAS]]</f>
        <v>20000</v>
      </c>
    </row>
    <row r="111" spans="2:7" x14ac:dyDescent="0.25">
      <c r="B111" s="50">
        <v>45869</v>
      </c>
      <c r="C111" s="53" t="s">
        <v>211</v>
      </c>
      <c r="D111" s="53" t="s">
        <v>119</v>
      </c>
      <c r="E111" s="70">
        <v>35000</v>
      </c>
      <c r="F111" s="71"/>
      <c r="G111" s="73">
        <f>movimientos5488[[#This Row],[MONTO]]-movimientos5488[[#This Row],[SALIDAS]]</f>
        <v>35000</v>
      </c>
    </row>
    <row r="112" spans="2:7" x14ac:dyDescent="0.25">
      <c r="B112" s="50">
        <v>45869</v>
      </c>
      <c r="C112" s="53" t="s">
        <v>27</v>
      </c>
      <c r="D112" s="53" t="s">
        <v>119</v>
      </c>
      <c r="E112" s="70">
        <v>11500</v>
      </c>
      <c r="F112" s="71"/>
      <c r="G112" s="73">
        <f>movimientos5488[[#This Row],[MONTO]]-movimientos5488[[#This Row],[SALIDAS]]</f>
        <v>11500</v>
      </c>
    </row>
    <row r="113" spans="1:18" x14ac:dyDescent="0.25">
      <c r="B113" s="50">
        <v>45869</v>
      </c>
      <c r="C113" s="53" t="s">
        <v>212</v>
      </c>
      <c r="D113" s="53" t="s">
        <v>123</v>
      </c>
      <c r="E113" s="70">
        <v>200000</v>
      </c>
      <c r="F113" s="71"/>
      <c r="G113" s="73">
        <f>movimientos5488[[#This Row],[MONTO]]-movimientos5488[[#This Row],[SALIDAS]]</f>
        <v>200000</v>
      </c>
    </row>
    <row r="114" spans="1:18" x14ac:dyDescent="0.25">
      <c r="B114" s="50">
        <v>45869</v>
      </c>
      <c r="C114" s="53" t="s">
        <v>213</v>
      </c>
      <c r="D114" s="53" t="s">
        <v>123</v>
      </c>
      <c r="E114" s="70">
        <v>150000</v>
      </c>
      <c r="F114" s="71"/>
      <c r="G114" s="73">
        <f>movimientos5488[[#This Row],[MONTO]]-movimientos5488[[#This Row],[SALIDAS]]</f>
        <v>150000</v>
      </c>
    </row>
    <row r="115" spans="1:18" x14ac:dyDescent="0.25">
      <c r="B115" s="50">
        <v>45869</v>
      </c>
      <c r="C115" s="53" t="s">
        <v>214</v>
      </c>
      <c r="D115" s="53" t="s">
        <v>123</v>
      </c>
      <c r="E115" s="70">
        <v>66066</v>
      </c>
      <c r="F115" s="71"/>
      <c r="G115" s="73">
        <f>movimientos5488[[#This Row],[MONTO]]-movimientos5488[[#This Row],[SALIDAS]]</f>
        <v>66066</v>
      </c>
    </row>
    <row r="116" spans="1:18" x14ac:dyDescent="0.25">
      <c r="B116" s="50">
        <v>45869</v>
      </c>
      <c r="C116" s="53" t="s">
        <v>75</v>
      </c>
      <c r="D116" s="53" t="s">
        <v>123</v>
      </c>
      <c r="E116" s="70">
        <v>36087</v>
      </c>
      <c r="F116" s="71"/>
      <c r="G116" s="73">
        <f>movimientos5488[[#This Row],[MONTO]]-movimientos5488[[#This Row],[SALIDAS]]</f>
        <v>36087</v>
      </c>
    </row>
    <row r="117" spans="1:18" x14ac:dyDescent="0.25">
      <c r="B117" s="50">
        <v>45869</v>
      </c>
      <c r="C117" s="53" t="s">
        <v>215</v>
      </c>
      <c r="D117" s="53" t="s">
        <v>123</v>
      </c>
      <c r="E117" s="70">
        <v>12224</v>
      </c>
      <c r="F117" s="71"/>
      <c r="G117" s="73">
        <f>movimientos5488[[#This Row],[MONTO]]-movimientos5488[[#This Row],[SALIDAS]]</f>
        <v>12224</v>
      </c>
      <c r="I117"/>
    </row>
    <row r="118" spans="1:18" x14ac:dyDescent="0.25">
      <c r="I118"/>
    </row>
    <row r="119" spans="1:18" ht="31.5" x14ac:dyDescent="0.5">
      <c r="A119" s="181" t="s">
        <v>216</v>
      </c>
      <c r="B119" s="181"/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</row>
    <row r="123" spans="1:18" x14ac:dyDescent="0.25">
      <c r="J123" s="46" t="s">
        <v>109</v>
      </c>
    </row>
    <row r="124" spans="1:18" x14ac:dyDescent="0.25">
      <c r="B124" s="46"/>
      <c r="J124" s="47" t="s">
        <v>110</v>
      </c>
      <c r="K124" s="47" t="s">
        <v>111</v>
      </c>
    </row>
    <row r="125" spans="1:18" x14ac:dyDescent="0.25">
      <c r="B125" s="47" t="s">
        <v>4</v>
      </c>
      <c r="C125" s="47" t="s">
        <v>112</v>
      </c>
      <c r="D125" s="47" t="s">
        <v>110</v>
      </c>
      <c r="E125" s="47" t="s">
        <v>8</v>
      </c>
      <c r="F125" s="47" t="s">
        <v>113</v>
      </c>
      <c r="G125" s="48" t="s">
        <v>111</v>
      </c>
      <c r="J125" s="49" t="s">
        <v>116</v>
      </c>
      <c r="K125" s="68">
        <f>SUMIF(movimientos548811[COLABORADOR],resumen_caja558912[[#This Row],[COLABORADOR]],movimientos548811[MONTO])-SUMIF(movimientos548811[COLABORADOR],resumen_caja558912[[#This Row],[COLABORADOR]],movimientos548811[SALIDAS])</f>
        <v>263000</v>
      </c>
    </row>
    <row r="126" spans="1:18" x14ac:dyDescent="0.25">
      <c r="B126" s="50">
        <v>45870</v>
      </c>
      <c r="C126" s="53" t="s">
        <v>217</v>
      </c>
      <c r="D126" s="53" t="s">
        <v>121</v>
      </c>
      <c r="E126" s="70">
        <v>100000</v>
      </c>
      <c r="F126" s="69"/>
      <c r="G126" s="67">
        <f>movimientos548811[[#This Row],[MONTO]]-movimientos548811[[#This Row],[SALIDAS]]</f>
        <v>100000</v>
      </c>
      <c r="J126" s="51" t="s">
        <v>123</v>
      </c>
      <c r="K126" s="75">
        <f>SUMIF(movimientos548811[COLABORADOR],resumen_caja558912[[#This Row],[COLABORADOR]],movimientos548811[MONTO])-SUMIF(movimientos548811[COLABORADOR],resumen_caja558912[[#This Row],[COLABORADOR]],movimientos548811[SALIDAS])</f>
        <v>370000</v>
      </c>
    </row>
    <row r="127" spans="1:18" x14ac:dyDescent="0.25">
      <c r="B127" s="50">
        <v>45870</v>
      </c>
      <c r="C127" s="53" t="s">
        <v>129</v>
      </c>
      <c r="D127" s="51" t="s">
        <v>114</v>
      </c>
      <c r="E127" s="70">
        <v>200000</v>
      </c>
      <c r="F127" s="71"/>
      <c r="G127" s="67">
        <f>movimientos548811[[#This Row],[MONTO]]-movimientos548811[[#This Row],[SALIDAS]]</f>
        <v>200000</v>
      </c>
      <c r="J127" s="49" t="s">
        <v>181</v>
      </c>
      <c r="K127" s="68">
        <f>SUMIF(movimientos548811[COLABORADOR],resumen_caja558912[[#This Row],[COLABORADOR]],movimientos548811[MONTO])-SUMIF(movimientos548811[COLABORADOR],resumen_caja558912[[#This Row],[COLABORADOR]],movimientos548811[SALIDAS])</f>
        <v>0</v>
      </c>
    </row>
    <row r="128" spans="1:18" x14ac:dyDescent="0.25">
      <c r="B128" s="50">
        <v>45873</v>
      </c>
      <c r="C128" s="53" t="s">
        <v>218</v>
      </c>
      <c r="D128" s="51" t="s">
        <v>119</v>
      </c>
      <c r="E128" s="70">
        <v>234000</v>
      </c>
      <c r="F128" s="71"/>
      <c r="G128" s="67">
        <f>movimientos548811[[#This Row],[MONTO]]-movimientos548811[[#This Row],[SALIDAS]]</f>
        <v>234000</v>
      </c>
      <c r="J128" s="49" t="s">
        <v>121</v>
      </c>
      <c r="K128" s="68">
        <f>SUMIF(movimientos548811[COLABORADOR],resumen_caja558912[[#This Row],[COLABORADOR]],movimientos548811[MONTO])-SUMIF(movimientos548811[COLABORADOR],resumen_caja558912[[#This Row],[COLABORADOR]],movimientos548811[SALIDAS])</f>
        <v>100000</v>
      </c>
      <c r="N128" s="180"/>
      <c r="O128" s="180"/>
    </row>
    <row r="129" spans="2:17" x14ac:dyDescent="0.25">
      <c r="B129" s="50">
        <v>45874</v>
      </c>
      <c r="C129" s="51" t="s">
        <v>50</v>
      </c>
      <c r="D129" s="51" t="s">
        <v>114</v>
      </c>
      <c r="E129" s="66">
        <v>11194</v>
      </c>
      <c r="F129" s="72"/>
      <c r="G129" s="67">
        <f>movimientos548811[[#This Row],[MONTO]]-movimientos548811[[#This Row],[SALIDAS]]</f>
        <v>11194</v>
      </c>
      <c r="J129" s="49" t="s">
        <v>114</v>
      </c>
      <c r="K129" s="68">
        <f>SUMIF(movimientos548811[COLABORADOR],resumen_caja558912[[#This Row],[COLABORADOR]],movimientos548811[MONTO])-SUMIF(movimientos548811[COLABORADOR],resumen_caja558912[[#This Row],[COLABORADOR]],movimientos548811[SALIDAS])</f>
        <v>546194</v>
      </c>
      <c r="N129" s="180"/>
      <c r="O129" s="180"/>
    </row>
    <row r="130" spans="2:17" x14ac:dyDescent="0.25">
      <c r="B130" s="50">
        <v>45884</v>
      </c>
      <c r="C130" s="51" t="s">
        <v>129</v>
      </c>
      <c r="D130" s="51" t="s">
        <v>114</v>
      </c>
      <c r="E130" s="66">
        <v>220000</v>
      </c>
      <c r="F130" s="72"/>
      <c r="G130" s="67">
        <f>movimientos548811[[#This Row],[MONTO]]-movimientos548811[[#This Row],[SALIDAS]]</f>
        <v>220000</v>
      </c>
      <c r="J130" s="49" t="s">
        <v>119</v>
      </c>
      <c r="K130" s="68">
        <f>SUMIF(movimientos548811[COLABORADOR],resumen_caja558912[[#This Row],[COLABORADOR]],movimientos548811[MONTO])-SUMIF(movimientos548811[COLABORADOR],resumen_caja558912[[#This Row],[COLABORADOR]],movimientos548811[SALIDAS])</f>
        <v>481000</v>
      </c>
    </row>
    <row r="131" spans="2:17" x14ac:dyDescent="0.25">
      <c r="B131" s="50">
        <v>45887</v>
      </c>
      <c r="C131" s="51" t="s">
        <v>219</v>
      </c>
      <c r="D131" s="51" t="s">
        <v>119</v>
      </c>
      <c r="E131" s="66">
        <v>150000</v>
      </c>
      <c r="F131" s="72"/>
      <c r="G131" s="67">
        <f>movimientos548811[[#This Row],[MONTO]]-movimientos548811[[#This Row],[SALIDAS]]</f>
        <v>150000</v>
      </c>
      <c r="J131" s="49" t="s">
        <v>118</v>
      </c>
      <c r="K131" s="68">
        <f>SUMIF(movimientos548811[COLABORADOR],resumen_caja558912[[#This Row],[COLABORADOR]],movimientos548811[MONTO])-SUMIF(movimientos548811[COLABORADOR],resumen_caja558912[[#This Row],[COLABORADOR]],movimientos548811[SALIDAS])</f>
        <v>0</v>
      </c>
    </row>
    <row r="132" spans="2:17" x14ac:dyDescent="0.25">
      <c r="B132" s="50">
        <v>45888</v>
      </c>
      <c r="C132" s="51" t="s">
        <v>220</v>
      </c>
      <c r="D132" s="51" t="s">
        <v>114</v>
      </c>
      <c r="E132" s="66">
        <v>50000</v>
      </c>
      <c r="F132" s="72"/>
      <c r="G132" s="67">
        <f>movimientos548811[[#This Row],[MONTO]]-movimientos548811[[#This Row],[SALIDAS]]</f>
        <v>50000</v>
      </c>
      <c r="J132" s="49" t="s">
        <v>126</v>
      </c>
      <c r="K132" s="68">
        <f>SUMIF(movimientos548811[COLABORADOR],resumen_caja558912[[#This Row],[COLABORADOR]],movimientos548811[MONTO])-SUMIF(movimientos548811[COLABORADOR],resumen_caja558912[[#This Row],[COLABORADOR]],movimientos548811[SALIDAS])</f>
        <v>20000</v>
      </c>
    </row>
    <row r="133" spans="2:17" x14ac:dyDescent="0.25">
      <c r="B133" s="50">
        <v>45889</v>
      </c>
      <c r="C133" s="51" t="s">
        <v>221</v>
      </c>
      <c r="D133" s="51" t="s">
        <v>119</v>
      </c>
      <c r="E133" s="66">
        <v>30000</v>
      </c>
      <c r="F133" s="72"/>
      <c r="G133" s="67">
        <f>movimientos548811[[#This Row],[MONTO]]-movimientos548811[[#This Row],[SALIDAS]]</f>
        <v>30000</v>
      </c>
      <c r="J133" s="51"/>
      <c r="K133" s="64"/>
    </row>
    <row r="134" spans="2:17" x14ac:dyDescent="0.25">
      <c r="B134" s="50">
        <v>45900</v>
      </c>
      <c r="C134" s="51" t="s">
        <v>222</v>
      </c>
      <c r="D134" s="51" t="s">
        <v>123</v>
      </c>
      <c r="E134" s="66">
        <v>370000</v>
      </c>
      <c r="F134" s="72"/>
      <c r="G134" s="67">
        <f>movimientos548811[[#This Row],[MONTO]]-movimientos548811[[#This Row],[SALIDAS]]</f>
        <v>370000</v>
      </c>
    </row>
    <row r="135" spans="2:17" x14ac:dyDescent="0.25">
      <c r="B135" s="50">
        <v>45900</v>
      </c>
      <c r="C135" s="51" t="s">
        <v>217</v>
      </c>
      <c r="D135" s="51" t="s">
        <v>116</v>
      </c>
      <c r="E135" s="66">
        <v>240000</v>
      </c>
      <c r="F135" s="72"/>
      <c r="G135" s="67">
        <f>movimientos548811[[#This Row],[MONTO]]-movimientos548811[[#This Row],[SALIDAS]]</f>
        <v>240000</v>
      </c>
    </row>
    <row r="136" spans="2:17" x14ac:dyDescent="0.25">
      <c r="B136" s="50">
        <v>45892</v>
      </c>
      <c r="C136" s="51" t="s">
        <v>129</v>
      </c>
      <c r="D136" s="51" t="s">
        <v>114</v>
      </c>
      <c r="E136" s="66">
        <v>50000</v>
      </c>
      <c r="F136" s="72"/>
      <c r="G136" s="67">
        <f>movimientos548811[[#This Row],[MONTO]]-movimientos548811[[#This Row],[SALIDAS]]</f>
        <v>50000</v>
      </c>
    </row>
    <row r="137" spans="2:17" x14ac:dyDescent="0.25">
      <c r="B137" s="50">
        <v>45892</v>
      </c>
      <c r="C137" s="51" t="s">
        <v>61</v>
      </c>
      <c r="D137" s="51" t="s">
        <v>119</v>
      </c>
      <c r="E137" s="66">
        <v>15000</v>
      </c>
      <c r="F137" s="72"/>
      <c r="G137" s="67">
        <f>movimientos548811[[#This Row],[MONTO]]-movimientos548811[[#This Row],[SALIDAS]]</f>
        <v>15000</v>
      </c>
      <c r="N137" s="56" t="s">
        <v>110</v>
      </c>
      <c r="O137" s="56" t="s">
        <v>131</v>
      </c>
      <c r="P137" s="56" t="s">
        <v>132</v>
      </c>
      <c r="Q137" s="56" t="s">
        <v>133</v>
      </c>
    </row>
    <row r="138" spans="2:17" x14ac:dyDescent="0.25">
      <c r="B138" s="50">
        <v>45894</v>
      </c>
      <c r="C138" s="51" t="s">
        <v>58</v>
      </c>
      <c r="D138" s="51" t="s">
        <v>119</v>
      </c>
      <c r="E138" s="66">
        <v>17500</v>
      </c>
      <c r="F138" s="72"/>
      <c r="G138" s="67">
        <f>movimientos548811[[#This Row],[MONTO]]-movimientos548811[[#This Row],[SALIDAS]]</f>
        <v>17500</v>
      </c>
      <c r="N138" s="42" t="s">
        <v>135</v>
      </c>
      <c r="O138" s="57"/>
      <c r="P138" s="57"/>
      <c r="Q138" s="42" t="s">
        <v>136</v>
      </c>
    </row>
    <row r="139" spans="2:17" x14ac:dyDescent="0.25">
      <c r="B139" s="50">
        <v>45895</v>
      </c>
      <c r="C139" s="51" t="s">
        <v>61</v>
      </c>
      <c r="D139" s="51" t="s">
        <v>119</v>
      </c>
      <c r="E139" s="66">
        <v>20000</v>
      </c>
      <c r="F139" s="72"/>
      <c r="G139" s="67">
        <f>movimientos548811[[#This Row],[MONTO]]-movimientos548811[[#This Row],[SALIDAS]]</f>
        <v>20000</v>
      </c>
      <c r="N139" s="42" t="s">
        <v>62</v>
      </c>
      <c r="O139" s="57"/>
      <c r="P139" s="57"/>
      <c r="Q139" s="42" t="s">
        <v>136</v>
      </c>
    </row>
    <row r="140" spans="2:17" x14ac:dyDescent="0.25">
      <c r="B140" s="50">
        <v>45896</v>
      </c>
      <c r="C140" s="51" t="s">
        <v>223</v>
      </c>
      <c r="D140" s="51" t="s">
        <v>126</v>
      </c>
      <c r="E140" s="66">
        <v>20000</v>
      </c>
      <c r="F140" s="72"/>
      <c r="G140" s="67">
        <f>movimientos548811[[#This Row],[MONTO]]-movimientos548811[[#This Row],[SALIDAS]]</f>
        <v>20000</v>
      </c>
      <c r="N140" s="42" t="s">
        <v>72</v>
      </c>
      <c r="O140" s="183" t="s">
        <v>139</v>
      </c>
      <c r="P140" s="184"/>
      <c r="Q140" s="185"/>
    </row>
    <row r="141" spans="2:17" x14ac:dyDescent="0.25">
      <c r="B141" s="50">
        <v>45898</v>
      </c>
      <c r="C141" s="51" t="s">
        <v>224</v>
      </c>
      <c r="D141" s="51" t="s">
        <v>116</v>
      </c>
      <c r="E141" s="66">
        <v>23000</v>
      </c>
      <c r="F141" s="72"/>
      <c r="G141" s="67">
        <f>movimientos548811[[#This Row],[MONTO]]-movimientos548811[[#This Row],[SALIDAS]]</f>
        <v>23000</v>
      </c>
      <c r="N141" s="42" t="s">
        <v>76</v>
      </c>
      <c r="O141" s="57"/>
      <c r="P141" s="57"/>
      <c r="Q141" s="42" t="s">
        <v>136</v>
      </c>
    </row>
    <row r="142" spans="2:17" x14ac:dyDescent="0.25">
      <c r="B142" s="50">
        <v>45898</v>
      </c>
      <c r="C142" s="51" t="s">
        <v>225</v>
      </c>
      <c r="D142" s="51" t="s">
        <v>114</v>
      </c>
      <c r="E142" s="66">
        <v>9000</v>
      </c>
      <c r="F142" s="72"/>
      <c r="G142" s="67">
        <f>movimientos548811[[#This Row],[MONTO]]-movimientos548811[[#This Row],[SALIDAS]]</f>
        <v>9000</v>
      </c>
      <c r="N142" s="42" t="s">
        <v>140</v>
      </c>
      <c r="O142" s="57"/>
      <c r="P142" s="57"/>
      <c r="Q142" s="42" t="s">
        <v>136</v>
      </c>
    </row>
    <row r="143" spans="2:17" x14ac:dyDescent="0.25">
      <c r="B143" s="50">
        <v>45898</v>
      </c>
      <c r="C143" s="51" t="s">
        <v>226</v>
      </c>
      <c r="D143" s="51" t="s">
        <v>119</v>
      </c>
      <c r="E143" s="66">
        <v>14500</v>
      </c>
      <c r="F143" s="72"/>
      <c r="G143" s="67">
        <f>movimientos548811[[#This Row],[MONTO]]-movimientos548811[[#This Row],[SALIDAS]]</f>
        <v>14500</v>
      </c>
      <c r="N143" s="42" t="s">
        <v>142</v>
      </c>
      <c r="O143" s="57"/>
      <c r="P143" s="57"/>
      <c r="Q143" s="42" t="s">
        <v>143</v>
      </c>
    </row>
    <row r="144" spans="2:17" x14ac:dyDescent="0.25">
      <c r="B144" s="50">
        <v>45898</v>
      </c>
      <c r="C144" s="51" t="s">
        <v>69</v>
      </c>
      <c r="D144" s="51" t="s">
        <v>114</v>
      </c>
      <c r="E144" s="66">
        <v>6000</v>
      </c>
      <c r="F144" s="72"/>
      <c r="G144" s="67">
        <f>movimientos548811[[#This Row],[MONTO]]-movimientos548811[[#This Row],[SALIDAS]]</f>
        <v>6000</v>
      </c>
      <c r="N144" s="42" t="s">
        <v>144</v>
      </c>
      <c r="O144" s="57"/>
      <c r="P144" s="57"/>
      <c r="Q144" s="42" t="s">
        <v>143</v>
      </c>
    </row>
    <row r="145" spans="2:17" x14ac:dyDescent="0.25">
      <c r="B145" s="50"/>
      <c r="C145" s="51"/>
      <c r="D145" s="51"/>
      <c r="E145" s="66"/>
      <c r="F145" s="72"/>
      <c r="G145" s="67">
        <f>movimientos548811[[#This Row],[MONTO]]-movimientos548811[[#This Row],[SALIDAS]]</f>
        <v>0</v>
      </c>
      <c r="N145" s="42" t="s">
        <v>145</v>
      </c>
      <c r="O145" s="57"/>
      <c r="P145" s="57"/>
      <c r="Q145" s="42" t="s">
        <v>143</v>
      </c>
    </row>
    <row r="146" spans="2:17" x14ac:dyDescent="0.25">
      <c r="B146" s="50"/>
      <c r="C146" s="51"/>
      <c r="D146" s="51"/>
      <c r="E146" s="66"/>
      <c r="F146" s="72"/>
      <c r="G146" s="67">
        <f>movimientos548811[[#This Row],[MONTO]]-movimientos548811[[#This Row],[SALIDAS]]</f>
        <v>0</v>
      </c>
      <c r="N146" s="42" t="s">
        <v>147</v>
      </c>
      <c r="O146" s="57"/>
      <c r="P146" s="57"/>
      <c r="Q146" s="42" t="s">
        <v>136</v>
      </c>
    </row>
    <row r="147" spans="2:17" x14ac:dyDescent="0.25">
      <c r="B147" s="50"/>
      <c r="C147" s="51"/>
      <c r="D147" s="51"/>
      <c r="E147" s="66"/>
      <c r="F147" s="72"/>
      <c r="G147" s="67">
        <f>movimientos548811[[#This Row],[MONTO]]-movimientos548811[[#This Row],[SALIDAS]]</f>
        <v>0</v>
      </c>
      <c r="O147" s="42" t="s">
        <v>149</v>
      </c>
      <c r="P147" s="186">
        <f>P138+P139+P141+P142+P146</f>
        <v>0</v>
      </c>
      <c r="Q147" s="186"/>
    </row>
    <row r="148" spans="2:17" x14ac:dyDescent="0.25">
      <c r="B148" s="50"/>
      <c r="C148" s="51"/>
      <c r="D148" s="51"/>
      <c r="E148" s="66"/>
      <c r="F148" s="72"/>
      <c r="G148" s="67">
        <f>movimientos548811[[#This Row],[MONTO]]-movimientos548811[[#This Row],[SALIDAS]]</f>
        <v>0</v>
      </c>
      <c r="O148" s="42" t="s">
        <v>151</v>
      </c>
      <c r="P148" s="186">
        <f>P143+P144+P145</f>
        <v>0</v>
      </c>
      <c r="Q148" s="186"/>
    </row>
    <row r="149" spans="2:17" x14ac:dyDescent="0.25">
      <c r="B149" s="50"/>
      <c r="C149" s="51"/>
      <c r="D149" s="51"/>
      <c r="E149" s="66"/>
      <c r="F149" s="72"/>
      <c r="G149" s="67">
        <f>movimientos548811[[#This Row],[MONTO]]-movimientos548811[[#This Row],[SALIDAS]]</f>
        <v>0</v>
      </c>
      <c r="O149" s="42" t="s">
        <v>152</v>
      </c>
      <c r="P149" s="187">
        <f>P147+P148</f>
        <v>0</v>
      </c>
      <c r="Q149" s="187"/>
    </row>
    <row r="150" spans="2:17" x14ac:dyDescent="0.25">
      <c r="B150" s="50"/>
      <c r="C150" s="51"/>
      <c r="D150" s="51"/>
      <c r="E150" s="66"/>
      <c r="F150" s="72"/>
      <c r="G150" s="67">
        <f>movimientos548811[[#This Row],[MONTO]]-movimientos548811[[#This Row],[SALIDAS]]</f>
        <v>0</v>
      </c>
    </row>
    <row r="151" spans="2:17" x14ac:dyDescent="0.25">
      <c r="B151" s="50"/>
      <c r="C151" s="51"/>
      <c r="D151" s="51"/>
      <c r="E151" s="66"/>
      <c r="F151" s="72"/>
      <c r="G151" s="67">
        <f>movimientos548811[[#This Row],[MONTO]]-movimientos548811[[#This Row],[SALIDAS]]</f>
        <v>0</v>
      </c>
    </row>
    <row r="152" spans="2:17" x14ac:dyDescent="0.25">
      <c r="B152" s="50"/>
      <c r="C152" s="51"/>
      <c r="D152" s="51"/>
      <c r="E152" s="66"/>
      <c r="F152" s="72"/>
      <c r="G152" s="67">
        <f>movimientos548811[[#This Row],[MONTO]]-movimientos548811[[#This Row],[SALIDAS]]</f>
        <v>0</v>
      </c>
    </row>
    <row r="153" spans="2:17" x14ac:dyDescent="0.25">
      <c r="B153" s="50"/>
      <c r="C153" s="51"/>
      <c r="D153" s="51"/>
      <c r="E153" s="66"/>
      <c r="F153" s="72"/>
      <c r="G153" s="67">
        <f>movimientos548811[[#This Row],[MONTO]]-movimientos548811[[#This Row],[SALIDAS]]</f>
        <v>0</v>
      </c>
    </row>
    <row r="154" spans="2:17" x14ac:dyDescent="0.25">
      <c r="B154" s="50"/>
      <c r="C154" s="51"/>
      <c r="D154" s="51"/>
      <c r="E154" s="66"/>
      <c r="F154" s="72"/>
      <c r="G154" s="67">
        <f>movimientos548811[[#This Row],[MONTO]]-movimientos548811[[#This Row],[SALIDAS]]</f>
        <v>0</v>
      </c>
    </row>
    <row r="155" spans="2:17" x14ac:dyDescent="0.25">
      <c r="B155" s="50"/>
      <c r="C155" s="51"/>
      <c r="D155" s="51"/>
      <c r="E155" s="66"/>
      <c r="F155" s="72"/>
      <c r="G155" s="67">
        <f>movimientos548811[[#This Row],[MONTO]]-movimientos548811[[#This Row],[SALIDAS]]</f>
        <v>0</v>
      </c>
    </row>
    <row r="156" spans="2:17" x14ac:dyDescent="0.25">
      <c r="B156" s="50"/>
      <c r="C156" s="51"/>
      <c r="D156" s="51"/>
      <c r="E156" s="66"/>
      <c r="F156" s="72"/>
      <c r="G156" s="67">
        <f>movimientos548811[[#This Row],[MONTO]]-movimientos548811[[#This Row],[SALIDAS]]</f>
        <v>0</v>
      </c>
    </row>
    <row r="157" spans="2:17" x14ac:dyDescent="0.25">
      <c r="B157" s="50"/>
      <c r="C157" s="51"/>
      <c r="D157" s="51"/>
      <c r="E157" s="66"/>
      <c r="F157" s="72"/>
      <c r="G157" s="67">
        <f>movimientos548811[[#This Row],[MONTO]]-movimientos548811[[#This Row],[SALIDAS]]</f>
        <v>0</v>
      </c>
    </row>
    <row r="158" spans="2:17" x14ac:dyDescent="0.25">
      <c r="B158" s="50"/>
      <c r="C158" s="51"/>
      <c r="D158" s="51"/>
      <c r="E158" s="66"/>
      <c r="F158" s="72"/>
      <c r="G158" s="67">
        <f>movimientos548811[[#This Row],[MONTO]]-movimientos548811[[#This Row],[SALIDAS]]</f>
        <v>0</v>
      </c>
    </row>
    <row r="159" spans="2:17" x14ac:dyDescent="0.25">
      <c r="B159" s="50"/>
      <c r="C159" s="51"/>
      <c r="D159" s="51"/>
      <c r="E159" s="66"/>
      <c r="F159" s="72"/>
      <c r="G159" s="67">
        <f>movimientos548811[[#This Row],[MONTO]]-movimientos548811[[#This Row],[SALIDAS]]</f>
        <v>0</v>
      </c>
    </row>
    <row r="160" spans="2:17" x14ac:dyDescent="0.25">
      <c r="B160" s="50"/>
      <c r="C160" s="51"/>
      <c r="D160" s="51"/>
      <c r="E160" s="66"/>
      <c r="F160" s="72"/>
      <c r="G160" s="67">
        <f>movimientos548811[[#This Row],[MONTO]]-movimientos548811[[#This Row],[SALIDAS]]</f>
        <v>0</v>
      </c>
    </row>
    <row r="161" spans="1:18" x14ac:dyDescent="0.25">
      <c r="B161" s="50"/>
      <c r="C161" s="51"/>
      <c r="D161" s="51"/>
      <c r="E161" s="66"/>
      <c r="F161" s="72"/>
      <c r="G161" s="67">
        <f>movimientos548811[[#This Row],[MONTO]]-movimientos548811[[#This Row],[SALIDAS]]</f>
        <v>0</v>
      </c>
    </row>
    <row r="162" spans="1:18" x14ac:dyDescent="0.25">
      <c r="B162" s="50"/>
      <c r="C162" s="53"/>
      <c r="D162" s="51"/>
      <c r="E162" s="70"/>
      <c r="F162" s="71"/>
      <c r="G162" s="73">
        <f>movimientos548811[[#This Row],[MONTO]]-movimientos548811[[#This Row],[SALIDAS]]</f>
        <v>0</v>
      </c>
    </row>
    <row r="163" spans="1:18" x14ac:dyDescent="0.25">
      <c r="B163" s="50"/>
      <c r="C163" s="53"/>
      <c r="D163" s="51"/>
      <c r="E163" s="70"/>
      <c r="F163" s="71"/>
      <c r="G163" s="73">
        <f>movimientos548811[[#This Row],[MONTO]]-movimientos548811[[#This Row],[SALIDAS]]</f>
        <v>0</v>
      </c>
    </row>
    <row r="164" spans="1:18" x14ac:dyDescent="0.25">
      <c r="B164" s="50"/>
      <c r="C164" s="53"/>
      <c r="D164" s="51"/>
      <c r="E164" s="70"/>
      <c r="F164" s="71"/>
      <c r="G164" s="73">
        <f>movimientos548811[[#This Row],[MONTO]]-movimientos548811[[#This Row],[SALIDAS]]</f>
        <v>0</v>
      </c>
    </row>
    <row r="165" spans="1:18" x14ac:dyDescent="0.25">
      <c r="B165" s="50"/>
      <c r="C165" s="53"/>
      <c r="D165" s="51"/>
      <c r="E165" s="70"/>
      <c r="F165" s="71"/>
      <c r="G165" s="73">
        <f>movimientos548811[[#This Row],[MONTO]]-movimientos548811[[#This Row],[SALIDAS]]</f>
        <v>0</v>
      </c>
    </row>
    <row r="166" spans="1:18" x14ac:dyDescent="0.25">
      <c r="B166" s="50"/>
      <c r="C166" s="53"/>
      <c r="D166" s="51"/>
      <c r="E166" s="70"/>
      <c r="F166" s="71"/>
      <c r="G166" s="73">
        <f>movimientos548811[[#This Row],[MONTO]]-movimientos548811[[#This Row],[SALIDAS]]</f>
        <v>0</v>
      </c>
    </row>
    <row r="167" spans="1:18" x14ac:dyDescent="0.25">
      <c r="B167" s="50"/>
      <c r="C167" s="53"/>
      <c r="D167" s="51"/>
      <c r="E167" s="70"/>
      <c r="F167" s="71"/>
      <c r="G167" s="73">
        <f>movimientos548811[[#This Row],[MONTO]]-movimientos548811[[#This Row],[SALIDAS]]</f>
        <v>0</v>
      </c>
    </row>
    <row r="168" spans="1:18" x14ac:dyDescent="0.25">
      <c r="B168" s="65"/>
      <c r="C168" s="51"/>
      <c r="D168" s="51"/>
      <c r="E168" s="66"/>
      <c r="F168" s="72"/>
      <c r="G168" s="67">
        <f>movimientos548811[[#This Row],[MONTO]]-movimientos548811[[#This Row],[SALIDAS]]</f>
        <v>0</v>
      </c>
    </row>
    <row r="169" spans="1:18" hidden="1" x14ac:dyDescent="0.25">
      <c r="E169" s="74"/>
      <c r="F169" s="74"/>
      <c r="G169" s="74"/>
    </row>
    <row r="170" spans="1:18" hidden="1" x14ac:dyDescent="0.25"/>
    <row r="171" spans="1:18" hidden="1" x14ac:dyDescent="0.25"/>
    <row r="172" spans="1:18" ht="31.5" x14ac:dyDescent="0.5">
      <c r="A172" s="181" t="s">
        <v>227</v>
      </c>
      <c r="B172" s="181"/>
      <c r="C172" s="181"/>
      <c r="D172" s="181"/>
      <c r="E172" s="181"/>
      <c r="F172" s="181"/>
      <c r="G172" s="181"/>
      <c r="H172" s="181"/>
      <c r="I172" s="181"/>
      <c r="J172" s="181"/>
      <c r="K172" s="181"/>
      <c r="L172" s="181"/>
      <c r="M172" s="181"/>
      <c r="N172" s="181"/>
      <c r="O172" s="181"/>
      <c r="P172" s="181"/>
      <c r="Q172" s="181"/>
      <c r="R172" s="181"/>
    </row>
    <row r="176" spans="1:18" x14ac:dyDescent="0.25">
      <c r="J176" s="46" t="s">
        <v>109</v>
      </c>
    </row>
    <row r="177" spans="2:15" x14ac:dyDescent="0.25">
      <c r="B177" s="46"/>
      <c r="J177" s="47" t="s">
        <v>110</v>
      </c>
      <c r="K177" s="47" t="s">
        <v>111</v>
      </c>
    </row>
    <row r="178" spans="2:15" x14ac:dyDescent="0.25">
      <c r="B178" s="47" t="s">
        <v>4</v>
      </c>
      <c r="C178" s="47" t="s">
        <v>112</v>
      </c>
      <c r="D178" s="47" t="s">
        <v>110</v>
      </c>
      <c r="E178" s="47" t="s">
        <v>8</v>
      </c>
      <c r="F178" s="47" t="s">
        <v>113</v>
      </c>
      <c r="G178" s="48" t="s">
        <v>111</v>
      </c>
      <c r="J178" s="49" t="s">
        <v>116</v>
      </c>
      <c r="K178" s="68">
        <f>SUMIF(movimientos54881114[COLABORADOR],resumen_caja55891213[[#This Row],[COLABORADOR]],movimientos54881114[MONTO])-SUMIF(movimientos54881114[COLABORADOR],resumen_caja55891213[[#This Row],[COLABORADOR]],movimientos54881114[SALIDAS])</f>
        <v>328000</v>
      </c>
    </row>
    <row r="179" spans="2:15" x14ac:dyDescent="0.25">
      <c r="B179" s="50">
        <v>45901</v>
      </c>
      <c r="C179" s="53" t="s">
        <v>228</v>
      </c>
      <c r="D179" s="53" t="s">
        <v>118</v>
      </c>
      <c r="E179" s="70">
        <v>15000</v>
      </c>
      <c r="F179" s="69"/>
      <c r="G179" s="67">
        <f>movimientos54881114[[#This Row],[MONTO]]-movimientos54881114[[#This Row],[SALIDAS]]</f>
        <v>15000</v>
      </c>
      <c r="J179" s="51" t="s">
        <v>123</v>
      </c>
      <c r="K179" s="75">
        <f>SUMIF(movimientos54881114[COLABORADOR],resumen_caja55891213[[#This Row],[COLABORADOR]],movimientos54881114[MONTO])-SUMIF(movimientos54881114[COLABORADOR],resumen_caja55891213[[#This Row],[COLABORADOR]],movimientos54881114[SALIDAS])</f>
        <v>475000</v>
      </c>
    </row>
    <row r="180" spans="2:15" x14ac:dyDescent="0.25">
      <c r="B180" s="50">
        <v>45901</v>
      </c>
      <c r="C180" s="53" t="s">
        <v>229</v>
      </c>
      <c r="D180" s="53" t="s">
        <v>116</v>
      </c>
      <c r="E180" s="70">
        <v>151000</v>
      </c>
      <c r="F180" s="71"/>
      <c r="G180" s="67">
        <f>movimientos54881114[[#This Row],[MONTO]]-movimientos54881114[[#This Row],[SALIDAS]]</f>
        <v>151000</v>
      </c>
      <c r="J180" s="49" t="s">
        <v>181</v>
      </c>
      <c r="K180" s="68">
        <f>SUMIF(movimientos54881114[COLABORADOR],resumen_caja55891213[[#This Row],[COLABORADOR]],movimientos54881114[MONTO])-SUMIF(movimientos54881114[COLABORADOR],resumen_caja55891213[[#This Row],[COLABORADOR]],movimientos54881114[SALIDAS])</f>
        <v>61500</v>
      </c>
    </row>
    <row r="181" spans="2:15" x14ac:dyDescent="0.25">
      <c r="B181" s="50">
        <v>45901</v>
      </c>
      <c r="C181" s="53" t="s">
        <v>230</v>
      </c>
      <c r="D181" s="53" t="s">
        <v>114</v>
      </c>
      <c r="E181" s="70">
        <v>5000</v>
      </c>
      <c r="F181" s="71"/>
      <c r="G181" s="67">
        <f>movimientos54881114[[#This Row],[MONTO]]-movimientos54881114[[#This Row],[SALIDAS]]</f>
        <v>5000</v>
      </c>
      <c r="J181" s="49" t="s">
        <v>121</v>
      </c>
      <c r="K181" s="68">
        <f>SUMIF(movimientos54881114[COLABORADOR],resumen_caja55891213[[#This Row],[COLABORADOR]],movimientos54881114[MONTO])-SUMIF(movimientos54881114[COLABORADOR],resumen_caja55891213[[#This Row],[COLABORADOR]],movimientos54881114[SALIDAS])</f>
        <v>16300</v>
      </c>
      <c r="N181" s="180"/>
      <c r="O181" s="180"/>
    </row>
    <row r="182" spans="2:15" x14ac:dyDescent="0.25">
      <c r="B182" s="50">
        <v>45903</v>
      </c>
      <c r="C182" s="51" t="s">
        <v>231</v>
      </c>
      <c r="D182" s="53" t="s">
        <v>116</v>
      </c>
      <c r="E182" s="66">
        <v>10000</v>
      </c>
      <c r="F182" s="72"/>
      <c r="G182" s="67">
        <f>movimientos54881114[[#This Row],[MONTO]]-movimientos54881114[[#This Row],[SALIDAS]]</f>
        <v>10000</v>
      </c>
      <c r="J182" s="49" t="s">
        <v>114</v>
      </c>
      <c r="K182" s="68">
        <f>SUMIF(movimientos54881114[COLABORADOR],resumen_caja55891213[[#This Row],[COLABORADOR]],movimientos54881114[MONTO])-SUMIF(movimientos54881114[COLABORADOR],resumen_caja55891213[[#This Row],[COLABORADOR]],movimientos54881114[SALIDAS])</f>
        <v>421404</v>
      </c>
      <c r="N182" s="180"/>
      <c r="O182" s="180"/>
    </row>
    <row r="183" spans="2:15" x14ac:dyDescent="0.25">
      <c r="B183" s="50">
        <v>45903</v>
      </c>
      <c r="C183" s="51" t="s">
        <v>232</v>
      </c>
      <c r="D183" s="53" t="s">
        <v>116</v>
      </c>
      <c r="E183" s="66">
        <v>20000</v>
      </c>
      <c r="F183" s="72"/>
      <c r="G183" s="67">
        <f>movimientos54881114[[#This Row],[MONTO]]-movimientos54881114[[#This Row],[SALIDAS]]</f>
        <v>20000</v>
      </c>
      <c r="J183" s="49" t="s">
        <v>119</v>
      </c>
      <c r="K183" s="68">
        <f>SUMIF(movimientos54881114[COLABORADOR],resumen_caja55891213[[#This Row],[COLABORADOR]],movimientos54881114[MONTO])-SUMIF(movimientos54881114[COLABORADOR],resumen_caja55891213[[#This Row],[COLABORADOR]],movimientos54881114[SALIDAS])</f>
        <v>755000</v>
      </c>
    </row>
    <row r="184" spans="2:15" x14ac:dyDescent="0.25">
      <c r="B184" s="50">
        <v>45903</v>
      </c>
      <c r="C184" s="51" t="s">
        <v>233</v>
      </c>
      <c r="D184" s="53" t="s">
        <v>114</v>
      </c>
      <c r="E184" s="66">
        <v>40000</v>
      </c>
      <c r="F184" s="72"/>
      <c r="G184" s="67">
        <f>movimientos54881114[[#This Row],[MONTO]]-movimientos54881114[[#This Row],[SALIDAS]]</f>
        <v>40000</v>
      </c>
      <c r="J184" s="49" t="s">
        <v>118</v>
      </c>
      <c r="K184" s="68">
        <f>SUMIF(movimientos54881114[COLABORADOR],resumen_caja55891213[[#This Row],[COLABORADOR]],movimientos54881114[MONTO])-SUMIF(movimientos54881114[COLABORADOR],resumen_caja55891213[[#This Row],[COLABORADOR]],movimientos54881114[SALIDAS])</f>
        <v>829000</v>
      </c>
    </row>
    <row r="185" spans="2:15" x14ac:dyDescent="0.25">
      <c r="B185" s="50">
        <v>45903</v>
      </c>
      <c r="C185" s="51" t="s">
        <v>234</v>
      </c>
      <c r="D185" s="53" t="s">
        <v>114</v>
      </c>
      <c r="E185" s="66">
        <v>100000</v>
      </c>
      <c r="F185" s="72"/>
      <c r="G185" s="67">
        <f>movimientos54881114[[#This Row],[MONTO]]-movimientos54881114[[#This Row],[SALIDAS]]</f>
        <v>100000</v>
      </c>
      <c r="J185" s="49" t="s">
        <v>126</v>
      </c>
      <c r="K185" s="68">
        <f>SUMIF(movimientos54881114[COLABORADOR],resumen_caja55891213[[#This Row],[COLABORADOR]],movimientos54881114[MONTO])-SUMIF(movimientos54881114[COLABORADOR],resumen_caja55891213[[#This Row],[COLABORADOR]],movimientos54881114[SALIDAS])</f>
        <v>0</v>
      </c>
    </row>
    <row r="186" spans="2:15" x14ac:dyDescent="0.25">
      <c r="B186" s="50">
        <v>45903</v>
      </c>
      <c r="C186" s="51" t="s">
        <v>235</v>
      </c>
      <c r="D186" s="53" t="s">
        <v>119</v>
      </c>
      <c r="E186" s="66">
        <v>200000</v>
      </c>
      <c r="F186" s="72"/>
      <c r="G186" s="67">
        <f>movimientos54881114[[#This Row],[MONTO]]-movimientos54881114[[#This Row],[SALIDAS]]</f>
        <v>200000</v>
      </c>
      <c r="J186" s="90" t="s">
        <v>253</v>
      </c>
      <c r="K186" s="91">
        <f>SUMIF(movimientos54881114[COLABORADOR],resumen_caja55891213[[#This Row],[COLABORADOR]],movimientos54881114[MONTO])-SUMIF(movimientos54881114[COLABORADOR],resumen_caja55891213[[#This Row],[COLABORADOR]],movimientos54881114[SALIDAS])</f>
        <v>100000</v>
      </c>
    </row>
    <row r="187" spans="2:15" x14ac:dyDescent="0.25">
      <c r="B187" s="50">
        <v>45904</v>
      </c>
      <c r="C187" s="51" t="s">
        <v>236</v>
      </c>
      <c r="D187" s="53" t="s">
        <v>114</v>
      </c>
      <c r="E187" s="66">
        <v>9904</v>
      </c>
      <c r="F187" s="72"/>
      <c r="G187" s="67">
        <f>movimientos54881114[[#This Row],[MONTO]]-movimientos54881114[[#This Row],[SALIDAS]]</f>
        <v>9904</v>
      </c>
    </row>
    <row r="188" spans="2:15" x14ac:dyDescent="0.25">
      <c r="B188" s="50">
        <v>45903</v>
      </c>
      <c r="C188" s="51" t="s">
        <v>237</v>
      </c>
      <c r="D188" s="53" t="s">
        <v>123</v>
      </c>
      <c r="E188" s="66">
        <v>370000</v>
      </c>
      <c r="F188" s="72"/>
      <c r="G188" s="67">
        <f>movimientos54881114[[#This Row],[MONTO]]-movimientos54881114[[#This Row],[SALIDAS]]</f>
        <v>370000</v>
      </c>
    </row>
    <row r="189" spans="2:15" x14ac:dyDescent="0.25">
      <c r="B189" s="50">
        <v>45912</v>
      </c>
      <c r="C189" s="51" t="s">
        <v>250</v>
      </c>
      <c r="D189" s="53" t="s">
        <v>119</v>
      </c>
      <c r="E189" s="66">
        <v>50000</v>
      </c>
      <c r="F189" s="72"/>
      <c r="G189" s="67">
        <f>movimientos54881114[[#This Row],[MONTO]]-movimientos54881114[[#This Row],[SALIDAS]]</f>
        <v>50000</v>
      </c>
    </row>
    <row r="190" spans="2:15" x14ac:dyDescent="0.25">
      <c r="B190" s="50">
        <v>45912</v>
      </c>
      <c r="C190" s="51" t="s">
        <v>251</v>
      </c>
      <c r="D190" s="53" t="s">
        <v>118</v>
      </c>
      <c r="E190" s="66">
        <v>50000</v>
      </c>
      <c r="F190" s="72"/>
      <c r="G190" s="67">
        <f>movimientos54881114[[#This Row],[MONTO]]-movimientos54881114[[#This Row],[SALIDAS]]</f>
        <v>50000</v>
      </c>
    </row>
    <row r="191" spans="2:15" x14ac:dyDescent="0.25">
      <c r="B191" s="50">
        <v>45912</v>
      </c>
      <c r="C191" s="51" t="s">
        <v>252</v>
      </c>
      <c r="D191" s="53" t="s">
        <v>121</v>
      </c>
      <c r="E191" s="66">
        <v>12800</v>
      </c>
      <c r="F191" s="72"/>
      <c r="G191" s="67">
        <f>movimientos54881114[[#This Row],[MONTO]]-movimientos54881114[[#This Row],[SALIDAS]]</f>
        <v>12800</v>
      </c>
    </row>
    <row r="192" spans="2:15" x14ac:dyDescent="0.25">
      <c r="B192" s="50">
        <v>45913</v>
      </c>
      <c r="C192" s="51" t="s">
        <v>61</v>
      </c>
      <c r="D192" s="53" t="s">
        <v>119</v>
      </c>
      <c r="E192" s="66">
        <v>15000</v>
      </c>
      <c r="F192" s="72"/>
      <c r="G192" s="67">
        <f>movimientos54881114[[#This Row],[MONTO]]-movimientos54881114[[#This Row],[SALIDAS]]</f>
        <v>15000</v>
      </c>
    </row>
    <row r="193" spans="2:7" x14ac:dyDescent="0.25">
      <c r="B193" s="50">
        <v>45917</v>
      </c>
      <c r="C193" s="51" t="s">
        <v>61</v>
      </c>
      <c r="D193" s="53" t="s">
        <v>119</v>
      </c>
      <c r="E193" s="66">
        <v>150000</v>
      </c>
      <c r="F193" s="72"/>
      <c r="G193" s="67">
        <f>movimientos54881114[[#This Row],[MONTO]]-movimientos54881114[[#This Row],[SALIDAS]]</f>
        <v>150000</v>
      </c>
    </row>
    <row r="194" spans="2:7" x14ac:dyDescent="0.25">
      <c r="B194" s="50">
        <v>45917</v>
      </c>
      <c r="C194" s="51" t="s">
        <v>77</v>
      </c>
      <c r="D194" s="53" t="s">
        <v>118</v>
      </c>
      <c r="E194" s="66">
        <v>200000</v>
      </c>
      <c r="F194" s="72"/>
      <c r="G194" s="67">
        <f>movimientos54881114[[#This Row],[MONTO]]-movimientos54881114[[#This Row],[SALIDAS]]</f>
        <v>200000</v>
      </c>
    </row>
    <row r="195" spans="2:7" x14ac:dyDescent="0.25">
      <c r="B195" s="50">
        <v>45917</v>
      </c>
      <c r="C195" s="51" t="s">
        <v>77</v>
      </c>
      <c r="D195" s="53" t="s">
        <v>118</v>
      </c>
      <c r="E195" s="66">
        <v>80000</v>
      </c>
      <c r="F195" s="72"/>
      <c r="G195" s="67">
        <f>movimientos54881114[[#This Row],[MONTO]]-movimientos54881114[[#This Row],[SALIDAS]]</f>
        <v>80000</v>
      </c>
    </row>
    <row r="196" spans="2:7" x14ac:dyDescent="0.25">
      <c r="B196" s="50">
        <v>45922</v>
      </c>
      <c r="C196" s="51" t="s">
        <v>77</v>
      </c>
      <c r="D196" s="53" t="s">
        <v>118</v>
      </c>
      <c r="E196" s="66">
        <v>10000</v>
      </c>
      <c r="F196" s="72"/>
      <c r="G196" s="67">
        <f>movimientos54881114[[#This Row],[MONTO]]-movimientos54881114[[#This Row],[SALIDAS]]</f>
        <v>10000</v>
      </c>
    </row>
    <row r="197" spans="2:7" x14ac:dyDescent="0.25">
      <c r="B197" s="50">
        <v>45924</v>
      </c>
      <c r="C197" s="53" t="s">
        <v>254</v>
      </c>
      <c r="D197" s="53" t="s">
        <v>253</v>
      </c>
      <c r="E197" s="70">
        <v>100000</v>
      </c>
      <c r="F197" s="71"/>
      <c r="G197" s="73">
        <f>movimientos54881114[[#This Row],[MONTO]]-movimientos54881114[[#This Row],[SALIDAS]]</f>
        <v>100000</v>
      </c>
    </row>
    <row r="198" spans="2:7" x14ac:dyDescent="0.25">
      <c r="B198" s="50">
        <v>45924</v>
      </c>
      <c r="C198" s="53" t="s">
        <v>255</v>
      </c>
      <c r="D198" s="53" t="s">
        <v>119</v>
      </c>
      <c r="E198" s="70">
        <v>10000</v>
      </c>
      <c r="F198" s="71"/>
      <c r="G198" s="73">
        <f>movimientos54881114[[#This Row],[MONTO]]-movimientos54881114[[#This Row],[SALIDAS]]</f>
        <v>10000</v>
      </c>
    </row>
    <row r="199" spans="2:7" x14ac:dyDescent="0.25">
      <c r="B199" s="50">
        <v>45925</v>
      </c>
      <c r="C199" s="53" t="s">
        <v>61</v>
      </c>
      <c r="D199" s="53" t="s">
        <v>119</v>
      </c>
      <c r="E199" s="70">
        <v>20000</v>
      </c>
      <c r="F199" s="71"/>
      <c r="G199" s="73">
        <f>movimientos54881114[[#This Row],[MONTO]]-movimientos54881114[[#This Row],[SALIDAS]]</f>
        <v>20000</v>
      </c>
    </row>
    <row r="200" spans="2:7" x14ac:dyDescent="0.25">
      <c r="B200" s="50">
        <v>45925</v>
      </c>
      <c r="C200" s="53" t="s">
        <v>256</v>
      </c>
      <c r="D200" s="53" t="s">
        <v>123</v>
      </c>
      <c r="E200" s="70">
        <v>50000</v>
      </c>
      <c r="F200" s="71"/>
      <c r="G200" s="73">
        <f>movimientos54881114[[#This Row],[MONTO]]-movimientos54881114[[#This Row],[SALIDAS]]</f>
        <v>50000</v>
      </c>
    </row>
    <row r="201" spans="2:7" x14ac:dyDescent="0.25">
      <c r="B201" s="50">
        <v>45926</v>
      </c>
      <c r="C201" s="53" t="s">
        <v>257</v>
      </c>
      <c r="D201" s="53" t="s">
        <v>114</v>
      </c>
      <c r="E201" s="70">
        <v>50000</v>
      </c>
      <c r="F201" s="71"/>
      <c r="G201" s="73">
        <f>movimientos54881114[[#This Row],[MONTO]]-movimientos54881114[[#This Row],[SALIDAS]]</f>
        <v>50000</v>
      </c>
    </row>
    <row r="202" spans="2:7" x14ac:dyDescent="0.25">
      <c r="B202" s="50">
        <v>45930</v>
      </c>
      <c r="C202" s="53" t="s">
        <v>258</v>
      </c>
      <c r="D202" s="53" t="s">
        <v>119</v>
      </c>
      <c r="E202" s="70">
        <v>24000</v>
      </c>
      <c r="F202" s="71"/>
      <c r="G202" s="73">
        <f>movimientos54881114[[#This Row],[MONTO]]-movimientos54881114[[#This Row],[SALIDAS]]</f>
        <v>24000</v>
      </c>
    </row>
    <row r="203" spans="2:7" x14ac:dyDescent="0.25">
      <c r="B203" s="50">
        <v>45930</v>
      </c>
      <c r="C203" s="53" t="s">
        <v>259</v>
      </c>
      <c r="D203" s="53" t="s">
        <v>118</v>
      </c>
      <c r="E203" s="70">
        <v>81000</v>
      </c>
      <c r="F203" s="71"/>
      <c r="G203" s="73">
        <f>movimientos54881114[[#This Row],[MONTO]]-movimientos54881114[[#This Row],[SALIDAS]]</f>
        <v>81000</v>
      </c>
    </row>
    <row r="204" spans="2:7" x14ac:dyDescent="0.25">
      <c r="B204" s="50">
        <v>45930</v>
      </c>
      <c r="C204" s="53" t="s">
        <v>236</v>
      </c>
      <c r="D204" s="53" t="s">
        <v>118</v>
      </c>
      <c r="E204" s="70">
        <v>11000</v>
      </c>
      <c r="F204" s="71"/>
      <c r="G204" s="73">
        <f>movimientos54881114[[#This Row],[MONTO]]-movimientos54881114[[#This Row],[SALIDAS]]</f>
        <v>11000</v>
      </c>
    </row>
    <row r="205" spans="2:7" x14ac:dyDescent="0.25">
      <c r="B205" s="50">
        <v>45930</v>
      </c>
      <c r="C205" s="51" t="s">
        <v>179</v>
      </c>
      <c r="D205" s="51" t="s">
        <v>118</v>
      </c>
      <c r="E205" s="66">
        <v>340000</v>
      </c>
      <c r="F205" s="72"/>
      <c r="G205" s="67">
        <f>movimientos54881114[[#This Row],[MONTO]]-movimientos54881114[[#This Row],[SALIDAS]]</f>
        <v>340000</v>
      </c>
    </row>
    <row r="206" spans="2:7" x14ac:dyDescent="0.25">
      <c r="B206" s="50">
        <v>45930</v>
      </c>
      <c r="C206" s="51" t="s">
        <v>260</v>
      </c>
      <c r="D206" s="51" t="s">
        <v>118</v>
      </c>
      <c r="E206" s="66">
        <v>42000</v>
      </c>
      <c r="F206" s="72"/>
      <c r="G206" s="67">
        <f>movimientos54881114[[#This Row],[MONTO]]-movimientos54881114[[#This Row],[SALIDAS]]</f>
        <v>42000</v>
      </c>
    </row>
    <row r="207" spans="2:7" x14ac:dyDescent="0.25">
      <c r="B207" s="50">
        <v>45930</v>
      </c>
      <c r="C207" s="51" t="s">
        <v>225</v>
      </c>
      <c r="D207" s="51" t="s">
        <v>114</v>
      </c>
      <c r="E207" s="66">
        <v>10500</v>
      </c>
      <c r="F207" s="72"/>
      <c r="G207" s="67">
        <f>movimientos54881114[[#This Row],[MONTO]]-movimientos54881114[[#This Row],[SALIDAS]]</f>
        <v>10500</v>
      </c>
    </row>
    <row r="208" spans="2:7" x14ac:dyDescent="0.25">
      <c r="B208" s="50">
        <v>45930</v>
      </c>
      <c r="C208" s="51" t="s">
        <v>226</v>
      </c>
      <c r="D208" s="51" t="s">
        <v>119</v>
      </c>
      <c r="E208" s="66">
        <v>21000</v>
      </c>
      <c r="F208" s="72"/>
      <c r="G208" s="67">
        <f>movimientos54881114[[#This Row],[MONTO]]-movimientos54881114[[#This Row],[SALIDAS]]</f>
        <v>21000</v>
      </c>
    </row>
    <row r="209" spans="2:7" x14ac:dyDescent="0.25">
      <c r="B209" s="50">
        <v>45930</v>
      </c>
      <c r="C209" s="51" t="s">
        <v>224</v>
      </c>
      <c r="D209" s="51" t="s">
        <v>116</v>
      </c>
      <c r="E209" s="66">
        <v>21000</v>
      </c>
      <c r="F209" s="72"/>
      <c r="G209" s="67">
        <f>movimientos54881114[[#This Row],[MONTO]]-movimientos54881114[[#This Row],[SALIDAS]]</f>
        <v>21000</v>
      </c>
    </row>
    <row r="210" spans="2:7" x14ac:dyDescent="0.25">
      <c r="B210" s="50">
        <v>45930</v>
      </c>
      <c r="C210" s="51" t="s">
        <v>261</v>
      </c>
      <c r="D210" s="51" t="s">
        <v>121</v>
      </c>
      <c r="E210" s="66">
        <v>3500</v>
      </c>
      <c r="F210" s="72"/>
      <c r="G210" s="67">
        <f>movimientos54881114[[#This Row],[MONTO]]-movimientos54881114[[#This Row],[SALIDAS]]</f>
        <v>3500</v>
      </c>
    </row>
    <row r="211" spans="2:7" x14ac:dyDescent="0.25">
      <c r="B211" s="50">
        <v>45930</v>
      </c>
      <c r="C211" s="53" t="s">
        <v>262</v>
      </c>
      <c r="D211" s="53" t="s">
        <v>123</v>
      </c>
      <c r="E211" s="70">
        <v>8000</v>
      </c>
      <c r="F211" s="71"/>
      <c r="G211" s="73">
        <f>movimientos54881114[[#This Row],[MONTO]]-movimientos54881114[[#This Row],[SALIDAS]]</f>
        <v>8000</v>
      </c>
    </row>
    <row r="212" spans="2:7" x14ac:dyDescent="0.25">
      <c r="B212" s="50">
        <v>45930</v>
      </c>
      <c r="C212" s="53" t="s">
        <v>129</v>
      </c>
      <c r="D212" s="53" t="s">
        <v>114</v>
      </c>
      <c r="E212" s="70">
        <v>150000</v>
      </c>
      <c r="F212" s="71"/>
      <c r="G212" s="73">
        <f>movimientos54881114[[#This Row],[MONTO]]-movimientos54881114[[#This Row],[SALIDAS]]</f>
        <v>150000</v>
      </c>
    </row>
    <row r="213" spans="2:7" x14ac:dyDescent="0.25">
      <c r="B213" s="50">
        <v>45927</v>
      </c>
      <c r="C213" s="53" t="s">
        <v>129</v>
      </c>
      <c r="D213" s="53" t="s">
        <v>114</v>
      </c>
      <c r="E213" s="70">
        <v>50000</v>
      </c>
      <c r="F213" s="71"/>
      <c r="G213" s="73">
        <f>movimientos54881114[[#This Row],[MONTO]]-movimientos54881114[[#This Row],[SALIDAS]]</f>
        <v>50000</v>
      </c>
    </row>
    <row r="214" spans="2:7" x14ac:dyDescent="0.25">
      <c r="B214" s="50">
        <v>45930</v>
      </c>
      <c r="C214" s="53" t="s">
        <v>263</v>
      </c>
      <c r="D214" s="53" t="s">
        <v>119</v>
      </c>
      <c r="E214" s="70">
        <v>11000</v>
      </c>
      <c r="F214" s="71"/>
      <c r="G214" s="73">
        <f>movimientos54881114[[#This Row],[MONTO]]-movimientos54881114[[#This Row],[SALIDAS]]</f>
        <v>11000</v>
      </c>
    </row>
    <row r="215" spans="2:7" x14ac:dyDescent="0.25">
      <c r="B215" s="50">
        <v>45930</v>
      </c>
      <c r="C215" s="53" t="s">
        <v>264</v>
      </c>
      <c r="D215" s="53" t="s">
        <v>123</v>
      </c>
      <c r="E215" s="70">
        <v>25000</v>
      </c>
      <c r="F215" s="71"/>
      <c r="G215" s="73">
        <f>movimientos54881114[[#This Row],[MONTO]]-movimientos54881114[[#This Row],[SALIDAS]]</f>
        <v>25000</v>
      </c>
    </row>
    <row r="216" spans="2:7" x14ac:dyDescent="0.25">
      <c r="B216" s="50">
        <v>45930</v>
      </c>
      <c r="C216" s="53" t="s">
        <v>138</v>
      </c>
      <c r="D216" s="53" t="s">
        <v>123</v>
      </c>
      <c r="E216" s="70">
        <v>22000</v>
      </c>
      <c r="F216" s="71"/>
      <c r="G216" s="73">
        <f>movimientos54881114[[#This Row],[MONTO]]-movimientos54881114[[#This Row],[SALIDAS]]</f>
        <v>22000</v>
      </c>
    </row>
    <row r="217" spans="2:7" x14ac:dyDescent="0.25">
      <c r="B217" s="50">
        <v>45930</v>
      </c>
      <c r="C217" s="53" t="s">
        <v>265</v>
      </c>
      <c r="D217" s="53" t="s">
        <v>116</v>
      </c>
      <c r="E217" s="70">
        <v>88000</v>
      </c>
      <c r="F217" s="71"/>
      <c r="G217" s="73">
        <f>movimientos54881114[[#This Row],[MONTO]]-movimientos54881114[[#This Row],[SALIDAS]]</f>
        <v>88000</v>
      </c>
    </row>
    <row r="218" spans="2:7" x14ac:dyDescent="0.25">
      <c r="B218" s="50">
        <v>45930</v>
      </c>
      <c r="C218" s="53" t="s">
        <v>266</v>
      </c>
      <c r="D218" s="53" t="s">
        <v>181</v>
      </c>
      <c r="E218" s="70">
        <v>30000</v>
      </c>
      <c r="F218" s="71"/>
      <c r="G218" s="73">
        <f>movimientos54881114[[#This Row],[MONTO]]-movimientos54881114[[#This Row],[SALIDAS]]</f>
        <v>30000</v>
      </c>
    </row>
    <row r="219" spans="2:7" x14ac:dyDescent="0.25">
      <c r="B219" s="50">
        <v>45930</v>
      </c>
      <c r="C219" s="53" t="s">
        <v>267</v>
      </c>
      <c r="D219" s="53" t="s">
        <v>181</v>
      </c>
      <c r="E219" s="70">
        <v>30000</v>
      </c>
      <c r="F219" s="71"/>
      <c r="G219" s="73">
        <f>movimientos54881114[[#This Row],[MONTO]]-movimientos54881114[[#This Row],[SALIDAS]]</f>
        <v>30000</v>
      </c>
    </row>
    <row r="220" spans="2:7" x14ac:dyDescent="0.25">
      <c r="B220" s="50">
        <v>45930</v>
      </c>
      <c r="C220" s="53" t="s">
        <v>268</v>
      </c>
      <c r="D220" s="53" t="s">
        <v>181</v>
      </c>
      <c r="E220" s="70">
        <v>1500</v>
      </c>
      <c r="F220" s="71"/>
      <c r="G220" s="73">
        <f>movimientos54881114[[#This Row],[MONTO]]-movimientos54881114[[#This Row],[SALIDAS]]</f>
        <v>1500</v>
      </c>
    </row>
    <row r="221" spans="2:7" x14ac:dyDescent="0.25">
      <c r="B221" s="92">
        <v>45930</v>
      </c>
      <c r="C221" s="53" t="s">
        <v>269</v>
      </c>
      <c r="D221" s="53" t="s">
        <v>114</v>
      </c>
      <c r="E221" s="70">
        <v>6000</v>
      </c>
      <c r="F221" s="71"/>
      <c r="G221" s="73">
        <f>movimientos54881114[[#This Row],[MONTO]]-movimientos54881114[[#This Row],[SALIDAS]]</f>
        <v>6000</v>
      </c>
    </row>
    <row r="222" spans="2:7" x14ac:dyDescent="0.25">
      <c r="B222" s="92">
        <v>45930</v>
      </c>
      <c r="C222" s="53" t="s">
        <v>273</v>
      </c>
      <c r="D222" s="53" t="s">
        <v>119</v>
      </c>
      <c r="E222" s="70">
        <v>239000</v>
      </c>
      <c r="F222" s="71"/>
      <c r="G222" s="73">
        <f>movimientos54881114[[#This Row],[MONTO]]-movimientos54881114[[#This Row],[SALIDAS]]</f>
        <v>239000</v>
      </c>
    </row>
    <row r="223" spans="2:7" x14ac:dyDescent="0.25">
      <c r="B223" s="92">
        <v>45930</v>
      </c>
      <c r="C223" s="53" t="s">
        <v>63</v>
      </c>
      <c r="D223" s="53" t="s">
        <v>119</v>
      </c>
      <c r="E223" s="70">
        <v>15000</v>
      </c>
      <c r="F223" s="71"/>
      <c r="G223" s="73">
        <f>movimientos54881114[[#This Row],[MONTO]]-movimientos54881114[[#This Row],[SALIDAS]]</f>
        <v>15000</v>
      </c>
    </row>
    <row r="224" spans="2:7" x14ac:dyDescent="0.25">
      <c r="B224" s="92">
        <v>45930</v>
      </c>
      <c r="C224" s="53" t="s">
        <v>274</v>
      </c>
      <c r="D224" s="53" t="s">
        <v>116</v>
      </c>
      <c r="E224" s="70">
        <v>38000</v>
      </c>
      <c r="F224" s="71"/>
      <c r="G224" s="73">
        <f>movimientos54881114[[#This Row],[MONTO]]-movimientos54881114[[#This Row],[SALIDAS]]</f>
        <v>38000</v>
      </c>
    </row>
    <row r="225" spans="1:18" x14ac:dyDescent="0.25">
      <c r="B225" s="50"/>
    </row>
    <row r="226" spans="1:18" x14ac:dyDescent="0.25">
      <c r="B226" s="50"/>
    </row>
    <row r="227" spans="1:18" ht="31.5" x14ac:dyDescent="0.5">
      <c r="A227" s="181" t="s">
        <v>270</v>
      </c>
      <c r="B227" s="181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</row>
    <row r="229" spans="1:18" x14ac:dyDescent="0.25">
      <c r="G229" t="s">
        <v>279</v>
      </c>
    </row>
    <row r="231" spans="1:18" x14ac:dyDescent="0.25">
      <c r="J231" s="46" t="s">
        <v>109</v>
      </c>
    </row>
    <row r="232" spans="1:18" x14ac:dyDescent="0.25">
      <c r="B232" s="46"/>
      <c r="J232" s="47" t="s">
        <v>110</v>
      </c>
      <c r="K232" s="47" t="s">
        <v>111</v>
      </c>
    </row>
    <row r="233" spans="1:18" x14ac:dyDescent="0.25">
      <c r="B233" s="47" t="s">
        <v>4</v>
      </c>
      <c r="C233" s="47" t="s">
        <v>112</v>
      </c>
      <c r="D233" s="47" t="s">
        <v>110</v>
      </c>
      <c r="E233" s="47" t="s">
        <v>8</v>
      </c>
      <c r="F233" s="47" t="s">
        <v>113</v>
      </c>
      <c r="G233" s="48" t="s">
        <v>111</v>
      </c>
      <c r="J233" s="49" t="s">
        <v>116</v>
      </c>
      <c r="K233" s="68">
        <f>SUMIF(movimientos548811143[COLABORADOR],resumen_caja558912132[[#This Row],[COLABORADOR]],movimientos548811143[MONTO])-SUMIF(movimientos548811143[COLABORADOR],resumen_caja558912132[[#This Row],[COLABORADOR]],movimientos548811143[SALIDAS])</f>
        <v>609150</v>
      </c>
    </row>
    <row r="234" spans="1:18" x14ac:dyDescent="0.25">
      <c r="B234" s="50">
        <v>45931</v>
      </c>
      <c r="C234" s="53" t="s">
        <v>217</v>
      </c>
      <c r="D234" s="53" t="s">
        <v>116</v>
      </c>
      <c r="E234" s="70">
        <v>100000</v>
      </c>
      <c r="F234" s="69"/>
      <c r="G234" s="67">
        <f>movimientos548811143[[#This Row],[MONTO]]-movimientos548811143[[#This Row],[SALIDAS]]</f>
        <v>100000</v>
      </c>
      <c r="J234" s="51" t="s">
        <v>123</v>
      </c>
      <c r="K234" s="75">
        <f>SUMIF(movimientos548811143[COLABORADOR],resumen_caja558912132[[#This Row],[COLABORADOR]],movimientos548811143[MONTO])-SUMIF(movimientos548811143[COLABORADOR],resumen_caja558912132[[#This Row],[COLABORADOR]],movimientos548811143[SALIDAS])</f>
        <v>546000</v>
      </c>
    </row>
    <row r="235" spans="1:18" x14ac:dyDescent="0.25">
      <c r="B235" s="50">
        <v>45939</v>
      </c>
      <c r="C235" s="53" t="s">
        <v>287</v>
      </c>
      <c r="D235" s="53" t="s">
        <v>116</v>
      </c>
      <c r="E235" s="70">
        <v>4150</v>
      </c>
      <c r="F235" s="71"/>
      <c r="G235" s="67">
        <f>movimientos548811143[[#This Row],[MONTO]]-movimientos548811143[[#This Row],[SALIDAS]]</f>
        <v>4150</v>
      </c>
      <c r="J235" s="49" t="s">
        <v>181</v>
      </c>
      <c r="K235" s="68">
        <f>SUMIF(movimientos548811143[COLABORADOR],resumen_caja558912132[[#This Row],[COLABORADOR]],movimientos548811143[MONTO])-SUMIF(movimientos548811143[COLABORADOR],resumen_caja558912132[[#This Row],[COLABORADOR]],movimientos548811143[SALIDAS])</f>
        <v>228000</v>
      </c>
    </row>
    <row r="236" spans="1:18" x14ac:dyDescent="0.25">
      <c r="B236" s="50">
        <v>45945</v>
      </c>
      <c r="C236" s="53" t="s">
        <v>292</v>
      </c>
      <c r="D236" s="53" t="s">
        <v>116</v>
      </c>
      <c r="E236" s="70">
        <v>5000</v>
      </c>
      <c r="F236" s="71"/>
      <c r="G236" s="67">
        <f>movimientos548811143[[#This Row],[MONTO]]-movimientos548811143[[#This Row],[SALIDAS]]</f>
        <v>5000</v>
      </c>
      <c r="J236" s="49" t="s">
        <v>121</v>
      </c>
      <c r="K236" s="68">
        <f>SUMIF(movimientos548811143[COLABORADOR],resumen_caja558912132[[#This Row],[COLABORADOR]],movimientos548811143[MONTO])-SUMIF(movimientos548811143[COLABORADOR],resumen_caja558912132[[#This Row],[COLABORADOR]],movimientos548811143[SALIDAS])</f>
        <v>88000</v>
      </c>
      <c r="N236" s="180"/>
      <c r="O236" s="180"/>
    </row>
    <row r="237" spans="1:18" x14ac:dyDescent="0.25">
      <c r="B237" s="50">
        <v>45950</v>
      </c>
      <c r="C237" s="51" t="s">
        <v>298</v>
      </c>
      <c r="D237" s="53" t="s">
        <v>116</v>
      </c>
      <c r="E237" s="66">
        <v>180000</v>
      </c>
      <c r="F237" s="72"/>
      <c r="G237" s="67">
        <f>movimientos548811143[[#This Row],[MONTO]]-movimientos548811143[[#This Row],[SALIDAS]]</f>
        <v>180000</v>
      </c>
      <c r="J237" s="49" t="s">
        <v>114</v>
      </c>
      <c r="K237" s="68">
        <f>SUMIF(movimientos548811143[COLABORADOR],resumen_caja558912132[[#This Row],[COLABORADOR]],movimientos548811143[MONTO])-SUMIF(movimientos548811143[COLABORADOR],resumen_caja558912132[[#This Row],[COLABORADOR]],movimientos548811143[SALIDAS])</f>
        <v>273976</v>
      </c>
      <c r="N237" s="180"/>
      <c r="O237" s="180"/>
    </row>
    <row r="238" spans="1:18" x14ac:dyDescent="0.25">
      <c r="B238" s="50">
        <v>45959</v>
      </c>
      <c r="C238" s="51" t="s">
        <v>307</v>
      </c>
      <c r="D238" s="53" t="s">
        <v>116</v>
      </c>
      <c r="E238" s="66">
        <v>300000</v>
      </c>
      <c r="F238" s="72"/>
      <c r="G238" s="67">
        <f>movimientos548811143[[#This Row],[MONTO]]-movimientos548811143[[#This Row],[SALIDAS]]</f>
        <v>300000</v>
      </c>
      <c r="J238" s="49" t="s">
        <v>119</v>
      </c>
      <c r="K238" s="68">
        <f>SUMIF(movimientos548811143[COLABORADOR],resumen_caja558912132[[#This Row],[COLABORADOR]],movimientos548811143[MONTO])-SUMIF(movimientos548811143[COLABORADOR],resumen_caja558912132[[#This Row],[COLABORADOR]],movimientos548811143[SALIDAS])</f>
        <v>668000</v>
      </c>
    </row>
    <row r="239" spans="1:18" x14ac:dyDescent="0.25">
      <c r="B239" s="93">
        <v>45960</v>
      </c>
      <c r="C239" s="51" t="s">
        <v>27</v>
      </c>
      <c r="D239" s="53" t="s">
        <v>116</v>
      </c>
      <c r="E239" s="66">
        <v>20000</v>
      </c>
      <c r="F239" s="72"/>
      <c r="G239" s="67">
        <f>movimientos548811143[[#This Row],[MONTO]]-movimientos548811143[[#This Row],[SALIDAS]]</f>
        <v>20000</v>
      </c>
      <c r="J239" s="49" t="s">
        <v>118</v>
      </c>
      <c r="K239" s="68">
        <f>SUMIF(movimientos548811143[COLABORADOR],resumen_caja558912132[[#This Row],[COLABORADOR]],movimientos548811143[MONTO])-SUMIF(movimientos548811143[COLABORADOR],resumen_caja558912132[[#This Row],[COLABORADOR]],movimientos548811143[SALIDAS])</f>
        <v>571000</v>
      </c>
    </row>
    <row r="240" spans="1:18" x14ac:dyDescent="0.25">
      <c r="B240" s="50">
        <v>45931</v>
      </c>
      <c r="C240" s="51" t="s">
        <v>278</v>
      </c>
      <c r="D240" s="53" t="s">
        <v>123</v>
      </c>
      <c r="E240" s="66">
        <v>370000</v>
      </c>
      <c r="F240" s="72"/>
      <c r="G240" s="67">
        <f>movimientos548811143[[#This Row],[MONTO]]-movimientos548811143[[#This Row],[SALIDAS]]</f>
        <v>370000</v>
      </c>
      <c r="J240" s="49" t="s">
        <v>126</v>
      </c>
      <c r="K240" s="68">
        <f>SUMIF(movimientos548811143[COLABORADOR],resumen_caja558912132[[#This Row],[COLABORADOR]],movimientos548811143[MONTO])-SUMIF(movimientos548811143[COLABORADOR],resumen_caja558912132[[#This Row],[COLABORADOR]],movimientos548811143[SALIDAS])</f>
        <v>95000</v>
      </c>
    </row>
    <row r="241" spans="2:11" x14ac:dyDescent="0.25">
      <c r="B241" s="50">
        <v>45938</v>
      </c>
      <c r="C241" s="51" t="s">
        <v>214</v>
      </c>
      <c r="D241" s="53" t="s">
        <v>123</v>
      </c>
      <c r="E241" s="66">
        <v>35000</v>
      </c>
      <c r="F241" s="72"/>
      <c r="G241" s="67">
        <f>movimientos548811143[[#This Row],[MONTO]]-movimientos548811143[[#This Row],[SALIDAS]]</f>
        <v>35000</v>
      </c>
      <c r="J241" s="90" t="s">
        <v>253</v>
      </c>
      <c r="K241" s="91">
        <f>SUMIF(movimientos548811143[COLABORADOR],resumen_caja558912132[[#This Row],[COLABORADOR]],movimientos548811143[MONTO])-SUMIF(movimientos548811143[COLABORADOR],resumen_caja558912132[[#This Row],[COLABORADOR]],movimientos548811143[SALIDAS])</f>
        <v>0</v>
      </c>
    </row>
    <row r="242" spans="2:11" x14ac:dyDescent="0.25">
      <c r="B242" s="50">
        <v>45939</v>
      </c>
      <c r="C242" s="51" t="s">
        <v>285</v>
      </c>
      <c r="D242" s="53" t="s">
        <v>123</v>
      </c>
      <c r="E242" s="66">
        <v>13000</v>
      </c>
      <c r="F242" s="72"/>
      <c r="G242" s="67">
        <f>movimientos548811143[[#This Row],[MONTO]]-movimientos548811143[[#This Row],[SALIDAS]]</f>
        <v>13000</v>
      </c>
      <c r="J242" s="90" t="s">
        <v>247</v>
      </c>
      <c r="K242" s="91">
        <f>SUMIF(movimientos548811143[COLABORADOR],resumen_caja558912132[[#This Row],[COLABORADOR]],movimientos548811143[MONTO])-SUMIF(movimientos548811143[COLABORADOR],resumen_caja558912132[[#This Row],[COLABORADOR]],movimientos548811143[SALIDAS])</f>
        <v>9032547</v>
      </c>
    </row>
    <row r="243" spans="2:11" x14ac:dyDescent="0.25">
      <c r="B243" s="50">
        <v>45958</v>
      </c>
      <c r="C243" s="51" t="s">
        <v>308</v>
      </c>
      <c r="D243" s="53" t="s">
        <v>123</v>
      </c>
      <c r="E243" s="66">
        <v>50000</v>
      </c>
      <c r="F243" s="72"/>
      <c r="G243" s="67">
        <f>movimientos548811143[[#This Row],[MONTO]]-movimientos548811143[[#This Row],[SALIDAS]]</f>
        <v>50000</v>
      </c>
    </row>
    <row r="244" spans="2:11" x14ac:dyDescent="0.25">
      <c r="B244" s="93">
        <v>45960</v>
      </c>
      <c r="C244" s="51" t="s">
        <v>27</v>
      </c>
      <c r="D244" s="53" t="s">
        <v>123</v>
      </c>
      <c r="E244" s="66">
        <v>9000</v>
      </c>
      <c r="F244" s="72"/>
      <c r="G244" s="67">
        <f>movimientos548811143[[#This Row],[MONTO]]-movimientos548811143[[#This Row],[SALIDAS]]</f>
        <v>9000</v>
      </c>
    </row>
    <row r="245" spans="2:11" x14ac:dyDescent="0.25">
      <c r="B245" s="50">
        <v>45930</v>
      </c>
      <c r="C245" s="51" t="s">
        <v>264</v>
      </c>
      <c r="D245" s="53" t="s">
        <v>123</v>
      </c>
      <c r="E245" s="66">
        <v>25000</v>
      </c>
      <c r="F245" s="72"/>
      <c r="G245" s="67">
        <f>movimientos548811143[[#This Row],[MONTO]]-movimientos548811143[[#This Row],[SALIDAS]]</f>
        <v>25000</v>
      </c>
    </row>
    <row r="246" spans="2:11" x14ac:dyDescent="0.25">
      <c r="B246" s="50">
        <v>45930</v>
      </c>
      <c r="C246" s="51" t="s">
        <v>138</v>
      </c>
      <c r="D246" s="53" t="s">
        <v>123</v>
      </c>
      <c r="E246" s="66">
        <v>22000</v>
      </c>
      <c r="F246" s="72"/>
      <c r="G246" s="67">
        <f>movimientos548811143[[#This Row],[MONTO]]-movimientos548811143[[#This Row],[SALIDAS]]</f>
        <v>22000</v>
      </c>
    </row>
    <row r="247" spans="2:11" x14ac:dyDescent="0.25">
      <c r="B247" s="50">
        <v>45931</v>
      </c>
      <c r="C247" s="51" t="s">
        <v>68</v>
      </c>
      <c r="D247" s="53" t="s">
        <v>121</v>
      </c>
      <c r="E247" s="66">
        <v>24000</v>
      </c>
      <c r="F247" s="72"/>
      <c r="G247" s="67">
        <f>movimientos548811143[[#This Row],[MONTO]]-movimientos548811143[[#This Row],[SALIDAS]]</f>
        <v>24000</v>
      </c>
    </row>
    <row r="248" spans="2:11" x14ac:dyDescent="0.25">
      <c r="B248" s="50">
        <v>45931</v>
      </c>
      <c r="C248" s="51" t="s">
        <v>281</v>
      </c>
      <c r="D248" s="53" t="s">
        <v>121</v>
      </c>
      <c r="E248" s="66">
        <v>60000</v>
      </c>
      <c r="F248" s="72"/>
      <c r="G248" s="67">
        <f>movimientos548811143[[#This Row],[MONTO]]-movimientos548811143[[#This Row],[SALIDAS]]</f>
        <v>60000</v>
      </c>
    </row>
    <row r="249" spans="2:11" x14ac:dyDescent="0.25">
      <c r="B249" s="50">
        <v>45931</v>
      </c>
      <c r="C249" s="51" t="s">
        <v>65</v>
      </c>
      <c r="D249" s="53" t="s">
        <v>121</v>
      </c>
      <c r="E249" s="66"/>
      <c r="F249" s="72"/>
      <c r="G249" s="67">
        <f>movimientos548811143[[#This Row],[MONTO]]-movimientos548811143[[#This Row],[SALIDAS]]</f>
        <v>0</v>
      </c>
    </row>
    <row r="250" spans="2:11" x14ac:dyDescent="0.25">
      <c r="B250" s="93">
        <v>45960</v>
      </c>
      <c r="C250" s="51" t="s">
        <v>27</v>
      </c>
      <c r="D250" s="53" t="s">
        <v>121</v>
      </c>
      <c r="E250" s="66">
        <v>4000</v>
      </c>
      <c r="F250" s="72"/>
      <c r="G250" s="67">
        <f>movimientos548811143[[#This Row],[MONTO]]-movimientos548811143[[#This Row],[SALIDAS]]</f>
        <v>4000</v>
      </c>
    </row>
    <row r="251" spans="2:11" x14ac:dyDescent="0.25">
      <c r="B251" s="50">
        <v>45931</v>
      </c>
      <c r="C251" s="53" t="s">
        <v>277</v>
      </c>
      <c r="D251" s="53" t="s">
        <v>114</v>
      </c>
      <c r="E251" s="70">
        <v>100000</v>
      </c>
      <c r="F251" s="71"/>
      <c r="G251" s="73">
        <f>movimientos548811143[[#This Row],[MONTO]]-movimientos548811143[[#This Row],[SALIDAS]]</f>
        <v>100000</v>
      </c>
    </row>
    <row r="252" spans="2:11" x14ac:dyDescent="0.25">
      <c r="B252" s="50">
        <v>45939</v>
      </c>
      <c r="C252" s="53" t="s">
        <v>50</v>
      </c>
      <c r="D252" s="53" t="s">
        <v>114</v>
      </c>
      <c r="E252" s="70">
        <v>16976</v>
      </c>
      <c r="F252" s="71"/>
      <c r="G252" s="73">
        <f>movimientos548811143[[#This Row],[MONTO]]-movimientos548811143[[#This Row],[SALIDAS]]</f>
        <v>16976</v>
      </c>
    </row>
    <row r="253" spans="2:11" x14ac:dyDescent="0.25">
      <c r="B253" s="50">
        <v>45939</v>
      </c>
      <c r="C253" s="53" t="s">
        <v>284</v>
      </c>
      <c r="D253" s="53" t="s">
        <v>114</v>
      </c>
      <c r="E253" s="70">
        <v>20000</v>
      </c>
      <c r="F253" s="71"/>
      <c r="G253" s="73">
        <f>movimientos548811143[[#This Row],[MONTO]]-movimientos548811143[[#This Row],[SALIDAS]]</f>
        <v>20000</v>
      </c>
    </row>
    <row r="254" spans="2:11" x14ac:dyDescent="0.25">
      <c r="B254" s="50">
        <v>45948</v>
      </c>
      <c r="C254" s="53" t="s">
        <v>297</v>
      </c>
      <c r="D254" s="53" t="s">
        <v>114</v>
      </c>
      <c r="E254" s="70">
        <v>10000</v>
      </c>
      <c r="F254" s="71"/>
      <c r="G254" s="73">
        <f>movimientos548811143[[#This Row],[MONTO]]-movimientos548811143[[#This Row],[SALIDAS]]</f>
        <v>10000</v>
      </c>
    </row>
    <row r="255" spans="2:11" x14ac:dyDescent="0.25">
      <c r="B255" s="50">
        <v>45950</v>
      </c>
      <c r="C255" s="53" t="s">
        <v>299</v>
      </c>
      <c r="D255" s="53" t="s">
        <v>114</v>
      </c>
      <c r="E255" s="70">
        <v>100000</v>
      </c>
      <c r="F255" s="71"/>
      <c r="G255" s="73">
        <f>movimientos548811143[[#This Row],[MONTO]]-movimientos548811143[[#This Row],[SALIDAS]]</f>
        <v>100000</v>
      </c>
    </row>
    <row r="256" spans="2:11" x14ac:dyDescent="0.25">
      <c r="B256" s="50">
        <v>45958</v>
      </c>
      <c r="C256" s="53" t="s">
        <v>306</v>
      </c>
      <c r="D256" s="53" t="s">
        <v>114</v>
      </c>
      <c r="E256" s="70">
        <v>20000</v>
      </c>
      <c r="F256" s="71"/>
      <c r="G256" s="73">
        <f>movimientos548811143[[#This Row],[MONTO]]-movimientos548811143[[#This Row],[SALIDAS]]</f>
        <v>20000</v>
      </c>
    </row>
    <row r="257" spans="2:7" x14ac:dyDescent="0.25">
      <c r="B257" s="93">
        <v>45960</v>
      </c>
      <c r="C257" s="53" t="s">
        <v>27</v>
      </c>
      <c r="D257" s="53" t="s">
        <v>114</v>
      </c>
      <c r="E257" s="70">
        <v>7000</v>
      </c>
      <c r="F257" s="71"/>
      <c r="G257" s="73">
        <f>movimientos548811143[[#This Row],[MONTO]]-movimientos548811143[[#This Row],[SALIDAS]]</f>
        <v>7000</v>
      </c>
    </row>
    <row r="258" spans="2:7" x14ac:dyDescent="0.25">
      <c r="B258" s="50">
        <v>45941</v>
      </c>
      <c r="C258" s="51" t="s">
        <v>309</v>
      </c>
      <c r="D258" s="51" t="s">
        <v>119</v>
      </c>
      <c r="E258" s="66">
        <v>100000</v>
      </c>
      <c r="F258" s="72"/>
      <c r="G258" s="67">
        <f>movimientos548811143[[#This Row],[MONTO]]-movimientos548811143[[#This Row],[SALIDAS]]</f>
        <v>100000</v>
      </c>
    </row>
    <row r="259" spans="2:7" x14ac:dyDescent="0.25">
      <c r="B259" s="50">
        <v>45943</v>
      </c>
      <c r="C259" s="51" t="s">
        <v>310</v>
      </c>
      <c r="D259" s="51" t="s">
        <v>119</v>
      </c>
      <c r="E259" s="66">
        <v>20000</v>
      </c>
      <c r="F259" s="72"/>
      <c r="G259" s="67">
        <f>movimientos548811143[[#This Row],[MONTO]]-movimientos548811143[[#This Row],[SALIDAS]]</f>
        <v>20000</v>
      </c>
    </row>
    <row r="260" spans="2:7" x14ac:dyDescent="0.25">
      <c r="B260" s="50">
        <v>45945</v>
      </c>
      <c r="C260" s="51" t="s">
        <v>290</v>
      </c>
      <c r="D260" s="51" t="s">
        <v>119</v>
      </c>
      <c r="E260" s="66">
        <v>47000</v>
      </c>
      <c r="F260" s="72"/>
      <c r="G260" s="67">
        <f>movimientos548811143[[#This Row],[MONTO]]-movimientos548811143[[#This Row],[SALIDAS]]</f>
        <v>47000</v>
      </c>
    </row>
    <row r="261" spans="2:7" x14ac:dyDescent="0.25">
      <c r="B261" s="50">
        <v>45945</v>
      </c>
      <c r="C261" s="51" t="s">
        <v>293</v>
      </c>
      <c r="D261" s="51" t="s">
        <v>119</v>
      </c>
      <c r="E261" s="66">
        <v>300000</v>
      </c>
      <c r="F261" s="72"/>
      <c r="G261" s="67">
        <f>movimientos548811143[[#This Row],[MONTO]]-movimientos548811143[[#This Row],[SALIDAS]]</f>
        <v>300000</v>
      </c>
    </row>
    <row r="262" spans="2:7" x14ac:dyDescent="0.25">
      <c r="B262" s="50">
        <v>45953</v>
      </c>
      <c r="C262" s="51" t="s">
        <v>301</v>
      </c>
      <c r="D262" s="51" t="s">
        <v>119</v>
      </c>
      <c r="E262" s="66">
        <v>180000</v>
      </c>
      <c r="F262" s="72"/>
      <c r="G262" s="67">
        <f>movimientos548811143[[#This Row],[MONTO]]-movimientos548811143[[#This Row],[SALIDAS]]</f>
        <v>180000</v>
      </c>
    </row>
    <row r="263" spans="2:7" x14ac:dyDescent="0.25">
      <c r="B263" s="93">
        <v>45960</v>
      </c>
      <c r="C263" s="53" t="s">
        <v>27</v>
      </c>
      <c r="D263" s="53" t="s">
        <v>119</v>
      </c>
      <c r="E263" s="70">
        <v>21000</v>
      </c>
      <c r="F263" s="71"/>
      <c r="G263" s="73">
        <f>movimientos548811143[[#This Row],[MONTO]]-movimientos548811143[[#This Row],[SALIDAS]]</f>
        <v>21000</v>
      </c>
    </row>
    <row r="264" spans="2:7" x14ac:dyDescent="0.25">
      <c r="B264" s="50">
        <v>45938</v>
      </c>
      <c r="C264" s="53" t="s">
        <v>303</v>
      </c>
      <c r="D264" s="53" t="s">
        <v>247</v>
      </c>
      <c r="E264" s="70">
        <v>238000</v>
      </c>
      <c r="F264" s="71"/>
      <c r="G264" s="73">
        <f>movimientos548811143[[#This Row],[MONTO]]-movimientos548811143[[#This Row],[SALIDAS]]</f>
        <v>238000</v>
      </c>
    </row>
    <row r="265" spans="2:7" x14ac:dyDescent="0.25">
      <c r="B265" s="50">
        <v>45939</v>
      </c>
      <c r="C265" s="53" t="s">
        <v>286</v>
      </c>
      <c r="D265" s="53" t="s">
        <v>247</v>
      </c>
      <c r="E265" s="70">
        <v>35000</v>
      </c>
      <c r="F265" s="71"/>
      <c r="G265" s="73">
        <f>movimientos548811143[[#This Row],[MONTO]]-movimientos548811143[[#This Row],[SALIDAS]]</f>
        <v>35000</v>
      </c>
    </row>
    <row r="266" spans="2:7" x14ac:dyDescent="0.25">
      <c r="B266" s="50">
        <v>45939</v>
      </c>
      <c r="C266" s="53" t="s">
        <v>288</v>
      </c>
      <c r="D266" s="53" t="s">
        <v>247</v>
      </c>
      <c r="E266" s="70">
        <v>35000</v>
      </c>
      <c r="F266" s="71"/>
      <c r="G266" s="73">
        <f>movimientos548811143[[#This Row],[MONTO]]-movimientos548811143[[#This Row],[SALIDAS]]</f>
        <v>35000</v>
      </c>
    </row>
    <row r="267" spans="2:7" x14ac:dyDescent="0.25">
      <c r="B267" s="50">
        <v>45931</v>
      </c>
      <c r="C267" s="53" t="s">
        <v>289</v>
      </c>
      <c r="D267" s="53" t="s">
        <v>247</v>
      </c>
      <c r="E267" s="70">
        <v>26320</v>
      </c>
      <c r="F267" s="71"/>
      <c r="G267" s="73">
        <f>movimientos548811143[[#This Row],[MONTO]]-movimientos548811143[[#This Row],[SALIDAS]]</f>
        <v>26320</v>
      </c>
    </row>
    <row r="268" spans="2:7" x14ac:dyDescent="0.25">
      <c r="B268" s="50">
        <v>45947</v>
      </c>
      <c r="C268" s="53" t="s">
        <v>295</v>
      </c>
      <c r="D268" s="53" t="s">
        <v>247</v>
      </c>
      <c r="E268" s="70">
        <v>1777988</v>
      </c>
      <c r="F268" s="71"/>
      <c r="G268" s="73">
        <f>movimientos548811143[[#This Row],[MONTO]]-movimientos548811143[[#This Row],[SALIDAS]]</f>
        <v>1777988</v>
      </c>
    </row>
    <row r="269" spans="2:7" x14ac:dyDescent="0.25">
      <c r="B269" s="50">
        <v>45947</v>
      </c>
      <c r="C269" s="53" t="s">
        <v>296</v>
      </c>
      <c r="D269" s="53" t="s">
        <v>247</v>
      </c>
      <c r="E269" s="70">
        <v>2646700</v>
      </c>
      <c r="F269" s="71"/>
      <c r="G269" s="73">
        <f>movimientos548811143[[#This Row],[MONTO]]-movimientos548811143[[#This Row],[SALIDAS]]</f>
        <v>2646700</v>
      </c>
    </row>
    <row r="270" spans="2:7" x14ac:dyDescent="0.25">
      <c r="B270" s="50">
        <v>45958</v>
      </c>
      <c r="C270" s="53" t="s">
        <v>302</v>
      </c>
      <c r="D270" s="53" t="s">
        <v>247</v>
      </c>
      <c r="E270" s="70">
        <v>93925</v>
      </c>
      <c r="F270" s="71"/>
      <c r="G270" s="73">
        <f>movimientos548811143[[#This Row],[MONTO]]-movimientos548811143[[#This Row],[SALIDAS]]</f>
        <v>93925</v>
      </c>
    </row>
    <row r="271" spans="2:7" x14ac:dyDescent="0.25">
      <c r="B271" s="50">
        <v>45958</v>
      </c>
      <c r="C271" s="53" t="s">
        <v>305</v>
      </c>
      <c r="D271" s="53" t="s">
        <v>247</v>
      </c>
      <c r="E271" s="70">
        <v>83062</v>
      </c>
      <c r="F271" s="71"/>
      <c r="G271" s="73">
        <f>movimientos548811143[[#This Row],[MONTO]]-movimientos548811143[[#This Row],[SALIDAS]]</f>
        <v>83062</v>
      </c>
    </row>
    <row r="272" spans="2:7" x14ac:dyDescent="0.25">
      <c r="B272" s="50">
        <v>45958</v>
      </c>
      <c r="C272" s="53" t="s">
        <v>304</v>
      </c>
      <c r="D272" s="53" t="s">
        <v>247</v>
      </c>
      <c r="E272" s="70">
        <v>166552</v>
      </c>
      <c r="F272" s="71"/>
      <c r="G272" s="73">
        <f>movimientos548811143[[#This Row],[MONTO]]-movimientos548811143[[#This Row],[SALIDAS]]</f>
        <v>166552</v>
      </c>
    </row>
    <row r="273" spans="2:9" x14ac:dyDescent="0.25">
      <c r="B273" s="94">
        <v>45958</v>
      </c>
      <c r="C273" s="53" t="s">
        <v>52</v>
      </c>
      <c r="D273" s="53" t="s">
        <v>247</v>
      </c>
      <c r="E273" s="70">
        <v>300000</v>
      </c>
      <c r="F273" s="71"/>
      <c r="G273" s="73">
        <f>movimientos548811143[[#This Row],[MONTO]]-movimientos548811143[[#This Row],[SALIDAS]]</f>
        <v>300000</v>
      </c>
    </row>
    <row r="274" spans="2:9" x14ac:dyDescent="0.25">
      <c r="B274" s="94">
        <v>45931</v>
      </c>
      <c r="C274" s="53" t="s">
        <v>271</v>
      </c>
      <c r="D274" s="53" t="s">
        <v>118</v>
      </c>
      <c r="E274" s="70">
        <v>384000</v>
      </c>
      <c r="F274" s="71"/>
      <c r="G274" s="73">
        <f>movimientos548811143[[#This Row],[MONTO]]-movimientos548811143[[#This Row],[SALIDAS]]</f>
        <v>384000</v>
      </c>
    </row>
    <row r="275" spans="2:9" x14ac:dyDescent="0.25">
      <c r="B275" s="94">
        <v>45931</v>
      </c>
      <c r="C275" s="53" t="s">
        <v>272</v>
      </c>
      <c r="D275" s="53" t="s">
        <v>118</v>
      </c>
      <c r="E275" s="70">
        <v>90000</v>
      </c>
      <c r="F275" s="71"/>
      <c r="G275" s="73">
        <f>movimientos548811143[[#This Row],[MONTO]]-movimientos548811143[[#This Row],[SALIDAS]]</f>
        <v>90000</v>
      </c>
    </row>
    <row r="276" spans="2:9" x14ac:dyDescent="0.25">
      <c r="B276" s="94">
        <v>45936</v>
      </c>
      <c r="C276" s="53" t="s">
        <v>283</v>
      </c>
      <c r="D276" s="53" t="s">
        <v>118</v>
      </c>
      <c r="E276" s="70">
        <v>50000</v>
      </c>
      <c r="F276" s="71"/>
      <c r="G276" s="73">
        <f>movimientos548811143[[#This Row],[MONTO]]-movimientos548811143[[#This Row],[SALIDAS]]</f>
        <v>50000</v>
      </c>
    </row>
    <row r="277" spans="2:9" x14ac:dyDescent="0.25">
      <c r="B277" s="94">
        <v>45943</v>
      </c>
      <c r="C277" s="53" t="s">
        <v>294</v>
      </c>
      <c r="D277" s="53" t="s">
        <v>118</v>
      </c>
      <c r="E277" s="70">
        <v>13000</v>
      </c>
      <c r="F277" s="71"/>
      <c r="G277" s="73">
        <f>movimientos548811143[[#This Row],[MONTO]]-movimientos548811143[[#This Row],[SALIDAS]]</f>
        <v>13000</v>
      </c>
    </row>
    <row r="278" spans="2:9" x14ac:dyDescent="0.25">
      <c r="B278" s="92">
        <v>45954</v>
      </c>
      <c r="C278" s="53" t="s">
        <v>311</v>
      </c>
      <c r="D278" s="53" t="s">
        <v>118</v>
      </c>
      <c r="E278" s="70">
        <v>5000</v>
      </c>
      <c r="F278" s="71"/>
      <c r="G278" s="73">
        <f>movimientos548811143[[#This Row],[MONTO]]-movimientos548811143[[#This Row],[SALIDAS]]</f>
        <v>5000</v>
      </c>
    </row>
    <row r="279" spans="2:9" x14ac:dyDescent="0.25">
      <c r="B279" s="92">
        <v>45960</v>
      </c>
      <c r="C279" s="53" t="s">
        <v>27</v>
      </c>
      <c r="D279" s="53" t="s">
        <v>118</v>
      </c>
      <c r="E279" s="70">
        <v>29000</v>
      </c>
      <c r="F279" s="71"/>
      <c r="G279" s="73">
        <f>movimientos548811143[[#This Row],[MONTO]]-movimientos548811143[[#This Row],[SALIDAS]]</f>
        <v>29000</v>
      </c>
    </row>
    <row r="280" spans="2:9" x14ac:dyDescent="0.25">
      <c r="B280" s="94">
        <v>45946</v>
      </c>
      <c r="C280" s="51" t="s">
        <v>291</v>
      </c>
      <c r="D280" s="53" t="s">
        <v>126</v>
      </c>
      <c r="E280" s="66">
        <v>45000</v>
      </c>
      <c r="F280" s="71"/>
      <c r="G280" s="73">
        <f>movimientos548811143[[#This Row],[MONTO]]-movimientos548811143[[#This Row],[SALIDAS]]</f>
        <v>45000</v>
      </c>
    </row>
    <row r="281" spans="2:9" x14ac:dyDescent="0.25">
      <c r="B281" s="94">
        <v>45953</v>
      </c>
      <c r="C281" s="51" t="s">
        <v>300</v>
      </c>
      <c r="D281" s="51" t="s">
        <v>126</v>
      </c>
      <c r="E281" s="66">
        <v>50000</v>
      </c>
      <c r="F281" s="72"/>
      <c r="G281" s="67">
        <f>movimientos548811143[[#This Row],[MONTO]]-movimientos548811143[[#This Row],[SALIDAS]]</f>
        <v>50000</v>
      </c>
    </row>
    <row r="282" spans="2:9" x14ac:dyDescent="0.25">
      <c r="B282" s="94">
        <v>45960</v>
      </c>
      <c r="C282" s="53" t="s">
        <v>27</v>
      </c>
      <c r="D282" s="53" t="s">
        <v>181</v>
      </c>
      <c r="E282" s="70">
        <v>10000</v>
      </c>
      <c r="F282" s="71"/>
      <c r="G282" s="73">
        <f>movimientos548811143[[#This Row],[MONTO]]-movimientos548811143[[#This Row],[SALIDAS]]</f>
        <v>10000</v>
      </c>
    </row>
    <row r="283" spans="2:9" x14ac:dyDescent="0.25">
      <c r="B283" s="92">
        <v>45960</v>
      </c>
      <c r="C283" s="53" t="s">
        <v>316</v>
      </c>
      <c r="D283" s="53" t="s">
        <v>181</v>
      </c>
      <c r="E283" s="70">
        <v>218000</v>
      </c>
      <c r="F283" s="71"/>
      <c r="G283" s="73">
        <f>movimientos548811143[[#This Row],[MONTO]]-movimientos548811143[[#This Row],[SALIDAS]]</f>
        <v>218000</v>
      </c>
    </row>
    <row r="284" spans="2:9" x14ac:dyDescent="0.25">
      <c r="B284" s="92">
        <v>45960</v>
      </c>
      <c r="C284" s="53" t="s">
        <v>302</v>
      </c>
      <c r="D284" s="53" t="s">
        <v>123</v>
      </c>
      <c r="E284" s="70">
        <v>22000</v>
      </c>
      <c r="F284" s="71"/>
      <c r="G284" s="73">
        <f>movimientos548811143[[#This Row],[MONTO]]-movimientos548811143[[#This Row],[SALIDAS]]</f>
        <v>22000</v>
      </c>
    </row>
    <row r="285" spans="2:9" x14ac:dyDescent="0.25">
      <c r="B285" s="92">
        <v>45960</v>
      </c>
      <c r="C285" s="53" t="s">
        <v>319</v>
      </c>
      <c r="D285" s="53" t="s">
        <v>247</v>
      </c>
      <c r="E285" s="70">
        <v>540000</v>
      </c>
      <c r="F285" s="71"/>
      <c r="G285" s="73">
        <f>movimientos548811143[[#This Row],[MONTO]]-movimientos548811143[[#This Row],[SALIDAS]]</f>
        <v>540000</v>
      </c>
    </row>
    <row r="286" spans="2:9" x14ac:dyDescent="0.25">
      <c r="B286" s="92">
        <v>45960</v>
      </c>
      <c r="C286" s="53" t="s">
        <v>156</v>
      </c>
      <c r="D286" s="53" t="s">
        <v>247</v>
      </c>
      <c r="E286" s="70">
        <v>2000000</v>
      </c>
      <c r="F286" s="71"/>
      <c r="G286" s="73">
        <f>movimientos548811143[[#This Row],[MONTO]]-movimientos548811143[[#This Row],[SALIDAS]]</f>
        <v>2000000</v>
      </c>
    </row>
    <row r="287" spans="2:9" x14ac:dyDescent="0.25">
      <c r="B287" s="92">
        <v>45960</v>
      </c>
      <c r="C287" s="53" t="s">
        <v>324</v>
      </c>
      <c r="D287" s="53" t="s">
        <v>247</v>
      </c>
      <c r="E287" s="70">
        <v>600000</v>
      </c>
      <c r="F287" s="71"/>
      <c r="G287" s="73">
        <f>movimientos548811143[[#This Row],[MONTO]]-movimientos548811143[[#This Row],[SALIDAS]]</f>
        <v>600000</v>
      </c>
      <c r="I287" s="102"/>
    </row>
    <row r="288" spans="2:9" x14ac:dyDescent="0.25">
      <c r="B288" s="92">
        <v>45960</v>
      </c>
      <c r="C288" s="53" t="s">
        <v>325</v>
      </c>
      <c r="D288" s="53" t="s">
        <v>247</v>
      </c>
      <c r="E288" s="70">
        <v>490000</v>
      </c>
      <c r="F288" s="71"/>
      <c r="G288" s="73">
        <f>movimientos548811143[[#This Row],[MONTO]]-movimientos548811143[[#This Row],[SALIDAS]]</f>
        <v>490000</v>
      </c>
      <c r="I288" s="102"/>
    </row>
    <row r="289" spans="1:18" x14ac:dyDescent="0.25">
      <c r="B289" s="101"/>
      <c r="I289" s="102"/>
    </row>
    <row r="290" spans="1:18" x14ac:dyDescent="0.25">
      <c r="B290" s="101"/>
      <c r="I290" s="102"/>
    </row>
    <row r="291" spans="1:18" ht="31.5" x14ac:dyDescent="0.5">
      <c r="A291" s="181" t="s">
        <v>317</v>
      </c>
      <c r="B291" s="181"/>
      <c r="C291" s="181"/>
      <c r="D291" s="181"/>
      <c r="E291" s="181"/>
      <c r="F291" s="181"/>
      <c r="G291" s="181"/>
      <c r="H291" s="181"/>
      <c r="I291" s="181"/>
      <c r="J291" s="181"/>
      <c r="K291" s="181"/>
      <c r="L291" s="181"/>
      <c r="M291" s="181"/>
      <c r="N291" s="181"/>
      <c r="O291" s="181"/>
      <c r="P291" s="181"/>
      <c r="Q291" s="181"/>
      <c r="R291" s="181"/>
    </row>
    <row r="293" spans="1:18" x14ac:dyDescent="0.25">
      <c r="G293" t="s">
        <v>279</v>
      </c>
    </row>
    <row r="295" spans="1:18" x14ac:dyDescent="0.25">
      <c r="J295" s="46" t="s">
        <v>109</v>
      </c>
    </row>
    <row r="296" spans="1:18" x14ac:dyDescent="0.25">
      <c r="B296" s="46"/>
      <c r="J296" s="47" t="s">
        <v>110</v>
      </c>
      <c r="K296" s="47" t="s">
        <v>111</v>
      </c>
    </row>
    <row r="297" spans="1:18" x14ac:dyDescent="0.25">
      <c r="B297" s="47" t="s">
        <v>4</v>
      </c>
      <c r="C297" s="47" t="s">
        <v>112</v>
      </c>
      <c r="D297" s="47" t="s">
        <v>110</v>
      </c>
      <c r="E297" s="47" t="s">
        <v>8</v>
      </c>
      <c r="F297" s="47" t="s">
        <v>113</v>
      </c>
      <c r="G297" s="48" t="s">
        <v>111</v>
      </c>
      <c r="J297" s="49" t="s">
        <v>116</v>
      </c>
      <c r="K297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575000</v>
      </c>
    </row>
    <row r="298" spans="1:18" x14ac:dyDescent="0.25">
      <c r="B298" s="50">
        <v>45962</v>
      </c>
      <c r="C298" s="53" t="s">
        <v>318</v>
      </c>
      <c r="D298" s="53" t="s">
        <v>118</v>
      </c>
      <c r="E298" s="70">
        <v>284000</v>
      </c>
      <c r="F298" s="69"/>
      <c r="G298" s="67">
        <f>movimientos54881114318[[#This Row],[MONTO]]-movimientos54881114318[[#This Row],[SALIDAS]]</f>
        <v>284000</v>
      </c>
      <c r="J298" s="51" t="s">
        <v>123</v>
      </c>
      <c r="K298" s="75">
        <f>SUMIF(movimientos54881114318[COLABORADOR],resumen_caja5589121324[[#This Row],[COLABORADOR]],movimientos54881114318[MONTO])-SUMIF(movimientos54881114318[COLABORADOR],resumen_caja5589121324[[#This Row],[COLABORADOR]],movimientos54881114318[SALIDAS])</f>
        <v>536990</v>
      </c>
    </row>
    <row r="299" spans="1:18" x14ac:dyDescent="0.25">
      <c r="B299" s="50">
        <v>45962</v>
      </c>
      <c r="C299" s="53" t="s">
        <v>281</v>
      </c>
      <c r="D299" s="53" t="s">
        <v>121</v>
      </c>
      <c r="E299" s="70">
        <v>30000</v>
      </c>
      <c r="F299" s="71"/>
      <c r="G299" s="67">
        <f>movimientos54881114318[[#This Row],[MONTO]]-movimientos54881114318[[#This Row],[SALIDAS]]</f>
        <v>30000</v>
      </c>
      <c r="J299" s="49" t="s">
        <v>181</v>
      </c>
      <c r="K299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0" spans="1:18" x14ac:dyDescent="0.25">
      <c r="B300" s="50">
        <v>45964</v>
      </c>
      <c r="C300" s="53" t="s">
        <v>320</v>
      </c>
      <c r="D300" s="53" t="s">
        <v>123</v>
      </c>
      <c r="E300" s="70">
        <v>119990</v>
      </c>
      <c r="F300" s="71"/>
      <c r="G300" s="67">
        <f>movimientos54881114318[[#This Row],[MONTO]]-movimientos54881114318[[#This Row],[SALIDAS]]</f>
        <v>119990</v>
      </c>
      <c r="J300" s="49" t="s">
        <v>121</v>
      </c>
      <c r="K300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137000</v>
      </c>
      <c r="N300" s="180"/>
      <c r="O300" s="180"/>
    </row>
    <row r="301" spans="1:18" x14ac:dyDescent="0.25">
      <c r="B301" s="50">
        <v>45964</v>
      </c>
      <c r="C301" s="51" t="s">
        <v>323</v>
      </c>
      <c r="D301" s="53" t="s">
        <v>118</v>
      </c>
      <c r="E301" s="66">
        <v>10000</v>
      </c>
      <c r="F301" s="72"/>
      <c r="G301" s="67">
        <f>movimientos54881114318[[#This Row],[MONTO]]-movimientos54881114318[[#This Row],[SALIDAS]]</f>
        <v>10000</v>
      </c>
      <c r="J301" s="49" t="s">
        <v>114</v>
      </c>
      <c r="K301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114969</v>
      </c>
      <c r="N301" s="180"/>
      <c r="O301" s="180"/>
    </row>
    <row r="302" spans="1:18" x14ac:dyDescent="0.25">
      <c r="B302" s="50">
        <v>45966</v>
      </c>
      <c r="C302" s="51" t="s">
        <v>321</v>
      </c>
      <c r="D302" s="53" t="s">
        <v>119</v>
      </c>
      <c r="E302" s="66">
        <v>40000</v>
      </c>
      <c r="F302" s="72"/>
      <c r="G302" s="67">
        <f>movimientos54881114318[[#This Row],[MONTO]]-movimientos54881114318[[#This Row],[SALIDAS]]</f>
        <v>40000</v>
      </c>
      <c r="J302" s="49" t="s">
        <v>119</v>
      </c>
      <c r="K302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523000</v>
      </c>
    </row>
    <row r="303" spans="1:18" x14ac:dyDescent="0.25">
      <c r="B303" s="50">
        <v>45966</v>
      </c>
      <c r="C303" s="51" t="s">
        <v>236</v>
      </c>
      <c r="D303" s="53" t="s">
        <v>114</v>
      </c>
      <c r="E303" s="66">
        <v>9969</v>
      </c>
      <c r="F303" s="72"/>
      <c r="G303" s="67">
        <f>movimientos54881114318[[#This Row],[MONTO]]-movimientos54881114318[[#This Row],[SALIDAS]]</f>
        <v>9969</v>
      </c>
      <c r="J303" s="49" t="s">
        <v>118</v>
      </c>
      <c r="K303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670500</v>
      </c>
    </row>
    <row r="304" spans="1:18" x14ac:dyDescent="0.25">
      <c r="B304" s="50">
        <v>45966</v>
      </c>
      <c r="C304" s="51" t="s">
        <v>331</v>
      </c>
      <c r="D304" s="53" t="s">
        <v>119</v>
      </c>
      <c r="E304" s="66">
        <v>20000</v>
      </c>
      <c r="F304" s="72"/>
      <c r="G304" s="67">
        <f>movimientos54881114318[[#This Row],[MONTO]]-movimientos54881114318[[#This Row],[SALIDAS]]</f>
        <v>20000</v>
      </c>
      <c r="J304" s="49" t="s">
        <v>126</v>
      </c>
      <c r="K304" s="68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5" spans="2:11" x14ac:dyDescent="0.25">
      <c r="B305" s="50">
        <v>45967</v>
      </c>
      <c r="C305" s="51" t="s">
        <v>322</v>
      </c>
      <c r="D305" s="53" t="s">
        <v>119</v>
      </c>
      <c r="E305" s="66">
        <v>10000</v>
      </c>
      <c r="F305" s="72"/>
      <c r="G305" s="67">
        <f>movimientos54881114318[[#This Row],[MONTO]]-movimientos54881114318[[#This Row],[SALIDAS]]</f>
        <v>10000</v>
      </c>
      <c r="J305" s="90" t="s">
        <v>253</v>
      </c>
      <c r="K305" s="91">
        <f>SUMIF(movimientos54881114318[COLABORADOR],resumen_caja5589121324[[#This Row],[COLABORADOR]],movimientos54881114318[MONTO])-SUMIF(movimientos54881114318[COLABORADOR],resumen_caja5589121324[[#This Row],[COLABORADOR]],movimientos54881114318[SALIDAS])</f>
        <v>0</v>
      </c>
    </row>
    <row r="306" spans="2:11" x14ac:dyDescent="0.25">
      <c r="B306" s="50">
        <v>45968</v>
      </c>
      <c r="C306" s="51" t="s">
        <v>327</v>
      </c>
      <c r="D306" s="53" t="s">
        <v>114</v>
      </c>
      <c r="E306" s="66">
        <v>50000</v>
      </c>
      <c r="F306" s="72"/>
      <c r="G306" s="67">
        <f>movimientos54881114318[[#This Row],[MONTO]]-movimientos54881114318[[#This Row],[SALIDAS]]</f>
        <v>50000</v>
      </c>
      <c r="J306" s="90" t="s">
        <v>247</v>
      </c>
      <c r="K306" s="91">
        <f>SUMIF(movimientos54881114318[COLABORADOR],resumen_caja5589121324[[#This Row],[COLABORADOR]],movimientos54881114318[MONTO])-SUMIF(movimientos54881114318[COLABORADOR],resumen_caja5589121324[[#This Row],[COLABORADOR]],movimientos54881114318[SALIDAS])</f>
        <v>300000</v>
      </c>
    </row>
    <row r="307" spans="2:11" x14ac:dyDescent="0.25">
      <c r="B307" s="50">
        <v>45975</v>
      </c>
      <c r="C307" s="51" t="s">
        <v>328</v>
      </c>
      <c r="D307" s="53" t="s">
        <v>114</v>
      </c>
      <c r="E307" s="66">
        <v>50000</v>
      </c>
      <c r="F307" s="72"/>
      <c r="G307" s="67">
        <f>movimientos54881114318[[#This Row],[MONTO]]-movimientos54881114318[[#This Row],[SALIDAS]]</f>
        <v>50000</v>
      </c>
    </row>
    <row r="308" spans="2:11" x14ac:dyDescent="0.25">
      <c r="B308" s="93">
        <v>45981</v>
      </c>
      <c r="C308" s="51" t="s">
        <v>329</v>
      </c>
      <c r="D308" s="53" t="s">
        <v>121</v>
      </c>
      <c r="E308" s="66">
        <v>100000</v>
      </c>
      <c r="F308" s="72"/>
      <c r="G308" s="67">
        <f>movimientos54881114318[[#This Row],[MONTO]]-movimientos54881114318[[#This Row],[SALIDAS]]</f>
        <v>100000</v>
      </c>
    </row>
    <row r="309" spans="2:11" x14ac:dyDescent="0.25">
      <c r="B309" s="50">
        <v>45985</v>
      </c>
      <c r="C309" s="51" t="s">
        <v>214</v>
      </c>
      <c r="D309" s="53" t="s">
        <v>118</v>
      </c>
      <c r="E309" s="66">
        <v>40000</v>
      </c>
      <c r="F309" s="72"/>
      <c r="G309" s="67">
        <f>movimientos54881114318[[#This Row],[MONTO]]-movimientos54881114318[[#This Row],[SALIDAS]]</f>
        <v>40000</v>
      </c>
    </row>
    <row r="310" spans="2:11" x14ac:dyDescent="0.25">
      <c r="B310" s="50">
        <v>45987</v>
      </c>
      <c r="C310" s="51" t="s">
        <v>330</v>
      </c>
      <c r="D310" s="53" t="s">
        <v>118</v>
      </c>
      <c r="E310" s="66">
        <v>5000</v>
      </c>
      <c r="F310" s="72"/>
      <c r="G310" s="67">
        <f>movimientos54881114318[[#This Row],[MONTO]]-movimientos54881114318[[#This Row],[SALIDAS]]</f>
        <v>5000</v>
      </c>
    </row>
    <row r="311" spans="2:11" x14ac:dyDescent="0.25">
      <c r="B311" s="50">
        <v>45975</v>
      </c>
      <c r="C311" s="51" t="s">
        <v>332</v>
      </c>
      <c r="D311" s="53" t="s">
        <v>119</v>
      </c>
      <c r="E311" s="66">
        <v>220000</v>
      </c>
      <c r="F311" s="72"/>
      <c r="G311" s="67">
        <f>movimientos54881114318[[#This Row],[MONTO]]-movimientos54881114318[[#This Row],[SALIDAS]]</f>
        <v>220000</v>
      </c>
    </row>
    <row r="312" spans="2:11" x14ac:dyDescent="0.25">
      <c r="B312" s="50">
        <v>45978</v>
      </c>
      <c r="C312" s="51" t="s">
        <v>333</v>
      </c>
      <c r="D312" s="53" t="s">
        <v>118</v>
      </c>
      <c r="E312" s="66">
        <v>30000</v>
      </c>
      <c r="F312" s="72"/>
      <c r="G312" s="67">
        <f>movimientos54881114318[[#This Row],[MONTO]]-movimientos54881114318[[#This Row],[SALIDAS]]</f>
        <v>30000</v>
      </c>
    </row>
    <row r="313" spans="2:11" x14ac:dyDescent="0.25">
      <c r="B313" s="50">
        <v>45979</v>
      </c>
      <c r="C313" s="51" t="s">
        <v>334</v>
      </c>
      <c r="D313" s="53" t="s">
        <v>116</v>
      </c>
      <c r="E313" s="66">
        <v>160000</v>
      </c>
      <c r="F313" s="72"/>
      <c r="G313" s="67">
        <f>movimientos54881114318[[#This Row],[MONTO]]-movimientos54881114318[[#This Row],[SALIDAS]]</f>
        <v>160000</v>
      </c>
    </row>
    <row r="314" spans="2:11" x14ac:dyDescent="0.25">
      <c r="B314" s="93">
        <v>45985</v>
      </c>
      <c r="C314" s="51" t="s">
        <v>335</v>
      </c>
      <c r="D314" s="53" t="s">
        <v>119</v>
      </c>
      <c r="E314" s="66">
        <v>200000</v>
      </c>
      <c r="F314" s="72"/>
      <c r="G314" s="67">
        <f>movimientos54881114318[[#This Row],[MONTO]]-movimientos54881114318[[#This Row],[SALIDAS]]</f>
        <v>200000</v>
      </c>
    </row>
    <row r="315" spans="2:11" x14ac:dyDescent="0.25">
      <c r="B315" s="50">
        <v>45968</v>
      </c>
      <c r="C315" s="53" t="s">
        <v>336</v>
      </c>
      <c r="D315" s="53" t="s">
        <v>123</v>
      </c>
      <c r="E315" s="70">
        <v>370000</v>
      </c>
      <c r="F315" s="71"/>
      <c r="G315" s="73">
        <f>movimientos54881114318[[#This Row],[MONTO]]-movimientos54881114318[[#This Row],[SALIDAS]]</f>
        <v>370000</v>
      </c>
    </row>
    <row r="316" spans="2:11" x14ac:dyDescent="0.25">
      <c r="B316" s="50">
        <v>45991</v>
      </c>
      <c r="C316" s="53" t="s">
        <v>337</v>
      </c>
      <c r="D316" s="53" t="s">
        <v>123</v>
      </c>
      <c r="E316" s="70">
        <v>25000</v>
      </c>
      <c r="F316" s="71"/>
      <c r="G316" s="73">
        <f>movimientos54881114318[[#This Row],[MONTO]]-movimientos54881114318[[#This Row],[SALIDAS]]</f>
        <v>25000</v>
      </c>
    </row>
    <row r="317" spans="2:11" x14ac:dyDescent="0.25">
      <c r="B317" s="50">
        <v>45991</v>
      </c>
      <c r="C317" s="53" t="s">
        <v>138</v>
      </c>
      <c r="D317" s="53" t="s">
        <v>123</v>
      </c>
      <c r="E317" s="70">
        <v>22000</v>
      </c>
      <c r="F317" s="71"/>
      <c r="G317" s="73">
        <f>movimientos54881114318[[#This Row],[MONTO]]-movimientos54881114318[[#This Row],[SALIDAS]]</f>
        <v>22000</v>
      </c>
    </row>
    <row r="318" spans="2:11" x14ac:dyDescent="0.25">
      <c r="B318" s="50">
        <v>45974</v>
      </c>
      <c r="C318" s="53" t="s">
        <v>330</v>
      </c>
      <c r="D318" s="53" t="s">
        <v>114</v>
      </c>
      <c r="E318" s="70">
        <v>5000</v>
      </c>
      <c r="F318" s="71"/>
      <c r="G318" s="73">
        <f>movimientos54881114318[[#This Row],[MONTO]]-movimientos54881114318[[#This Row],[SALIDAS]]</f>
        <v>5000</v>
      </c>
    </row>
    <row r="319" spans="2:11" x14ac:dyDescent="0.25">
      <c r="B319" s="50">
        <v>45989</v>
      </c>
      <c r="C319" s="53" t="s">
        <v>27</v>
      </c>
      <c r="D319" s="53" t="s">
        <v>116</v>
      </c>
      <c r="E319" s="70">
        <v>15000</v>
      </c>
      <c r="F319" s="71"/>
      <c r="G319" s="73">
        <f>movimientos54881114318[[#This Row],[MONTO]]-movimientos54881114318[[#This Row],[SALIDAS]]</f>
        <v>15000</v>
      </c>
    </row>
    <row r="320" spans="2:11" x14ac:dyDescent="0.25">
      <c r="B320" s="50">
        <v>45989</v>
      </c>
      <c r="C320" s="53" t="s">
        <v>27</v>
      </c>
      <c r="D320" s="53" t="s">
        <v>118</v>
      </c>
      <c r="E320" s="70">
        <v>30500</v>
      </c>
      <c r="F320" s="71"/>
      <c r="G320" s="73">
        <f>movimientos54881114318[[#This Row],[MONTO]]-movimientos54881114318[[#This Row],[SALIDAS]]</f>
        <v>30500</v>
      </c>
    </row>
    <row r="321" spans="1:18" x14ac:dyDescent="0.25">
      <c r="B321" s="93">
        <v>45989</v>
      </c>
      <c r="C321" s="53" t="s">
        <v>40</v>
      </c>
      <c r="D321" s="53" t="s">
        <v>118</v>
      </c>
      <c r="E321" s="70">
        <v>90000</v>
      </c>
      <c r="F321" s="71"/>
      <c r="G321" s="73">
        <f>movimientos54881114318[[#This Row],[MONTO]]-movimientos54881114318[[#This Row],[SALIDAS]]</f>
        <v>90000</v>
      </c>
    </row>
    <row r="322" spans="1:18" x14ac:dyDescent="0.25">
      <c r="B322" s="93">
        <v>45989</v>
      </c>
      <c r="C322" s="53" t="s">
        <v>315</v>
      </c>
      <c r="D322" s="53" t="s">
        <v>118</v>
      </c>
      <c r="E322" s="70">
        <v>11000</v>
      </c>
      <c r="F322" s="72"/>
      <c r="G322" s="67">
        <f>movimientos54881114318[[#This Row],[MONTO]]-movimientos54881114318[[#This Row],[SALIDAS]]</f>
        <v>11000</v>
      </c>
    </row>
    <row r="323" spans="1:18" x14ac:dyDescent="0.25">
      <c r="B323" s="93">
        <v>45989</v>
      </c>
      <c r="C323" s="53" t="s">
        <v>179</v>
      </c>
      <c r="D323" s="53" t="s">
        <v>118</v>
      </c>
      <c r="E323" s="70">
        <v>170000</v>
      </c>
      <c r="F323" s="72"/>
      <c r="G323" s="67">
        <f>movimientos54881114318[[#This Row],[MONTO]]-movimientos54881114318[[#This Row],[SALIDAS]]</f>
        <v>170000</v>
      </c>
    </row>
    <row r="324" spans="1:18" x14ac:dyDescent="0.25">
      <c r="B324" s="50">
        <v>45989</v>
      </c>
      <c r="C324" s="51" t="s">
        <v>263</v>
      </c>
      <c r="D324" s="53" t="s">
        <v>119</v>
      </c>
      <c r="E324" s="66">
        <v>11000</v>
      </c>
      <c r="F324" s="72"/>
      <c r="G324" s="67">
        <f>movimientos54881114318[[#This Row],[MONTO]]-movimientos54881114318[[#This Row],[SALIDAS]]</f>
        <v>11000</v>
      </c>
    </row>
    <row r="325" spans="1:18" x14ac:dyDescent="0.25">
      <c r="B325" s="50">
        <v>45991</v>
      </c>
      <c r="C325" s="51" t="s">
        <v>27</v>
      </c>
      <c r="D325" s="53" t="s">
        <v>119</v>
      </c>
      <c r="E325" s="66">
        <v>22000</v>
      </c>
      <c r="F325" s="72"/>
      <c r="G325" s="67">
        <f>movimientos54881114318[[#This Row],[MONTO]]-movimientos54881114318[[#This Row],[SALIDAS]]</f>
        <v>22000</v>
      </c>
    </row>
    <row r="326" spans="1:18" x14ac:dyDescent="0.25">
      <c r="B326" s="50">
        <v>45991</v>
      </c>
      <c r="C326" s="51" t="s">
        <v>340</v>
      </c>
      <c r="D326" s="53" t="s">
        <v>121</v>
      </c>
      <c r="E326" s="66">
        <v>7000</v>
      </c>
      <c r="F326" s="72"/>
      <c r="G326" s="67">
        <f>movimientos54881114318[[#This Row],[MONTO]]-movimientos54881114318[[#This Row],[SALIDAS]]</f>
        <v>7000</v>
      </c>
    </row>
    <row r="327" spans="1:18" x14ac:dyDescent="0.25">
      <c r="B327" s="93">
        <v>45991</v>
      </c>
      <c r="C327" s="53" t="s">
        <v>338</v>
      </c>
      <c r="D327" s="53" t="s">
        <v>247</v>
      </c>
      <c r="E327" s="70">
        <v>300000</v>
      </c>
      <c r="F327" s="71"/>
      <c r="G327" s="73">
        <f>movimientos54881114318[[#This Row],[MONTO]]-movimientos54881114318[[#This Row],[SALIDAS]]</f>
        <v>300000</v>
      </c>
    </row>
    <row r="328" spans="1:18" x14ac:dyDescent="0.25">
      <c r="B328" s="50">
        <v>45991</v>
      </c>
      <c r="C328" s="53" t="s">
        <v>341</v>
      </c>
      <c r="D328" s="53" t="s">
        <v>116</v>
      </c>
      <c r="E328" s="70">
        <v>400000</v>
      </c>
      <c r="F328" s="71"/>
      <c r="G328" s="73">
        <f>movimientos54881114318[[#This Row],[MONTO]]-movimientos54881114318[[#This Row],[SALIDAS]]</f>
        <v>400000</v>
      </c>
    </row>
    <row r="329" spans="1:18" hidden="1" x14ac:dyDescent="0.25"/>
    <row r="333" spans="1:18" ht="31.5" x14ac:dyDescent="0.5">
      <c r="A333" s="181" t="s">
        <v>342</v>
      </c>
      <c r="B333" s="181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</row>
    <row r="335" spans="1:18" x14ac:dyDescent="0.25">
      <c r="G335" t="s">
        <v>279</v>
      </c>
    </row>
    <row r="337" spans="2:15" x14ac:dyDescent="0.25">
      <c r="J337" s="46" t="s">
        <v>109</v>
      </c>
    </row>
    <row r="338" spans="2:15" x14ac:dyDescent="0.25">
      <c r="B338" s="46"/>
      <c r="J338" s="47" t="s">
        <v>110</v>
      </c>
      <c r="K338" s="47" t="s">
        <v>111</v>
      </c>
    </row>
    <row r="339" spans="2:15" x14ac:dyDescent="0.25">
      <c r="B339" s="47" t="s">
        <v>4</v>
      </c>
      <c r="C339" s="47" t="s">
        <v>112</v>
      </c>
      <c r="D339" s="47" t="s">
        <v>110</v>
      </c>
      <c r="E339" s="47" t="s">
        <v>8</v>
      </c>
      <c r="F339" s="47" t="s">
        <v>113</v>
      </c>
      <c r="G339" s="48" t="s">
        <v>111</v>
      </c>
      <c r="J339" s="49" t="s">
        <v>116</v>
      </c>
      <c r="K339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487000</v>
      </c>
    </row>
    <row r="340" spans="2:15" x14ac:dyDescent="0.25">
      <c r="B340" s="50">
        <v>46003</v>
      </c>
      <c r="C340" s="53" t="s">
        <v>349</v>
      </c>
      <c r="D340" s="53" t="s">
        <v>116</v>
      </c>
      <c r="E340" s="70">
        <v>50000</v>
      </c>
      <c r="F340" s="69"/>
      <c r="G340" s="67">
        <f>movimientos5488111431821[[#This Row],[MONTO]]-movimientos5488111431821[[#This Row],[SALIDAS]]</f>
        <v>50000</v>
      </c>
      <c r="J340" s="51" t="s">
        <v>123</v>
      </c>
      <c r="K340" s="75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864000</v>
      </c>
    </row>
    <row r="341" spans="2:15" x14ac:dyDescent="0.25">
      <c r="B341" s="50">
        <v>46013</v>
      </c>
      <c r="C341" s="53" t="s">
        <v>27</v>
      </c>
      <c r="D341" s="53" t="s">
        <v>116</v>
      </c>
      <c r="E341" s="70">
        <v>17000</v>
      </c>
      <c r="F341" s="71"/>
      <c r="G341" s="67">
        <f>movimientos5488111431821[[#This Row],[MONTO]]-movimientos5488111431821[[#This Row],[SALIDAS]]</f>
        <v>17000</v>
      </c>
      <c r="J341" s="49" t="s">
        <v>181</v>
      </c>
      <c r="K341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71000</v>
      </c>
    </row>
    <row r="342" spans="2:15" x14ac:dyDescent="0.25">
      <c r="B342" s="93">
        <v>46007</v>
      </c>
      <c r="C342" s="53" t="s">
        <v>365</v>
      </c>
      <c r="D342" s="53" t="s">
        <v>116</v>
      </c>
      <c r="E342" s="70">
        <v>50000</v>
      </c>
      <c r="F342" s="71"/>
      <c r="G342" s="67">
        <f>movimientos5488111431821[[#This Row],[MONTO]]-movimientos5488111431821[[#This Row],[SALIDAS]]</f>
        <v>50000</v>
      </c>
      <c r="J342" s="49" t="s">
        <v>121</v>
      </c>
      <c r="K342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137400</v>
      </c>
      <c r="N342" s="180"/>
      <c r="O342" s="180"/>
    </row>
    <row r="343" spans="2:15" x14ac:dyDescent="0.25">
      <c r="B343" s="50">
        <v>46003</v>
      </c>
      <c r="C343" s="51" t="s">
        <v>357</v>
      </c>
      <c r="D343" s="53" t="s">
        <v>116</v>
      </c>
      <c r="E343" s="66">
        <v>10000</v>
      </c>
      <c r="F343" s="72"/>
      <c r="G343" s="67">
        <f>movimientos5488111431821[[#This Row],[MONTO]]-movimientos5488111431821[[#This Row],[SALIDAS]]</f>
        <v>10000</v>
      </c>
      <c r="J343" s="49" t="s">
        <v>114</v>
      </c>
      <c r="K343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401500</v>
      </c>
      <c r="N343" s="180"/>
      <c r="O343" s="180"/>
    </row>
    <row r="344" spans="2:15" x14ac:dyDescent="0.25">
      <c r="B344" s="50">
        <v>46013</v>
      </c>
      <c r="C344" s="51" t="s">
        <v>370</v>
      </c>
      <c r="D344" s="53" t="s">
        <v>116</v>
      </c>
      <c r="E344" s="66">
        <v>340000</v>
      </c>
      <c r="F344" s="72"/>
      <c r="G344" s="67">
        <f>movimientos5488111431821[[#This Row],[MONTO]]-movimientos5488111431821[[#This Row],[SALIDAS]]</f>
        <v>340000</v>
      </c>
      <c r="J344" s="49" t="s">
        <v>119</v>
      </c>
      <c r="K344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907500</v>
      </c>
    </row>
    <row r="345" spans="2:15" x14ac:dyDescent="0.25">
      <c r="B345" s="50">
        <v>46013</v>
      </c>
      <c r="C345" s="51" t="s">
        <v>377</v>
      </c>
      <c r="D345" s="53" t="s">
        <v>116</v>
      </c>
      <c r="E345" s="66">
        <v>20000</v>
      </c>
      <c r="F345" s="72"/>
      <c r="G345" s="67">
        <f>movimientos5488111431821[[#This Row],[MONTO]]-movimientos5488111431821[[#This Row],[SALIDAS]]</f>
        <v>20000</v>
      </c>
      <c r="J345" s="49" t="s">
        <v>118</v>
      </c>
      <c r="K345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1044018</v>
      </c>
    </row>
    <row r="346" spans="2:15" x14ac:dyDescent="0.25">
      <c r="B346" s="50">
        <v>46021</v>
      </c>
      <c r="C346" s="51" t="s">
        <v>336</v>
      </c>
      <c r="D346" s="53" t="s">
        <v>123</v>
      </c>
      <c r="E346" s="66">
        <v>370000</v>
      </c>
      <c r="F346" s="72"/>
      <c r="G346" s="67">
        <f>movimientos5488111431821[[#This Row],[MONTO]]-movimientos5488111431821[[#This Row],[SALIDAS]]</f>
        <v>370000</v>
      </c>
      <c r="J346" s="49" t="s">
        <v>126</v>
      </c>
      <c r="K346" s="68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25500</v>
      </c>
    </row>
    <row r="347" spans="2:15" x14ac:dyDescent="0.25">
      <c r="B347" s="50">
        <v>46021</v>
      </c>
      <c r="C347" s="51" t="s">
        <v>337</v>
      </c>
      <c r="D347" s="53" t="s">
        <v>123</v>
      </c>
      <c r="E347" s="66">
        <v>28000</v>
      </c>
      <c r="F347" s="72"/>
      <c r="G347" s="67">
        <f>movimientos5488111431821[[#This Row],[MONTO]]-movimientos5488111431821[[#This Row],[SALIDAS]]</f>
        <v>28000</v>
      </c>
      <c r="J347" s="90" t="s">
        <v>253</v>
      </c>
      <c r="K347" s="91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0</v>
      </c>
    </row>
    <row r="348" spans="2:15" x14ac:dyDescent="0.25">
      <c r="B348" s="50">
        <v>46021</v>
      </c>
      <c r="C348" s="51" t="s">
        <v>138</v>
      </c>
      <c r="D348" s="53" t="s">
        <v>123</v>
      </c>
      <c r="E348" s="66">
        <v>22000</v>
      </c>
      <c r="F348" s="72"/>
      <c r="G348" s="67">
        <f>movimientos5488111431821[[#This Row],[MONTO]]-movimientos5488111431821[[#This Row],[SALIDAS]]</f>
        <v>22000</v>
      </c>
      <c r="J348" s="90" t="s">
        <v>247</v>
      </c>
      <c r="K348" s="91">
        <f>SUMIF(movimientos5488111431821[COLABORADOR],resumen_caja558912132420[[#This Row],[COLABORADOR]],movimientos5488111431821[MONTO])-SUMIF(movimientos5488111431821[COLABORADOR],resumen_caja558912132420[[#This Row],[COLABORADOR]],movimientos5488111431821[SALIDAS])</f>
        <v>20870000</v>
      </c>
    </row>
    <row r="349" spans="2:15" x14ac:dyDescent="0.25">
      <c r="B349" s="93">
        <v>46007</v>
      </c>
      <c r="C349" s="51" t="s">
        <v>365</v>
      </c>
      <c r="D349" s="53" t="s">
        <v>123</v>
      </c>
      <c r="E349" s="66">
        <v>50000</v>
      </c>
      <c r="F349" s="72"/>
      <c r="G349" s="67">
        <f>movimientos5488111431821[[#This Row],[MONTO]]-movimientos5488111431821[[#This Row],[SALIDAS]]</f>
        <v>50000</v>
      </c>
    </row>
    <row r="350" spans="2:15" x14ac:dyDescent="0.25">
      <c r="B350" s="50">
        <v>46001</v>
      </c>
      <c r="C350" s="51" t="s">
        <v>354</v>
      </c>
      <c r="D350" s="53" t="s">
        <v>123</v>
      </c>
      <c r="E350" s="66">
        <v>50000</v>
      </c>
      <c r="F350" s="72"/>
      <c r="G350" s="67">
        <f>movimientos5488111431821[[#This Row],[MONTO]]-movimientos5488111431821[[#This Row],[SALIDAS]]</f>
        <v>50000</v>
      </c>
    </row>
    <row r="351" spans="2:15" x14ac:dyDescent="0.25">
      <c r="B351" s="50">
        <v>46003</v>
      </c>
      <c r="C351" s="51" t="s">
        <v>358</v>
      </c>
      <c r="D351" s="53" t="s">
        <v>123</v>
      </c>
      <c r="E351" s="66">
        <v>100000</v>
      </c>
      <c r="F351" s="72"/>
      <c r="G351" s="67">
        <f>movimientos5488111431821[[#This Row],[MONTO]]-movimientos5488111431821[[#This Row],[SALIDAS]]</f>
        <v>100000</v>
      </c>
    </row>
    <row r="352" spans="2:15" x14ac:dyDescent="0.25">
      <c r="B352" s="50">
        <v>45997</v>
      </c>
      <c r="C352" s="51" t="s">
        <v>387</v>
      </c>
      <c r="D352" s="53" t="s">
        <v>123</v>
      </c>
      <c r="E352" s="66">
        <v>200000</v>
      </c>
      <c r="F352" s="72"/>
      <c r="G352" s="67">
        <f>movimientos5488111431821[[#This Row],[MONTO]]-movimientos5488111431821[[#This Row],[SALIDAS]]</f>
        <v>200000</v>
      </c>
    </row>
    <row r="353" spans="2:7" x14ac:dyDescent="0.25">
      <c r="B353" s="93">
        <v>46013</v>
      </c>
      <c r="C353" s="51" t="s">
        <v>379</v>
      </c>
      <c r="D353" s="53" t="s">
        <v>123</v>
      </c>
      <c r="E353" s="66">
        <v>14000</v>
      </c>
      <c r="F353" s="72"/>
      <c r="G353" s="67">
        <f>movimientos5488111431821[[#This Row],[MONTO]]-movimientos5488111431821[[#This Row],[SALIDAS]]</f>
        <v>14000</v>
      </c>
    </row>
    <row r="354" spans="2:7" x14ac:dyDescent="0.25">
      <c r="B354" s="93">
        <v>46013</v>
      </c>
      <c r="C354" s="51" t="s">
        <v>375</v>
      </c>
      <c r="D354" s="53" t="s">
        <v>123</v>
      </c>
      <c r="E354" s="66">
        <v>30000</v>
      </c>
      <c r="F354" s="72"/>
      <c r="G354" s="67">
        <f>movimientos5488111431821[[#This Row],[MONTO]]-movimientos5488111431821[[#This Row],[SALIDAS]]</f>
        <v>30000</v>
      </c>
    </row>
    <row r="355" spans="2:7" x14ac:dyDescent="0.25">
      <c r="B355" s="50">
        <v>46006</v>
      </c>
      <c r="C355" s="51" t="s">
        <v>348</v>
      </c>
      <c r="D355" s="53" t="s">
        <v>121</v>
      </c>
      <c r="E355" s="66">
        <v>10500</v>
      </c>
      <c r="F355" s="72"/>
      <c r="G355" s="67">
        <f>movimientos5488111431821[[#This Row],[MONTO]]-movimientos5488111431821[[#This Row],[SALIDAS]]</f>
        <v>10500</v>
      </c>
    </row>
    <row r="356" spans="2:7" x14ac:dyDescent="0.25">
      <c r="B356" s="93">
        <v>46000</v>
      </c>
      <c r="C356" s="51" t="s">
        <v>355</v>
      </c>
      <c r="D356" s="53" t="s">
        <v>121</v>
      </c>
      <c r="E356" s="66">
        <v>72900</v>
      </c>
      <c r="F356" s="72"/>
      <c r="G356" s="67">
        <f>movimientos5488111431821[[#This Row],[MONTO]]-movimientos5488111431821[[#This Row],[SALIDAS]]</f>
        <v>72900</v>
      </c>
    </row>
    <row r="357" spans="2:7" x14ac:dyDescent="0.25">
      <c r="B357" s="93">
        <v>46013</v>
      </c>
      <c r="C357" s="53" t="s">
        <v>374</v>
      </c>
      <c r="D357" s="53" t="s">
        <v>121</v>
      </c>
      <c r="E357" s="70">
        <v>24000</v>
      </c>
      <c r="F357" s="71"/>
      <c r="G357" s="73">
        <f>movimientos5488111431821[[#This Row],[MONTO]]-movimientos5488111431821[[#This Row],[SALIDAS]]</f>
        <v>24000</v>
      </c>
    </row>
    <row r="358" spans="2:7" x14ac:dyDescent="0.25">
      <c r="B358" s="93">
        <v>46013</v>
      </c>
      <c r="C358" s="53" t="s">
        <v>375</v>
      </c>
      <c r="D358" s="53" t="s">
        <v>121</v>
      </c>
      <c r="E358" s="70">
        <v>30000</v>
      </c>
      <c r="F358" s="71"/>
      <c r="G358" s="73">
        <f>movimientos5488111431821[[#This Row],[MONTO]]-movimientos5488111431821[[#This Row],[SALIDAS]]</f>
        <v>30000</v>
      </c>
    </row>
    <row r="359" spans="2:7" x14ac:dyDescent="0.25">
      <c r="B359" s="50">
        <v>46013</v>
      </c>
      <c r="C359" s="53" t="s">
        <v>27</v>
      </c>
      <c r="D359" s="53" t="s">
        <v>114</v>
      </c>
      <c r="E359" s="70">
        <v>17500</v>
      </c>
      <c r="F359" s="71"/>
      <c r="G359" s="73">
        <f>movimientos5488111431821[[#This Row],[MONTO]]-movimientos5488111431821[[#This Row],[SALIDAS]]</f>
        <v>17500</v>
      </c>
    </row>
    <row r="360" spans="2:7" x14ac:dyDescent="0.25">
      <c r="B360" s="50">
        <v>46013</v>
      </c>
      <c r="C360" s="53" t="s">
        <v>249</v>
      </c>
      <c r="D360" s="53" t="s">
        <v>114</v>
      </c>
      <c r="E360" s="70">
        <v>4000</v>
      </c>
      <c r="F360" s="71"/>
      <c r="G360" s="73">
        <f>movimientos5488111431821[[#This Row],[MONTO]]-movimientos5488111431821[[#This Row],[SALIDAS]]</f>
        <v>4000</v>
      </c>
    </row>
    <row r="361" spans="2:7" x14ac:dyDescent="0.25">
      <c r="B361" s="50">
        <v>46013</v>
      </c>
      <c r="C361" s="53" t="s">
        <v>367</v>
      </c>
      <c r="D361" s="53" t="s">
        <v>114</v>
      </c>
      <c r="E361" s="70">
        <v>100000</v>
      </c>
      <c r="F361" s="71"/>
      <c r="G361" s="73">
        <f>movimientos5488111431821[[#This Row],[MONTO]]-movimientos5488111431821[[#This Row],[SALIDAS]]</f>
        <v>100000</v>
      </c>
    </row>
    <row r="362" spans="2:7" x14ac:dyDescent="0.25">
      <c r="B362" s="93">
        <v>46007</v>
      </c>
      <c r="C362" s="53" t="s">
        <v>365</v>
      </c>
      <c r="D362" s="53" t="s">
        <v>114</v>
      </c>
      <c r="E362" s="70">
        <v>50000</v>
      </c>
      <c r="F362" s="71"/>
      <c r="G362" s="73">
        <f>movimientos5488111431821[[#This Row],[MONTO]]-movimientos5488111431821[[#This Row],[SALIDAS]]</f>
        <v>50000</v>
      </c>
    </row>
    <row r="363" spans="2:7" x14ac:dyDescent="0.25">
      <c r="B363" s="50">
        <v>46007</v>
      </c>
      <c r="C363" s="53" t="s">
        <v>361</v>
      </c>
      <c r="D363" s="53" t="s">
        <v>114</v>
      </c>
      <c r="E363" s="70">
        <v>100000</v>
      </c>
      <c r="F363" s="71"/>
      <c r="G363" s="73">
        <f>movimientos5488111431821[[#This Row],[MONTO]]-movimientos5488111431821[[#This Row],[SALIDAS]]</f>
        <v>100000</v>
      </c>
    </row>
    <row r="364" spans="2:7" x14ac:dyDescent="0.25">
      <c r="B364" s="93">
        <v>46013</v>
      </c>
      <c r="C364" s="53" t="s">
        <v>375</v>
      </c>
      <c r="D364" s="53" t="s">
        <v>114</v>
      </c>
      <c r="E364" s="70">
        <v>30000</v>
      </c>
      <c r="F364" s="72"/>
      <c r="G364" s="67">
        <f>movimientos5488111431821[[#This Row],[MONTO]]-movimientos5488111431821[[#This Row],[SALIDAS]]</f>
        <v>30000</v>
      </c>
    </row>
    <row r="365" spans="2:7" x14ac:dyDescent="0.25">
      <c r="B365" s="93">
        <v>46013</v>
      </c>
      <c r="C365" s="53" t="s">
        <v>380</v>
      </c>
      <c r="D365" s="53" t="s">
        <v>114</v>
      </c>
      <c r="E365" s="70">
        <v>100000</v>
      </c>
      <c r="F365" s="72"/>
      <c r="G365" s="67">
        <f>movimientos5488111431821[[#This Row],[MONTO]]-movimientos5488111431821[[#This Row],[SALIDAS]]</f>
        <v>100000</v>
      </c>
    </row>
    <row r="366" spans="2:7" x14ac:dyDescent="0.25">
      <c r="B366" s="50">
        <v>46013</v>
      </c>
      <c r="C366" s="51" t="s">
        <v>27</v>
      </c>
      <c r="D366" s="53" t="s">
        <v>119</v>
      </c>
      <c r="E366" s="66">
        <v>20500</v>
      </c>
      <c r="F366" s="72"/>
      <c r="G366" s="67">
        <f>movimientos5488111431821[[#This Row],[MONTO]]-movimientos5488111431821[[#This Row],[SALIDAS]]</f>
        <v>20500</v>
      </c>
    </row>
    <row r="367" spans="2:7" x14ac:dyDescent="0.25">
      <c r="B367" s="50">
        <v>46013</v>
      </c>
      <c r="C367" s="51" t="s">
        <v>366</v>
      </c>
      <c r="D367" s="53" t="s">
        <v>119</v>
      </c>
      <c r="E367" s="66">
        <v>50000</v>
      </c>
      <c r="F367" s="72"/>
      <c r="G367" s="67">
        <f>movimientos5488111431821[[#This Row],[MONTO]]-movimientos5488111431821[[#This Row],[SALIDAS]]</f>
        <v>50000</v>
      </c>
    </row>
    <row r="368" spans="2:7" x14ac:dyDescent="0.25">
      <c r="B368" s="50">
        <v>46013</v>
      </c>
      <c r="C368" s="51" t="s">
        <v>369</v>
      </c>
      <c r="D368" s="53" t="s">
        <v>119</v>
      </c>
      <c r="E368" s="66">
        <v>50000</v>
      </c>
      <c r="F368" s="72"/>
      <c r="G368" s="67">
        <f>movimientos5488111431821[[#This Row],[MONTO]]-movimientos5488111431821[[#This Row],[SALIDAS]]</f>
        <v>50000</v>
      </c>
    </row>
    <row r="369" spans="2:7" x14ac:dyDescent="0.25">
      <c r="B369" s="50">
        <v>46013</v>
      </c>
      <c r="C369" s="53" t="s">
        <v>368</v>
      </c>
      <c r="D369" s="53" t="s">
        <v>119</v>
      </c>
      <c r="E369" s="70">
        <v>50000</v>
      </c>
      <c r="F369" s="71"/>
      <c r="G369" s="73">
        <f>movimientos5488111431821[[#This Row],[MONTO]]-movimientos5488111431821[[#This Row],[SALIDAS]]</f>
        <v>50000</v>
      </c>
    </row>
    <row r="370" spans="2:7" x14ac:dyDescent="0.25">
      <c r="B370" s="50">
        <v>45993</v>
      </c>
      <c r="C370" s="53" t="s">
        <v>350</v>
      </c>
      <c r="D370" s="53" t="s">
        <v>119</v>
      </c>
      <c r="E370" s="70">
        <v>30000</v>
      </c>
      <c r="F370" s="71"/>
      <c r="G370" s="73">
        <f>movimientos5488111431821[[#This Row],[MONTO]]-movimientos5488111431821[[#This Row],[SALIDAS]]</f>
        <v>30000</v>
      </c>
    </row>
    <row r="371" spans="2:7" x14ac:dyDescent="0.25">
      <c r="B371" s="50">
        <v>45996</v>
      </c>
      <c r="C371" s="53" t="s">
        <v>352</v>
      </c>
      <c r="D371" s="53" t="s">
        <v>119</v>
      </c>
      <c r="E371" s="70">
        <v>450000</v>
      </c>
      <c r="F371" s="71"/>
      <c r="G371" s="73">
        <f>movimientos5488111431821[[#This Row],[MONTO]]-movimientos5488111431821[[#This Row],[SALIDAS]]</f>
        <v>450000</v>
      </c>
    </row>
    <row r="372" spans="2:7" x14ac:dyDescent="0.25">
      <c r="B372" s="50">
        <v>46003</v>
      </c>
      <c r="C372" s="53" t="s">
        <v>356</v>
      </c>
      <c r="D372" s="53" t="s">
        <v>119</v>
      </c>
      <c r="E372" s="70">
        <v>35000</v>
      </c>
      <c r="F372" s="71"/>
      <c r="G372" s="73">
        <f>movimientos5488111431821[[#This Row],[MONTO]]-movimientos5488111431821[[#This Row],[SALIDAS]]</f>
        <v>35000</v>
      </c>
    </row>
    <row r="373" spans="2:7" x14ac:dyDescent="0.25">
      <c r="B373" s="50">
        <v>46007</v>
      </c>
      <c r="C373" s="53" t="s">
        <v>360</v>
      </c>
      <c r="D373" s="53" t="s">
        <v>119</v>
      </c>
      <c r="E373" s="70">
        <v>40000</v>
      </c>
      <c r="F373" s="71"/>
      <c r="G373" s="73">
        <f>movimientos5488111431821[[#This Row],[MONTO]]-movimientos5488111431821[[#This Row],[SALIDAS]]</f>
        <v>40000</v>
      </c>
    </row>
    <row r="374" spans="2:7" x14ac:dyDescent="0.25">
      <c r="B374" s="93">
        <v>46007</v>
      </c>
      <c r="C374" s="53" t="s">
        <v>362</v>
      </c>
      <c r="D374" s="53" t="s">
        <v>119</v>
      </c>
      <c r="E374" s="70">
        <v>40000</v>
      </c>
      <c r="F374" s="71"/>
      <c r="G374" s="73">
        <f>movimientos5488111431821[[#This Row],[MONTO]]-movimientos5488111431821[[#This Row],[SALIDAS]]</f>
        <v>40000</v>
      </c>
    </row>
    <row r="375" spans="2:7" x14ac:dyDescent="0.25">
      <c r="B375" s="93">
        <v>46010</v>
      </c>
      <c r="C375" s="53" t="s">
        <v>363</v>
      </c>
      <c r="D375" s="53" t="s">
        <v>119</v>
      </c>
      <c r="E375" s="70">
        <v>80000</v>
      </c>
      <c r="F375" s="71"/>
      <c r="G375" s="73">
        <f>movimientos5488111431821[[#This Row],[MONTO]]-movimientos5488111431821[[#This Row],[SALIDAS]]</f>
        <v>80000</v>
      </c>
    </row>
    <row r="376" spans="2:7" x14ac:dyDescent="0.25">
      <c r="B376" s="50">
        <v>45997</v>
      </c>
      <c r="C376" s="53" t="s">
        <v>61</v>
      </c>
      <c r="D376" s="53" t="s">
        <v>119</v>
      </c>
      <c r="E376" s="70">
        <v>10000</v>
      </c>
      <c r="F376" s="71"/>
      <c r="G376" s="73">
        <f>movimientos5488111431821[[#This Row],[MONTO]]-movimientos5488111431821[[#This Row],[SALIDAS]]</f>
        <v>10000</v>
      </c>
    </row>
    <row r="377" spans="2:7" x14ac:dyDescent="0.25">
      <c r="B377" s="93">
        <v>46013</v>
      </c>
      <c r="C377" s="53" t="s">
        <v>373</v>
      </c>
      <c r="D377" s="53" t="s">
        <v>119</v>
      </c>
      <c r="E377" s="70">
        <v>10000</v>
      </c>
      <c r="F377" s="71"/>
      <c r="G377" s="73">
        <f>movimientos5488111431821[[#This Row],[MONTO]]-movimientos5488111431821[[#This Row],[SALIDAS]]</f>
        <v>10000</v>
      </c>
    </row>
    <row r="378" spans="2:7" x14ac:dyDescent="0.25">
      <c r="B378" s="94">
        <v>46013</v>
      </c>
      <c r="C378" s="53" t="s">
        <v>375</v>
      </c>
      <c r="D378" s="53" t="s">
        <v>119</v>
      </c>
      <c r="E378" s="70">
        <v>30000</v>
      </c>
      <c r="F378" s="71"/>
      <c r="G378" s="73">
        <f>movimientos5488111431821[[#This Row],[MONTO]]-movimientos5488111431821[[#This Row],[SALIDAS]]</f>
        <v>30000</v>
      </c>
    </row>
    <row r="379" spans="2:7" x14ac:dyDescent="0.25">
      <c r="B379" s="92">
        <v>46013</v>
      </c>
      <c r="C379" s="53" t="s">
        <v>378</v>
      </c>
      <c r="D379" s="53" t="s">
        <v>119</v>
      </c>
      <c r="E379" s="70">
        <v>12000</v>
      </c>
      <c r="F379" s="71"/>
      <c r="G379" s="73">
        <f>movimientos5488111431821[[#This Row],[MONTO]]-movimientos5488111431821[[#This Row],[SALIDAS]]</f>
        <v>12000</v>
      </c>
    </row>
    <row r="380" spans="2:7" x14ac:dyDescent="0.25">
      <c r="B380" s="94">
        <v>46009</v>
      </c>
      <c r="C380" s="53" t="s">
        <v>67</v>
      </c>
      <c r="D380" s="53" t="s">
        <v>247</v>
      </c>
      <c r="E380" s="70">
        <v>3000000</v>
      </c>
      <c r="F380" s="71"/>
      <c r="G380" s="73">
        <f>movimientos5488111431821[[#This Row],[MONTO]]-movimientos5488111431821[[#This Row],[SALIDAS]]</f>
        <v>3000000</v>
      </c>
    </row>
    <row r="381" spans="2:7" x14ac:dyDescent="0.25">
      <c r="B381" s="94">
        <v>46000</v>
      </c>
      <c r="C381" s="53" t="s">
        <v>346</v>
      </c>
      <c r="D381" s="53" t="s">
        <v>247</v>
      </c>
      <c r="E381" s="70">
        <v>2000000</v>
      </c>
      <c r="F381" s="71"/>
      <c r="G381" s="73">
        <f>movimientos5488111431821[[#This Row],[MONTO]]-movimientos5488111431821[[#This Row],[SALIDAS]]</f>
        <v>2000000</v>
      </c>
    </row>
    <row r="382" spans="2:7" x14ac:dyDescent="0.25">
      <c r="B382" s="94">
        <v>46000</v>
      </c>
      <c r="C382" s="53" t="s">
        <v>345</v>
      </c>
      <c r="D382" s="53" t="s">
        <v>247</v>
      </c>
      <c r="E382" s="70">
        <v>12200000</v>
      </c>
      <c r="F382" s="71"/>
      <c r="G382" s="73">
        <f>movimientos5488111431821[[#This Row],[MONTO]]-movimientos5488111431821[[#This Row],[SALIDAS]]</f>
        <v>12200000</v>
      </c>
    </row>
    <row r="383" spans="2:7" x14ac:dyDescent="0.25">
      <c r="B383" s="94">
        <v>45995</v>
      </c>
      <c r="C383" s="53" t="s">
        <v>351</v>
      </c>
      <c r="D383" s="53" t="s">
        <v>247</v>
      </c>
      <c r="E383" s="70">
        <v>70000</v>
      </c>
      <c r="F383" s="71"/>
      <c r="G383" s="73">
        <f>movimientos5488111431821[[#This Row],[MONTO]]-movimientos5488111431821[[#This Row],[SALIDAS]]</f>
        <v>70000</v>
      </c>
    </row>
    <row r="384" spans="2:7" x14ac:dyDescent="0.25">
      <c r="B384" s="92">
        <v>46013</v>
      </c>
      <c r="C384" s="53" t="s">
        <v>67</v>
      </c>
      <c r="D384" s="53" t="s">
        <v>247</v>
      </c>
      <c r="E384" s="70">
        <v>3000000</v>
      </c>
      <c r="F384" s="71"/>
      <c r="G384" s="73">
        <f>movimientos5488111431821[[#This Row],[MONTO]]-movimientos5488111431821[[#This Row],[SALIDAS]]</f>
        <v>3000000</v>
      </c>
    </row>
    <row r="385" spans="2:7" x14ac:dyDescent="0.25">
      <c r="B385" s="92">
        <v>46013</v>
      </c>
      <c r="C385" s="53" t="s">
        <v>381</v>
      </c>
      <c r="D385" s="53" t="s">
        <v>247</v>
      </c>
      <c r="E385" s="70">
        <v>300000</v>
      </c>
      <c r="F385" s="71"/>
      <c r="G385" s="73">
        <f>movimientos5488111431821[[#This Row],[MONTO]]-movimientos5488111431821[[#This Row],[SALIDAS]]</f>
        <v>300000</v>
      </c>
    </row>
    <row r="386" spans="2:7" x14ac:dyDescent="0.25">
      <c r="B386" s="92">
        <v>46013</v>
      </c>
      <c r="C386" s="53" t="s">
        <v>382</v>
      </c>
      <c r="D386" s="53" t="s">
        <v>247</v>
      </c>
      <c r="E386" s="70">
        <v>300000</v>
      </c>
      <c r="F386" s="71"/>
      <c r="G386" s="73">
        <f>movimientos5488111431821[[#This Row],[MONTO]]-movimientos5488111431821[[#This Row],[SALIDAS]]</f>
        <v>300000</v>
      </c>
    </row>
    <row r="387" spans="2:7" x14ac:dyDescent="0.25">
      <c r="B387" s="94">
        <v>45992</v>
      </c>
      <c r="C387" s="53" t="s">
        <v>343</v>
      </c>
      <c r="D387" s="53" t="s">
        <v>118</v>
      </c>
      <c r="E387" s="70">
        <v>250000</v>
      </c>
      <c r="F387" s="71"/>
      <c r="G387" s="73">
        <f>movimientos5488111431821[[#This Row],[MONTO]]-movimientos5488111431821[[#This Row],[SALIDAS]]</f>
        <v>250000</v>
      </c>
    </row>
    <row r="388" spans="2:7" x14ac:dyDescent="0.25">
      <c r="B388" s="92">
        <v>46007</v>
      </c>
      <c r="C388" s="51" t="s">
        <v>214</v>
      </c>
      <c r="D388" s="53" t="s">
        <v>118</v>
      </c>
      <c r="E388" s="66">
        <v>40000</v>
      </c>
      <c r="F388" s="71"/>
      <c r="G388" s="73">
        <f>movimientos5488111431821[[#This Row],[MONTO]]-movimientos5488111431821[[#This Row],[SALIDAS]]</f>
        <v>40000</v>
      </c>
    </row>
    <row r="389" spans="2:7" x14ac:dyDescent="0.25">
      <c r="B389" s="94">
        <v>45992</v>
      </c>
      <c r="C389" s="51" t="s">
        <v>344</v>
      </c>
      <c r="D389" s="53" t="s">
        <v>118</v>
      </c>
      <c r="E389" s="66">
        <v>37000</v>
      </c>
      <c r="F389" s="72"/>
      <c r="G389" s="67">
        <f>movimientos5488111431821[[#This Row],[MONTO]]-movimientos5488111431821[[#This Row],[SALIDAS]]</f>
        <v>37000</v>
      </c>
    </row>
    <row r="390" spans="2:7" x14ac:dyDescent="0.25">
      <c r="B390" s="94">
        <v>45997</v>
      </c>
      <c r="C390" s="53" t="s">
        <v>353</v>
      </c>
      <c r="D390" s="53" t="s">
        <v>118</v>
      </c>
      <c r="E390" s="70">
        <v>50000</v>
      </c>
      <c r="F390" s="71"/>
      <c r="G390" s="73">
        <f>movimientos5488111431821[[#This Row],[MONTO]]-movimientos5488111431821[[#This Row],[SALIDAS]]</f>
        <v>50000</v>
      </c>
    </row>
    <row r="391" spans="2:7" x14ac:dyDescent="0.25">
      <c r="B391" s="94">
        <v>46003</v>
      </c>
      <c r="C391" s="53" t="s">
        <v>359</v>
      </c>
      <c r="D391" s="53" t="s">
        <v>118</v>
      </c>
      <c r="E391" s="70">
        <v>50000</v>
      </c>
      <c r="F391" s="71"/>
      <c r="G391" s="73">
        <f>movimientos5488111431821[[#This Row],[MONTO]]-movimientos5488111431821[[#This Row],[SALIDAS]]</f>
        <v>50000</v>
      </c>
    </row>
    <row r="392" spans="2:7" x14ac:dyDescent="0.25">
      <c r="B392" s="92">
        <v>46011</v>
      </c>
      <c r="C392" s="53" t="s">
        <v>364</v>
      </c>
      <c r="D392" s="53" t="s">
        <v>118</v>
      </c>
      <c r="E392" s="70">
        <v>75000</v>
      </c>
      <c r="F392" s="71"/>
      <c r="G392" s="73">
        <f>movimientos5488111431821[[#This Row],[MONTO]]-movimientos5488111431821[[#This Row],[SALIDAS]]</f>
        <v>75000</v>
      </c>
    </row>
    <row r="393" spans="2:7" x14ac:dyDescent="0.25">
      <c r="B393" s="94">
        <v>46013</v>
      </c>
      <c r="C393" s="51" t="s">
        <v>371</v>
      </c>
      <c r="D393" s="53" t="s">
        <v>118</v>
      </c>
      <c r="E393" s="66">
        <v>100000</v>
      </c>
      <c r="F393" s="72"/>
      <c r="G393" s="67">
        <f>movimientos5488111431821[[#This Row],[MONTO]]-movimientos5488111431821[[#This Row],[SALIDAS]]</f>
        <v>100000</v>
      </c>
    </row>
    <row r="394" spans="2:7" x14ac:dyDescent="0.25">
      <c r="B394" s="94">
        <v>46013</v>
      </c>
      <c r="C394" s="51" t="s">
        <v>372</v>
      </c>
      <c r="D394" s="53" t="s">
        <v>118</v>
      </c>
      <c r="E394" s="66">
        <v>5000</v>
      </c>
      <c r="F394" s="72"/>
      <c r="G394" s="67">
        <f>movimientos5488111431821[[#This Row],[MONTO]]-movimientos5488111431821[[#This Row],[SALIDAS]]</f>
        <v>5000</v>
      </c>
    </row>
    <row r="395" spans="2:7" x14ac:dyDescent="0.25">
      <c r="B395" s="92">
        <v>46013</v>
      </c>
      <c r="C395" s="51" t="s">
        <v>375</v>
      </c>
      <c r="D395" s="53" t="s">
        <v>118</v>
      </c>
      <c r="E395" s="66">
        <v>30000</v>
      </c>
      <c r="F395" s="72"/>
      <c r="G395" s="67">
        <f>movimientos5488111431821[[#This Row],[MONTO]]-movimientos5488111431821[[#This Row],[SALIDAS]]</f>
        <v>30000</v>
      </c>
    </row>
    <row r="396" spans="2:7" x14ac:dyDescent="0.25">
      <c r="B396" s="94">
        <v>46013</v>
      </c>
      <c r="C396" s="51" t="s">
        <v>376</v>
      </c>
      <c r="D396" s="53" t="s">
        <v>118</v>
      </c>
      <c r="E396" s="66">
        <v>340000</v>
      </c>
      <c r="F396" s="72"/>
      <c r="G396" s="67">
        <f>movimientos5488111431821[[#This Row],[MONTO]]-movimientos5488111431821[[#This Row],[SALIDAS]]</f>
        <v>340000</v>
      </c>
    </row>
    <row r="397" spans="2:7" x14ac:dyDescent="0.25">
      <c r="B397" s="92">
        <v>46013</v>
      </c>
      <c r="C397" s="51" t="s">
        <v>378</v>
      </c>
      <c r="D397" s="53" t="s">
        <v>118</v>
      </c>
      <c r="E397" s="66">
        <v>12000</v>
      </c>
      <c r="F397" s="72"/>
      <c r="G397" s="67">
        <f>movimientos5488111431821[[#This Row],[MONTO]]-movimientos5488111431821[[#This Row],[SALIDAS]]</f>
        <v>12000</v>
      </c>
    </row>
    <row r="398" spans="2:7" x14ac:dyDescent="0.25">
      <c r="B398" s="94">
        <v>45993</v>
      </c>
      <c r="C398" s="51" t="s">
        <v>27</v>
      </c>
      <c r="D398" s="53" t="s">
        <v>126</v>
      </c>
      <c r="E398" s="66">
        <v>25500</v>
      </c>
      <c r="F398" s="72"/>
      <c r="G398" s="67">
        <f>movimientos5488111431821[[#This Row],[MONTO]]-movimientos5488111431821[[#This Row],[SALIDAS]]</f>
        <v>25500</v>
      </c>
    </row>
    <row r="399" spans="2:7" x14ac:dyDescent="0.25">
      <c r="B399" s="92">
        <v>46013</v>
      </c>
      <c r="C399" s="51" t="s">
        <v>56</v>
      </c>
      <c r="D399" s="53" t="s">
        <v>181</v>
      </c>
      <c r="E399" s="66">
        <v>71000</v>
      </c>
      <c r="F399" s="72"/>
      <c r="G399" s="67">
        <f>movimientos5488111431821[[#This Row],[MONTO]]-movimientos5488111431821[[#This Row],[SALIDAS]]</f>
        <v>71000</v>
      </c>
    </row>
    <row r="400" spans="2:7" x14ac:dyDescent="0.25">
      <c r="B400" s="92">
        <v>46013</v>
      </c>
      <c r="C400" s="51" t="s">
        <v>383</v>
      </c>
      <c r="D400" s="53" t="s">
        <v>118</v>
      </c>
      <c r="E400" s="66">
        <v>55018</v>
      </c>
      <c r="F400" s="72"/>
      <c r="G400" s="67">
        <f>movimientos5488111431821[[#This Row],[MONTO]]-movimientos5488111431821[[#This Row],[SALIDAS]]</f>
        <v>55018</v>
      </c>
    </row>
    <row r="403" spans="1:18" ht="31.5" x14ac:dyDescent="0.5">
      <c r="A403" s="181" t="s">
        <v>384</v>
      </c>
      <c r="B403" s="181"/>
      <c r="C403" s="181"/>
      <c r="D403" s="181"/>
      <c r="E403" s="181"/>
      <c r="F403" s="181"/>
      <c r="G403" s="181"/>
      <c r="H403" s="181"/>
      <c r="I403" s="181"/>
      <c r="J403" s="181"/>
      <c r="K403" s="181"/>
      <c r="L403" s="181"/>
      <c r="M403" s="181"/>
      <c r="N403" s="181"/>
      <c r="O403" s="181"/>
      <c r="P403" s="181"/>
      <c r="Q403" s="181"/>
      <c r="R403" s="181"/>
    </row>
    <row r="405" spans="1:18" x14ac:dyDescent="0.25">
      <c r="G405" t="s">
        <v>279</v>
      </c>
    </row>
    <row r="407" spans="1:18" x14ac:dyDescent="0.25">
      <c r="J407" s="46" t="s">
        <v>109</v>
      </c>
    </row>
    <row r="408" spans="1:18" x14ac:dyDescent="0.25">
      <c r="B408" s="46"/>
      <c r="J408" s="47" t="s">
        <v>110</v>
      </c>
      <c r="K408" s="47" t="s">
        <v>111</v>
      </c>
    </row>
    <row r="409" spans="1:18" x14ac:dyDescent="0.25">
      <c r="B409" s="47" t="s">
        <v>4</v>
      </c>
      <c r="C409" s="47" t="s">
        <v>112</v>
      </c>
      <c r="D409" s="47" t="s">
        <v>110</v>
      </c>
      <c r="E409" s="47" t="s">
        <v>8</v>
      </c>
      <c r="F409" s="47" t="s">
        <v>113</v>
      </c>
      <c r="G409" s="48" t="s">
        <v>111</v>
      </c>
      <c r="J409" s="49" t="s">
        <v>116</v>
      </c>
      <c r="K409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135486.94999999998</v>
      </c>
    </row>
    <row r="410" spans="1:18" x14ac:dyDescent="0.25">
      <c r="B410" s="50">
        <v>46034</v>
      </c>
      <c r="C410" s="53" t="s">
        <v>463</v>
      </c>
      <c r="D410" s="53" t="s">
        <v>116</v>
      </c>
      <c r="E410" s="70">
        <v>15000</v>
      </c>
      <c r="F410" s="69"/>
      <c r="G410" s="67">
        <f>movimientos548811143182122[[#This Row],[MONTO]]-movimientos548811143182122[[#This Row],[SALIDAS]]</f>
        <v>15000</v>
      </c>
      <c r="J410" s="51" t="s">
        <v>123</v>
      </c>
      <c r="K410" s="75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623861</v>
      </c>
    </row>
    <row r="411" spans="1:18" x14ac:dyDescent="0.25">
      <c r="B411" s="50">
        <v>46044</v>
      </c>
      <c r="C411" s="53" t="s">
        <v>583</v>
      </c>
      <c r="D411" s="53" t="s">
        <v>116</v>
      </c>
      <c r="E411" s="70">
        <v>10000</v>
      </c>
      <c r="F411" s="71"/>
      <c r="G411" s="67">
        <f>movimientos548811143182122[[#This Row],[MONTO]]-movimientos548811143182122[[#This Row],[SALIDAS]]</f>
        <v>10000</v>
      </c>
      <c r="J411" s="49" t="s">
        <v>181</v>
      </c>
      <c r="K411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0</v>
      </c>
    </row>
    <row r="412" spans="1:18" x14ac:dyDescent="0.25">
      <c r="B412" s="50">
        <v>46052</v>
      </c>
      <c r="C412" s="53" t="s">
        <v>27</v>
      </c>
      <c r="D412" s="53" t="s">
        <v>116</v>
      </c>
      <c r="E412" s="70">
        <v>30000</v>
      </c>
      <c r="F412" s="71"/>
      <c r="G412" s="67">
        <f>movimientos548811143182122[[#This Row],[MONTO]]-movimientos548811143182122[[#This Row],[SALIDAS]]</f>
        <v>30000</v>
      </c>
      <c r="J412" s="49" t="s">
        <v>121</v>
      </c>
      <c r="K412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1000</v>
      </c>
      <c r="N412" s="180"/>
      <c r="O412" s="180"/>
    </row>
    <row r="413" spans="1:18" x14ac:dyDescent="0.25">
      <c r="B413" s="50">
        <v>46052</v>
      </c>
      <c r="C413" s="51" t="s">
        <v>649</v>
      </c>
      <c r="D413" s="53" t="s">
        <v>116</v>
      </c>
      <c r="E413" s="66">
        <f>12959*1.19</f>
        <v>15421.21</v>
      </c>
      <c r="F413" s="72"/>
      <c r="G413" s="67">
        <f>movimientos548811143182122[[#This Row],[MONTO]]-movimientos548811143182122[[#This Row],[SALIDAS]]</f>
        <v>15421.21</v>
      </c>
      <c r="J413" s="49" t="s">
        <v>114</v>
      </c>
      <c r="K413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521500</v>
      </c>
      <c r="N413" s="180"/>
      <c r="O413" s="180"/>
    </row>
    <row r="414" spans="1:18" x14ac:dyDescent="0.25">
      <c r="B414" s="50">
        <v>46052</v>
      </c>
      <c r="C414" s="51" t="s">
        <v>650</v>
      </c>
      <c r="D414" s="53" t="s">
        <v>116</v>
      </c>
      <c r="E414" s="66">
        <f>6772*1.19</f>
        <v>8058.6799999999994</v>
      </c>
      <c r="F414" s="72"/>
      <c r="G414" s="67">
        <f>movimientos548811143182122[[#This Row],[MONTO]]-movimientos548811143182122[[#This Row],[SALIDAS]]</f>
        <v>8058.6799999999994</v>
      </c>
      <c r="J414" s="49" t="s">
        <v>119</v>
      </c>
      <c r="K414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1027000</v>
      </c>
    </row>
    <row r="415" spans="1:18" x14ac:dyDescent="0.25">
      <c r="B415" s="94">
        <v>46052</v>
      </c>
      <c r="C415" s="53" t="s">
        <v>651</v>
      </c>
      <c r="D415" s="53" t="s">
        <v>116</v>
      </c>
      <c r="E415" s="70">
        <f>4074*1.19</f>
        <v>4848.0599999999995</v>
      </c>
      <c r="F415" s="72"/>
      <c r="G415" s="67">
        <f>movimientos548811143182122[[#This Row],[MONTO]]-movimientos548811143182122[[#This Row],[SALIDAS]]</f>
        <v>4848.0599999999995</v>
      </c>
      <c r="J415" s="49" t="s">
        <v>118</v>
      </c>
      <c r="K415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1268518</v>
      </c>
    </row>
    <row r="416" spans="1:18" x14ac:dyDescent="0.25">
      <c r="B416" s="94">
        <v>46052</v>
      </c>
      <c r="C416" s="53" t="s">
        <v>652</v>
      </c>
      <c r="D416" s="53" t="s">
        <v>116</v>
      </c>
      <c r="E416" s="70">
        <v>52159</v>
      </c>
      <c r="F416" s="72"/>
      <c r="G416" s="67">
        <f>movimientos548811143182122[[#This Row],[MONTO]]-movimientos548811143182122[[#This Row],[SALIDAS]]</f>
        <v>52159</v>
      </c>
      <c r="J416" s="49" t="s">
        <v>126</v>
      </c>
      <c r="K416" s="68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50000</v>
      </c>
    </row>
    <row r="417" spans="2:11" x14ac:dyDescent="0.25">
      <c r="B417" s="94">
        <v>46035</v>
      </c>
      <c r="C417" s="53" t="s">
        <v>302</v>
      </c>
      <c r="D417" s="53" t="s">
        <v>123</v>
      </c>
      <c r="E417" s="70">
        <v>123861</v>
      </c>
      <c r="F417" s="72"/>
      <c r="G417" s="67">
        <f>movimientos548811143182122[[#This Row],[MONTO]]-movimientos548811143182122[[#This Row],[SALIDAS]]</f>
        <v>123861</v>
      </c>
      <c r="J417" s="90" t="s">
        <v>253</v>
      </c>
      <c r="K417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0</v>
      </c>
    </row>
    <row r="418" spans="2:11" x14ac:dyDescent="0.25">
      <c r="B418" s="94">
        <v>46027</v>
      </c>
      <c r="C418" s="53" t="s">
        <v>509</v>
      </c>
      <c r="D418" s="53" t="s">
        <v>123</v>
      </c>
      <c r="E418" s="70">
        <v>370000</v>
      </c>
      <c r="F418" s="72"/>
      <c r="G418" s="67">
        <f>movimientos548811143182122[[#This Row],[MONTO]]-movimientos548811143182122[[#This Row],[SALIDAS]]</f>
        <v>370000</v>
      </c>
      <c r="J418" s="90" t="s">
        <v>247</v>
      </c>
      <c r="K418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11700699</v>
      </c>
    </row>
    <row r="419" spans="2:11" x14ac:dyDescent="0.25">
      <c r="B419" s="94">
        <v>46039</v>
      </c>
      <c r="C419" s="53" t="s">
        <v>642</v>
      </c>
      <c r="D419" s="53" t="s">
        <v>123</v>
      </c>
      <c r="E419" s="70">
        <v>50000</v>
      </c>
      <c r="F419" s="72"/>
      <c r="G419" s="67">
        <f>movimientos548811143182122[[#This Row],[MONTO]]-movimientos548811143182122[[#This Row],[SALIDAS]]</f>
        <v>50000</v>
      </c>
      <c r="J419" s="90" t="s">
        <v>645</v>
      </c>
      <c r="K419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50000</v>
      </c>
    </row>
    <row r="420" spans="2:11" x14ac:dyDescent="0.25">
      <c r="B420" s="50">
        <v>46052</v>
      </c>
      <c r="C420" s="51" t="s">
        <v>337</v>
      </c>
      <c r="D420" s="53" t="s">
        <v>123</v>
      </c>
      <c r="E420" s="66">
        <v>28000</v>
      </c>
      <c r="F420" s="72"/>
      <c r="G420" s="67">
        <f>movimientos548811143182122[[#This Row],[MONTO]]-movimientos548811143182122[[#This Row],[SALIDAS]]</f>
        <v>28000</v>
      </c>
      <c r="J420" s="90" t="s">
        <v>665</v>
      </c>
      <c r="K420" s="91">
        <f>SUMIF(movimientos548811143182122[COLABORADOR],resumen_caja55891213242019[[#This Row],[COLABORADOR]],movimientos548811143182122[MONTO])-SUMIF(movimientos548811143182122[COLABORADOR],resumen_caja55891213242019[[#This Row],[COLABORADOR]],movimientos548811143182122[SALIDAS])</f>
        <v>20500</v>
      </c>
    </row>
    <row r="421" spans="2:11" x14ac:dyDescent="0.25">
      <c r="B421" s="50">
        <v>46052</v>
      </c>
      <c r="C421" s="51" t="s">
        <v>138</v>
      </c>
      <c r="D421" s="53" t="s">
        <v>123</v>
      </c>
      <c r="E421" s="66">
        <v>22000</v>
      </c>
      <c r="F421" s="72"/>
      <c r="G421" s="67">
        <f>movimientos548811143182122[[#This Row],[MONTO]]-movimientos548811143182122[[#This Row],[SALIDAS]]</f>
        <v>22000</v>
      </c>
    </row>
    <row r="422" spans="2:11" x14ac:dyDescent="0.25">
      <c r="B422" s="50">
        <v>46052</v>
      </c>
      <c r="C422" s="51" t="s">
        <v>375</v>
      </c>
      <c r="D422" s="53" t="s">
        <v>123</v>
      </c>
      <c r="E422" s="66">
        <v>30000</v>
      </c>
      <c r="F422" s="72"/>
      <c r="G422" s="67">
        <f>movimientos548811143182122[[#This Row],[MONTO]]-movimientos548811143182122[[#This Row],[SALIDAS]]</f>
        <v>30000</v>
      </c>
    </row>
    <row r="423" spans="2:11" x14ac:dyDescent="0.25">
      <c r="B423" s="50">
        <v>46052</v>
      </c>
      <c r="C423" s="51" t="s">
        <v>156</v>
      </c>
      <c r="D423" s="53" t="s">
        <v>121</v>
      </c>
      <c r="E423" s="66">
        <v>1000</v>
      </c>
      <c r="F423" s="72"/>
      <c r="G423" s="67">
        <f>movimientos548811143182122[[#This Row],[MONTO]]-movimientos548811143182122[[#This Row],[SALIDAS]]</f>
        <v>1000</v>
      </c>
    </row>
    <row r="424" spans="2:11" x14ac:dyDescent="0.25">
      <c r="B424" s="50">
        <v>46052</v>
      </c>
      <c r="C424" s="53" t="s">
        <v>390</v>
      </c>
      <c r="D424" s="53" t="s">
        <v>114</v>
      </c>
      <c r="E424" s="70">
        <v>20000</v>
      </c>
      <c r="F424" s="71"/>
      <c r="G424" s="73">
        <f>movimientos548811143182122[[#This Row],[MONTO]]-movimientos548811143182122[[#This Row],[SALIDAS]]</f>
        <v>20000</v>
      </c>
      <c r="J424" t="s">
        <v>80</v>
      </c>
    </row>
    <row r="425" spans="2:11" x14ac:dyDescent="0.25">
      <c r="B425" s="50">
        <v>46031</v>
      </c>
      <c r="C425" s="53" t="s">
        <v>455</v>
      </c>
      <c r="D425" s="53" t="s">
        <v>114</v>
      </c>
      <c r="E425" s="70">
        <v>150000</v>
      </c>
      <c r="F425" s="71"/>
      <c r="G425" s="73">
        <f>movimientos548811143182122[[#This Row],[MONTO]]-movimientos548811143182122[[#This Row],[SALIDAS]]</f>
        <v>150000</v>
      </c>
    </row>
    <row r="426" spans="2:11" x14ac:dyDescent="0.25">
      <c r="B426" s="50">
        <v>46041</v>
      </c>
      <c r="C426" s="53" t="s">
        <v>646</v>
      </c>
      <c r="D426" s="53" t="s">
        <v>114</v>
      </c>
      <c r="E426" s="70">
        <v>100000</v>
      </c>
      <c r="F426" s="71"/>
      <c r="G426" s="73">
        <f>movimientos548811143182122[[#This Row],[MONTO]]-movimientos548811143182122[[#This Row],[SALIDAS]]</f>
        <v>100000</v>
      </c>
    </row>
    <row r="427" spans="2:11" x14ac:dyDescent="0.25">
      <c r="B427" s="50">
        <v>46052</v>
      </c>
      <c r="C427" s="53" t="s">
        <v>653</v>
      </c>
      <c r="D427" s="53" t="s">
        <v>114</v>
      </c>
      <c r="E427" s="70">
        <v>100000</v>
      </c>
      <c r="F427" s="71"/>
      <c r="G427" s="73">
        <f>movimientos548811143182122[[#This Row],[MONTO]]-movimientos548811143182122[[#This Row],[SALIDAS]]</f>
        <v>100000</v>
      </c>
    </row>
    <row r="428" spans="2:11" x14ac:dyDescent="0.25">
      <c r="B428" s="50">
        <v>46052</v>
      </c>
      <c r="C428" s="53" t="s">
        <v>375</v>
      </c>
      <c r="D428" s="53" t="s">
        <v>114</v>
      </c>
      <c r="E428" s="70">
        <v>30000</v>
      </c>
      <c r="F428" s="71"/>
      <c r="G428" s="73">
        <f>movimientos548811143182122[[#This Row],[MONTO]]-movimientos548811143182122[[#This Row],[SALIDAS]]</f>
        <v>30000</v>
      </c>
    </row>
    <row r="429" spans="2:11" x14ac:dyDescent="0.25">
      <c r="B429" s="50">
        <v>46052</v>
      </c>
      <c r="C429" s="53" t="s">
        <v>654</v>
      </c>
      <c r="D429" s="53" t="s">
        <v>114</v>
      </c>
      <c r="E429" s="70">
        <v>100000</v>
      </c>
      <c r="F429" s="71"/>
      <c r="G429" s="73">
        <f>movimientos548811143182122[[#This Row],[MONTO]]-movimientos548811143182122[[#This Row],[SALIDAS]]</f>
        <v>100000</v>
      </c>
    </row>
    <row r="430" spans="2:11" x14ac:dyDescent="0.25">
      <c r="B430" s="50">
        <v>46052</v>
      </c>
      <c r="C430" s="53" t="s">
        <v>27</v>
      </c>
      <c r="D430" s="53" t="s">
        <v>114</v>
      </c>
      <c r="E430" s="70">
        <v>21500</v>
      </c>
      <c r="F430" s="72"/>
      <c r="G430" s="67">
        <f>movimientos548811143182122[[#This Row],[MONTO]]-movimientos548811143182122[[#This Row],[SALIDAS]]</f>
        <v>21500</v>
      </c>
    </row>
    <row r="431" spans="2:11" x14ac:dyDescent="0.25">
      <c r="B431" s="50">
        <v>46052</v>
      </c>
      <c r="C431" s="53" t="s">
        <v>386</v>
      </c>
      <c r="D431" s="53" t="s">
        <v>119</v>
      </c>
      <c r="E431" s="70">
        <v>57500</v>
      </c>
      <c r="F431" s="72"/>
      <c r="G431" s="67">
        <f>movimientos548811143182122[[#This Row],[MONTO]]-movimientos548811143182122[[#This Row],[SALIDAS]]</f>
        <v>57500</v>
      </c>
    </row>
    <row r="432" spans="2:11" x14ac:dyDescent="0.25">
      <c r="B432" s="50">
        <v>46052</v>
      </c>
      <c r="C432" s="51" t="s">
        <v>405</v>
      </c>
      <c r="D432" s="53" t="s">
        <v>119</v>
      </c>
      <c r="E432" s="66">
        <v>90000</v>
      </c>
      <c r="F432" s="72"/>
      <c r="G432" s="67">
        <f>movimientos548811143182122[[#This Row],[MONTO]]-movimientos548811143182122[[#This Row],[SALIDAS]]</f>
        <v>90000</v>
      </c>
    </row>
    <row r="433" spans="2:7" x14ac:dyDescent="0.25">
      <c r="B433" s="50">
        <v>46030</v>
      </c>
      <c r="C433" s="51" t="s">
        <v>457</v>
      </c>
      <c r="D433" s="53" t="s">
        <v>119</v>
      </c>
      <c r="E433" s="66">
        <v>200000</v>
      </c>
      <c r="F433" s="72"/>
      <c r="G433" s="67">
        <f>movimientos548811143182122[[#This Row],[MONTO]]-movimientos548811143182122[[#This Row],[SALIDAS]]</f>
        <v>200000</v>
      </c>
    </row>
    <row r="434" spans="2:7" x14ac:dyDescent="0.25">
      <c r="B434" s="50">
        <v>46037</v>
      </c>
      <c r="C434" s="51" t="s">
        <v>573</v>
      </c>
      <c r="D434" s="53" t="s">
        <v>119</v>
      </c>
      <c r="E434" s="66">
        <v>200000</v>
      </c>
      <c r="F434" s="72"/>
      <c r="G434" s="67">
        <f>movimientos548811143182122[[#This Row],[MONTO]]-movimientos548811143182122[[#This Row],[SALIDAS]]</f>
        <v>200000</v>
      </c>
    </row>
    <row r="435" spans="2:7" x14ac:dyDescent="0.25">
      <c r="B435" s="50">
        <v>46052</v>
      </c>
      <c r="C435" s="53" t="s">
        <v>655</v>
      </c>
      <c r="D435" s="53" t="s">
        <v>119</v>
      </c>
      <c r="E435" s="70">
        <v>50000</v>
      </c>
      <c r="F435" s="71"/>
      <c r="G435" s="73">
        <f>movimientos548811143182122[[#This Row],[MONTO]]-movimientos548811143182122[[#This Row],[SALIDAS]]</f>
        <v>50000</v>
      </c>
    </row>
    <row r="436" spans="2:7" x14ac:dyDescent="0.25">
      <c r="B436" s="50">
        <v>46052</v>
      </c>
      <c r="C436" s="53" t="s">
        <v>236</v>
      </c>
      <c r="D436" s="53" t="s">
        <v>119</v>
      </c>
      <c r="E436" s="70">
        <v>12000</v>
      </c>
      <c r="F436" s="71"/>
      <c r="G436" s="73">
        <f>movimientos548811143182122[[#This Row],[MONTO]]-movimientos548811143182122[[#This Row],[SALIDAS]]</f>
        <v>12000</v>
      </c>
    </row>
    <row r="437" spans="2:7" x14ac:dyDescent="0.25">
      <c r="B437" s="50">
        <v>46052</v>
      </c>
      <c r="C437" s="53" t="s">
        <v>655</v>
      </c>
      <c r="D437" s="53" t="s">
        <v>119</v>
      </c>
      <c r="E437" s="70">
        <v>50000</v>
      </c>
      <c r="F437" s="71"/>
      <c r="G437" s="73">
        <f>movimientos548811143182122[[#This Row],[MONTO]]-movimientos548811143182122[[#This Row],[SALIDAS]]</f>
        <v>50000</v>
      </c>
    </row>
    <row r="438" spans="2:7" x14ac:dyDescent="0.25">
      <c r="B438" s="50" t="s">
        <v>656</v>
      </c>
      <c r="C438" s="53" t="s">
        <v>657</v>
      </c>
      <c r="D438" s="53" t="s">
        <v>119</v>
      </c>
      <c r="E438" s="70">
        <v>100000</v>
      </c>
      <c r="F438" s="71"/>
      <c r="G438" s="73">
        <f>movimientos548811143182122[[#This Row],[MONTO]]-movimientos548811143182122[[#This Row],[SALIDAS]]</f>
        <v>100000</v>
      </c>
    </row>
    <row r="439" spans="2:7" x14ac:dyDescent="0.25">
      <c r="B439" s="50" t="s">
        <v>656</v>
      </c>
      <c r="C439" s="53" t="s">
        <v>658</v>
      </c>
      <c r="D439" s="53" t="s">
        <v>119</v>
      </c>
      <c r="E439" s="70">
        <v>150000</v>
      </c>
      <c r="F439" s="71"/>
      <c r="G439" s="73">
        <f>movimientos548811143182122[[#This Row],[MONTO]]-movimientos548811143182122[[#This Row],[SALIDAS]]</f>
        <v>150000</v>
      </c>
    </row>
    <row r="440" spans="2:7" x14ac:dyDescent="0.25">
      <c r="B440" s="50">
        <v>46052</v>
      </c>
      <c r="C440" s="53" t="s">
        <v>27</v>
      </c>
      <c r="D440" s="53" t="s">
        <v>119</v>
      </c>
      <c r="E440" s="70">
        <v>17500</v>
      </c>
      <c r="F440" s="71"/>
      <c r="G440" s="73">
        <f>movimientos548811143182122[[#This Row],[MONTO]]-movimientos548811143182122[[#This Row],[SALIDAS]]</f>
        <v>17500</v>
      </c>
    </row>
    <row r="441" spans="2:7" x14ac:dyDescent="0.25">
      <c r="B441" s="50">
        <v>46000</v>
      </c>
      <c r="C441" s="53" t="s">
        <v>458</v>
      </c>
      <c r="D441" s="53" t="s">
        <v>247</v>
      </c>
      <c r="E441" s="70">
        <v>2000000</v>
      </c>
      <c r="F441" s="71"/>
      <c r="G441" s="73">
        <f>movimientos548811143182122[[#This Row],[MONTO]]-movimientos548811143182122[[#This Row],[SALIDAS]]</f>
        <v>2000000</v>
      </c>
    </row>
    <row r="442" spans="2:7" x14ac:dyDescent="0.25">
      <c r="B442" s="50">
        <v>46000</v>
      </c>
      <c r="C442" s="53" t="s">
        <v>459</v>
      </c>
      <c r="D442" s="53" t="s">
        <v>247</v>
      </c>
      <c r="E442" s="70">
        <v>12200000</v>
      </c>
      <c r="F442" s="71"/>
      <c r="G442" s="73">
        <f>movimientos548811143182122[[#This Row],[MONTO]]-movimientos548811143182122[[#This Row],[SALIDAS]]</f>
        <v>12200000</v>
      </c>
    </row>
    <row r="443" spans="2:7" x14ac:dyDescent="0.25">
      <c r="B443" s="50">
        <v>45995</v>
      </c>
      <c r="C443" s="53" t="s">
        <v>351</v>
      </c>
      <c r="D443" s="53" t="s">
        <v>247</v>
      </c>
      <c r="E443" s="70">
        <v>70000</v>
      </c>
      <c r="F443" s="71"/>
      <c r="G443" s="73">
        <f>movimientos548811143182122[[#This Row],[MONTO]]-movimientos548811143182122[[#This Row],[SALIDAS]]</f>
        <v>70000</v>
      </c>
    </row>
    <row r="444" spans="2:7" x14ac:dyDescent="0.25">
      <c r="B444" s="93">
        <v>46013</v>
      </c>
      <c r="C444" s="53" t="s">
        <v>381</v>
      </c>
      <c r="D444" s="53" t="s">
        <v>247</v>
      </c>
      <c r="E444" s="70">
        <v>300000</v>
      </c>
      <c r="F444" s="71"/>
      <c r="G444" s="73">
        <f>movimientos548811143182122[[#This Row],[MONTO]]-movimientos548811143182122[[#This Row],[SALIDAS]]</f>
        <v>300000</v>
      </c>
    </row>
    <row r="445" spans="2:7" x14ac:dyDescent="0.25">
      <c r="B445" s="93">
        <v>46013</v>
      </c>
      <c r="C445" s="53" t="s">
        <v>382</v>
      </c>
      <c r="D445" s="53" t="s">
        <v>247</v>
      </c>
      <c r="E445" s="70">
        <v>300000</v>
      </c>
      <c r="F445" s="71"/>
      <c r="G445" s="73">
        <f>movimientos548811143182122[[#This Row],[MONTO]]-movimientos548811143182122[[#This Row],[SALIDAS]]</f>
        <v>300000</v>
      </c>
    </row>
    <row r="446" spans="2:7" x14ac:dyDescent="0.25">
      <c r="B446" s="50">
        <v>46027</v>
      </c>
      <c r="C446" s="53" t="s">
        <v>156</v>
      </c>
      <c r="D446" s="53" t="s">
        <v>247</v>
      </c>
      <c r="E446" s="70">
        <v>1000000</v>
      </c>
      <c r="F446" s="71"/>
      <c r="G446" s="73">
        <f>movimientos548811143182122[[#This Row],[MONTO]]-movimientos548811143182122[[#This Row],[SALIDAS]]</f>
        <v>1000000</v>
      </c>
    </row>
    <row r="447" spans="2:7" x14ac:dyDescent="0.25">
      <c r="B447" s="50">
        <v>46024</v>
      </c>
      <c r="C447" s="53" t="s">
        <v>460</v>
      </c>
      <c r="D447" s="53" t="s">
        <v>247</v>
      </c>
      <c r="E447" s="113">
        <v>-5609000</v>
      </c>
      <c r="F447" s="71"/>
      <c r="G447" s="73">
        <f>movimientos548811143182122[[#This Row],[MONTO]]-movimientos548811143182122[[#This Row],[SALIDAS]]</f>
        <v>-5609000</v>
      </c>
    </row>
    <row r="448" spans="2:7" x14ac:dyDescent="0.25">
      <c r="B448" s="50">
        <v>46053</v>
      </c>
      <c r="C448" s="53" t="s">
        <v>450</v>
      </c>
      <c r="D448" s="53" t="s">
        <v>247</v>
      </c>
      <c r="E448" s="70">
        <v>1122682</v>
      </c>
      <c r="F448" s="71"/>
      <c r="G448" s="73">
        <f>movimientos548811143182122[[#This Row],[MONTO]]-movimientos548811143182122[[#This Row],[SALIDAS]]</f>
        <v>1122682</v>
      </c>
    </row>
    <row r="449" spans="2:7" x14ac:dyDescent="0.25">
      <c r="B449" s="50">
        <v>46053</v>
      </c>
      <c r="C449" s="53" t="s">
        <v>469</v>
      </c>
      <c r="D449" s="53" t="s">
        <v>247</v>
      </c>
      <c r="E449" s="70">
        <v>200000</v>
      </c>
      <c r="F449" s="71"/>
      <c r="G449" s="73">
        <f>movimientos548811143182122[[#This Row],[MONTO]]-movimientos548811143182122[[#This Row],[SALIDAS]]</f>
        <v>200000</v>
      </c>
    </row>
    <row r="450" spans="2:7" x14ac:dyDescent="0.25">
      <c r="B450" s="50">
        <v>46035</v>
      </c>
      <c r="C450" s="53" t="s">
        <v>470</v>
      </c>
      <c r="D450" s="53" t="s">
        <v>247</v>
      </c>
      <c r="E450" s="113">
        <v>-963900</v>
      </c>
      <c r="F450" s="71"/>
      <c r="G450" s="73">
        <f>movimientos548811143182122[[#This Row],[MONTO]]-movimientos548811143182122[[#This Row],[SALIDAS]]</f>
        <v>-963900</v>
      </c>
    </row>
    <row r="451" spans="2:7" x14ac:dyDescent="0.25">
      <c r="B451" s="50">
        <v>46038</v>
      </c>
      <c r="C451" s="53" t="s">
        <v>575</v>
      </c>
      <c r="D451" s="53" t="s">
        <v>247</v>
      </c>
      <c r="E451" s="70">
        <v>100000</v>
      </c>
      <c r="F451" s="71"/>
      <c r="G451" s="73">
        <f>movimientos548811143182122[[#This Row],[MONTO]]-movimientos548811143182122[[#This Row],[SALIDAS]]</f>
        <v>100000</v>
      </c>
    </row>
    <row r="452" spans="2:7" x14ac:dyDescent="0.25">
      <c r="B452" s="50">
        <v>46039</v>
      </c>
      <c r="C452" s="53" t="s">
        <v>156</v>
      </c>
      <c r="D452" s="53" t="s">
        <v>247</v>
      </c>
      <c r="E452" s="113">
        <v>-2000000</v>
      </c>
      <c r="F452" s="71"/>
      <c r="G452" s="73">
        <f>movimientos548811143182122[[#This Row],[MONTO]]-movimientos548811143182122[[#This Row],[SALIDAS]]</f>
        <v>-2000000</v>
      </c>
    </row>
    <row r="453" spans="2:7" x14ac:dyDescent="0.25">
      <c r="B453" s="50">
        <v>46043</v>
      </c>
      <c r="C453" s="53" t="s">
        <v>460</v>
      </c>
      <c r="D453" s="53" t="s">
        <v>247</v>
      </c>
      <c r="E453" s="113">
        <v>-5080000</v>
      </c>
      <c r="F453" s="71"/>
      <c r="G453" s="73">
        <f>movimientos548811143182122[[#This Row],[MONTO]]-movimientos548811143182122[[#This Row],[SALIDAS]]</f>
        <v>-5080000</v>
      </c>
    </row>
    <row r="454" spans="2:7" x14ac:dyDescent="0.25">
      <c r="B454" s="50">
        <v>46046</v>
      </c>
      <c r="C454" s="51" t="s">
        <v>603</v>
      </c>
      <c r="D454" s="53" t="s">
        <v>247</v>
      </c>
      <c r="E454" s="66">
        <v>5000000</v>
      </c>
      <c r="F454" s="71"/>
      <c r="G454" s="73">
        <f>movimientos548811143182122[[#This Row],[MONTO]]-movimientos548811143182122[[#This Row],[SALIDAS]]</f>
        <v>5000000</v>
      </c>
    </row>
    <row r="455" spans="2:7" x14ac:dyDescent="0.25">
      <c r="B455" s="50">
        <v>46041</v>
      </c>
      <c r="C455" s="53" t="s">
        <v>644</v>
      </c>
      <c r="D455" s="53" t="s">
        <v>645</v>
      </c>
      <c r="E455" s="66">
        <v>50000</v>
      </c>
      <c r="F455" s="72"/>
      <c r="G455" s="67">
        <f>movimientos548811143182122[[#This Row],[MONTO]]-movimientos548811143182122[[#This Row],[SALIDAS]]</f>
        <v>50000</v>
      </c>
    </row>
    <row r="456" spans="2:7" x14ac:dyDescent="0.25">
      <c r="B456" s="50">
        <v>46052</v>
      </c>
      <c r="C456" s="53" t="s">
        <v>385</v>
      </c>
      <c r="D456" s="53" t="s">
        <v>118</v>
      </c>
      <c r="E456" s="70">
        <v>170000</v>
      </c>
      <c r="F456" s="71"/>
      <c r="G456" s="73">
        <f>movimientos548811143182122[[#This Row],[MONTO]]-movimientos548811143182122[[#This Row],[SALIDAS]]</f>
        <v>170000</v>
      </c>
    </row>
    <row r="457" spans="2:7" x14ac:dyDescent="0.25">
      <c r="B457" s="50">
        <v>46029</v>
      </c>
      <c r="C457" s="53" t="s">
        <v>426</v>
      </c>
      <c r="D457" s="53" t="s">
        <v>118</v>
      </c>
      <c r="E457" s="70">
        <v>10000</v>
      </c>
      <c r="F457" s="71"/>
      <c r="G457" s="73">
        <f>movimientos548811143182122[[#This Row],[MONTO]]-movimientos548811143182122[[#This Row],[SALIDAS]]</f>
        <v>10000</v>
      </c>
    </row>
    <row r="458" spans="2:7" x14ac:dyDescent="0.25">
      <c r="B458" s="50">
        <v>46021</v>
      </c>
      <c r="C458" s="53" t="s">
        <v>453</v>
      </c>
      <c r="D458" s="53" t="s">
        <v>118</v>
      </c>
      <c r="E458" s="70">
        <v>200000</v>
      </c>
      <c r="F458" s="71"/>
      <c r="G458" s="73">
        <f>movimientos548811143182122[[#This Row],[MONTO]]-movimientos548811143182122[[#This Row],[SALIDAS]]</f>
        <v>200000</v>
      </c>
    </row>
    <row r="459" spans="2:7" x14ac:dyDescent="0.25">
      <c r="B459" s="50">
        <v>46027</v>
      </c>
      <c r="C459" s="51" t="s">
        <v>641</v>
      </c>
      <c r="D459" s="53" t="s">
        <v>118</v>
      </c>
      <c r="E459" s="66">
        <v>200000</v>
      </c>
      <c r="F459" s="72"/>
      <c r="G459" s="67">
        <f>movimientos548811143182122[[#This Row],[MONTO]]-movimientos548811143182122[[#This Row],[SALIDAS]]</f>
        <v>200000</v>
      </c>
    </row>
    <row r="460" spans="2:7" x14ac:dyDescent="0.25">
      <c r="B460" s="50">
        <v>46034</v>
      </c>
      <c r="C460" s="51" t="s">
        <v>454</v>
      </c>
      <c r="D460" s="53" t="s">
        <v>118</v>
      </c>
      <c r="E460" s="66">
        <v>100000</v>
      </c>
      <c r="F460" s="72"/>
      <c r="G460" s="67">
        <f>movimientos548811143182122[[#This Row],[MONTO]]-movimientos548811143182122[[#This Row],[SALIDAS]]</f>
        <v>100000</v>
      </c>
    </row>
    <row r="461" spans="2:7" x14ac:dyDescent="0.25">
      <c r="B461" s="50">
        <v>46045</v>
      </c>
      <c r="C461" s="53" t="s">
        <v>230</v>
      </c>
      <c r="D461" s="53" t="s">
        <v>118</v>
      </c>
      <c r="E461" s="66">
        <v>5000</v>
      </c>
      <c r="F461" s="72"/>
      <c r="G461" s="67">
        <f>movimientos548811143182122[[#This Row],[MONTO]]-movimientos548811143182122[[#This Row],[SALIDAS]]</f>
        <v>5000</v>
      </c>
    </row>
    <row r="462" spans="2:7" x14ac:dyDescent="0.25">
      <c r="B462" s="50">
        <v>46041</v>
      </c>
      <c r="C462" s="51" t="s">
        <v>643</v>
      </c>
      <c r="D462" s="53" t="s">
        <v>118</v>
      </c>
      <c r="E462" s="66">
        <v>20000</v>
      </c>
      <c r="F462" s="72"/>
      <c r="G462" s="67">
        <f>movimientos548811143182122[[#This Row],[MONTO]]-movimientos548811143182122[[#This Row],[SALIDAS]]</f>
        <v>20000</v>
      </c>
    </row>
    <row r="463" spans="2:7" x14ac:dyDescent="0.25">
      <c r="B463" s="50">
        <v>46044</v>
      </c>
      <c r="C463" s="53" t="s">
        <v>647</v>
      </c>
      <c r="D463" s="53" t="s">
        <v>118</v>
      </c>
      <c r="E463" s="66">
        <v>50000</v>
      </c>
      <c r="F463" s="72"/>
      <c r="G463" s="67">
        <f>movimientos548811143182122[[#This Row],[MONTO]]-movimientos548811143182122[[#This Row],[SALIDAS]]</f>
        <v>50000</v>
      </c>
    </row>
    <row r="464" spans="2:7" x14ac:dyDescent="0.25">
      <c r="B464" s="50">
        <v>46051</v>
      </c>
      <c r="C464" s="51" t="s">
        <v>648</v>
      </c>
      <c r="D464" s="53" t="s">
        <v>118</v>
      </c>
      <c r="E464" s="66">
        <v>20000</v>
      </c>
      <c r="F464" s="72"/>
      <c r="G464" s="67">
        <f>movimientos548811143182122[[#This Row],[MONTO]]-movimientos548811143182122[[#This Row],[SALIDAS]]</f>
        <v>20000</v>
      </c>
    </row>
    <row r="465" spans="1:18" x14ac:dyDescent="0.25">
      <c r="B465" s="50">
        <v>46052</v>
      </c>
      <c r="C465" s="51" t="s">
        <v>659</v>
      </c>
      <c r="D465" s="53" t="s">
        <v>118</v>
      </c>
      <c r="E465" s="66">
        <v>250000</v>
      </c>
      <c r="F465" s="72"/>
      <c r="G465" s="67">
        <f>movimientos548811143182122[[#This Row],[MONTO]]-movimientos548811143182122[[#This Row],[SALIDAS]]</f>
        <v>250000</v>
      </c>
    </row>
    <row r="466" spans="1:18" x14ac:dyDescent="0.25">
      <c r="B466" s="50">
        <v>46052</v>
      </c>
      <c r="C466" s="51" t="s">
        <v>660</v>
      </c>
      <c r="D466" s="53" t="s">
        <v>118</v>
      </c>
      <c r="E466" s="66">
        <v>100000</v>
      </c>
      <c r="F466" s="72"/>
      <c r="G466" s="67">
        <f>movimientos548811143182122[[#This Row],[MONTO]]-movimientos548811143182122[[#This Row],[SALIDAS]]</f>
        <v>100000</v>
      </c>
    </row>
    <row r="467" spans="1:18" x14ac:dyDescent="0.25">
      <c r="B467" s="50">
        <v>46052</v>
      </c>
      <c r="C467" s="51" t="s">
        <v>375</v>
      </c>
      <c r="D467" s="53" t="s">
        <v>118</v>
      </c>
      <c r="E467" s="66">
        <v>30000</v>
      </c>
      <c r="F467" s="72"/>
      <c r="G467" s="67">
        <f>movimientos548811143182122[[#This Row],[MONTO]]-movimientos548811143182122[[#This Row],[SALIDAS]]</f>
        <v>30000</v>
      </c>
    </row>
    <row r="468" spans="1:18" x14ac:dyDescent="0.25">
      <c r="B468" s="50">
        <v>46052</v>
      </c>
      <c r="C468" s="51" t="s">
        <v>236</v>
      </c>
      <c r="D468" s="53" t="s">
        <v>118</v>
      </c>
      <c r="E468" s="66">
        <v>12000</v>
      </c>
      <c r="F468" s="72"/>
      <c r="G468" s="67">
        <f>movimientos548811143182122[[#This Row],[MONTO]]-movimientos548811143182122[[#This Row],[SALIDAS]]</f>
        <v>12000</v>
      </c>
    </row>
    <row r="469" spans="1:18" x14ac:dyDescent="0.25">
      <c r="B469" s="50">
        <v>46052</v>
      </c>
      <c r="C469" s="51" t="s">
        <v>661</v>
      </c>
      <c r="D469" s="53" t="s">
        <v>118</v>
      </c>
      <c r="E469" s="66">
        <v>55018</v>
      </c>
      <c r="F469" s="72"/>
      <c r="G469" s="67">
        <f>movimientos548811143182122[[#This Row],[MONTO]]-movimientos548811143182122[[#This Row],[SALIDAS]]</f>
        <v>55018</v>
      </c>
    </row>
    <row r="470" spans="1:18" x14ac:dyDescent="0.25">
      <c r="B470" s="50">
        <v>46052</v>
      </c>
      <c r="C470" s="51" t="s">
        <v>27</v>
      </c>
      <c r="D470" s="53" t="s">
        <v>118</v>
      </c>
      <c r="E470" s="66">
        <v>46500</v>
      </c>
      <c r="F470" s="72"/>
      <c r="G470" s="67">
        <f>movimientos548811143182122[[#This Row],[MONTO]]-movimientos548811143182122[[#This Row],[SALIDAS]]</f>
        <v>46500</v>
      </c>
    </row>
    <row r="471" spans="1:18" x14ac:dyDescent="0.25">
      <c r="B471" s="50">
        <v>46028</v>
      </c>
      <c r="C471" s="51" t="s">
        <v>230</v>
      </c>
      <c r="D471" s="53" t="s">
        <v>126</v>
      </c>
      <c r="E471" s="66">
        <v>5000</v>
      </c>
      <c r="F471" s="72"/>
      <c r="G471" s="67">
        <f>movimientos548811143182122[[#This Row],[MONTO]]-movimientos548811143182122[[#This Row],[SALIDAS]]</f>
        <v>5000</v>
      </c>
    </row>
    <row r="472" spans="1:18" x14ac:dyDescent="0.25">
      <c r="B472" s="50">
        <v>46052</v>
      </c>
      <c r="C472" s="51" t="s">
        <v>662</v>
      </c>
      <c r="D472" s="53" t="s">
        <v>119</v>
      </c>
      <c r="E472" s="66">
        <v>100000</v>
      </c>
      <c r="F472" s="72"/>
      <c r="G472" s="67">
        <f>movimientos548811143182122[[#This Row],[MONTO]]-movimientos548811143182122[[#This Row],[SALIDAS]]</f>
        <v>100000</v>
      </c>
    </row>
    <row r="473" spans="1:18" x14ac:dyDescent="0.25">
      <c r="B473" s="50">
        <v>46052</v>
      </c>
      <c r="C473" s="51" t="s">
        <v>663</v>
      </c>
      <c r="D473" s="53" t="s">
        <v>247</v>
      </c>
      <c r="E473" s="117">
        <v>1060917</v>
      </c>
      <c r="F473" s="72"/>
      <c r="G473" s="67">
        <f>movimientos548811143182122[[#This Row],[MONTO]]-movimientos548811143182122[[#This Row],[SALIDAS]]</f>
        <v>1060917</v>
      </c>
    </row>
    <row r="474" spans="1:18" x14ac:dyDescent="0.25">
      <c r="B474" s="50">
        <v>46052</v>
      </c>
      <c r="C474" s="51" t="s">
        <v>664</v>
      </c>
      <c r="D474" s="53" t="s">
        <v>247</v>
      </c>
      <c r="E474" s="66">
        <v>2000000</v>
      </c>
      <c r="F474" s="72"/>
      <c r="G474" s="67">
        <f>movimientos548811143182122[[#This Row],[MONTO]]-movimientos548811143182122[[#This Row],[SALIDAS]]</f>
        <v>2000000</v>
      </c>
    </row>
    <row r="475" spans="1:18" x14ac:dyDescent="0.25">
      <c r="B475" s="50">
        <v>46052</v>
      </c>
      <c r="C475" s="51" t="s">
        <v>27</v>
      </c>
      <c r="D475" s="53" t="s">
        <v>665</v>
      </c>
      <c r="E475" s="66">
        <v>20500</v>
      </c>
      <c r="F475" s="72"/>
      <c r="G475" s="67">
        <f>movimientos548811143182122[[#This Row],[MONTO]]-movimientos548811143182122[[#This Row],[SALIDAS]]</f>
        <v>20500</v>
      </c>
    </row>
    <row r="476" spans="1:18" x14ac:dyDescent="0.25">
      <c r="B476" s="92">
        <v>46052</v>
      </c>
      <c r="C476" s="51" t="s">
        <v>27</v>
      </c>
      <c r="D476" s="53" t="s">
        <v>126</v>
      </c>
      <c r="E476" s="66">
        <v>45000</v>
      </c>
      <c r="F476" s="72"/>
      <c r="G476" s="67">
        <f>movimientos548811143182122[[#This Row],[MONTO]]-movimientos548811143182122[[#This Row],[SALIDAS]]</f>
        <v>45000</v>
      </c>
    </row>
    <row r="480" spans="1:18" ht="31.5" x14ac:dyDescent="0.5">
      <c r="A480" s="181" t="s">
        <v>667</v>
      </c>
      <c r="B480" s="181"/>
      <c r="C480" s="181"/>
      <c r="D480" s="181"/>
      <c r="E480" s="181"/>
      <c r="F480" s="181"/>
      <c r="G480" s="181"/>
      <c r="H480" s="181"/>
      <c r="I480" s="181"/>
      <c r="J480" s="181"/>
      <c r="K480" s="181"/>
      <c r="L480" s="181"/>
      <c r="M480" s="181"/>
      <c r="N480" s="181"/>
      <c r="O480" s="181"/>
      <c r="P480" s="181"/>
      <c r="Q480" s="181"/>
      <c r="R480" s="181"/>
    </row>
    <row r="482" spans="2:15" x14ac:dyDescent="0.25">
      <c r="G482" t="s">
        <v>279</v>
      </c>
    </row>
    <row r="485" spans="2:15" x14ac:dyDescent="0.25">
      <c r="B485" s="46"/>
      <c r="J485" s="188" t="s">
        <v>109</v>
      </c>
      <c r="K485" s="188"/>
    </row>
    <row r="486" spans="2:15" x14ac:dyDescent="0.25">
      <c r="B486" s="47" t="s">
        <v>4</v>
      </c>
      <c r="C486" s="47" t="s">
        <v>112</v>
      </c>
      <c r="D486" s="47" t="s">
        <v>110</v>
      </c>
      <c r="E486" s="47" t="s">
        <v>8</v>
      </c>
      <c r="F486" s="47" t="s">
        <v>113</v>
      </c>
      <c r="G486" s="48" t="s">
        <v>111</v>
      </c>
      <c r="J486" s="47" t="s">
        <v>110</v>
      </c>
      <c r="K486" s="47" t="s">
        <v>111</v>
      </c>
    </row>
    <row r="487" spans="2:15" x14ac:dyDescent="0.25">
      <c r="B487" s="94">
        <v>46081</v>
      </c>
      <c r="C487" s="53" t="s">
        <v>340</v>
      </c>
      <c r="D487" s="53" t="s">
        <v>116</v>
      </c>
      <c r="E487" s="70">
        <v>10000</v>
      </c>
      <c r="F487" s="69"/>
      <c r="G487" s="67">
        <f>movimientos54881114318212224[[#This Row],[MONTO]]-movimientos54881114318212224[[#This Row],[SALIDAS]]</f>
        <v>10000</v>
      </c>
      <c r="J487" s="49" t="s">
        <v>116</v>
      </c>
      <c r="K487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172000</v>
      </c>
    </row>
    <row r="488" spans="2:15" x14ac:dyDescent="0.25">
      <c r="B488" s="94">
        <v>46081</v>
      </c>
      <c r="C488" s="51" t="s">
        <v>1036</v>
      </c>
      <c r="D488" s="53" t="s">
        <v>116</v>
      </c>
      <c r="E488" s="129">
        <v>50000</v>
      </c>
      <c r="F488" s="71"/>
      <c r="G488" s="67">
        <f>movimientos54881114318212224[[#This Row],[MONTO]]-movimientos54881114318212224[[#This Row],[SALIDAS]]</f>
        <v>50000</v>
      </c>
      <c r="J488" s="51" t="s">
        <v>123</v>
      </c>
      <c r="K488" s="75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569500</v>
      </c>
    </row>
    <row r="489" spans="2:15" x14ac:dyDescent="0.25">
      <c r="B489" s="94">
        <v>46060</v>
      </c>
      <c r="C489" s="51" t="s">
        <v>1039</v>
      </c>
      <c r="D489" s="53" t="s">
        <v>116</v>
      </c>
      <c r="E489" s="129">
        <v>20000</v>
      </c>
      <c r="F489" s="71"/>
      <c r="G489" s="67">
        <f>movimientos54881114318212224[[#This Row],[MONTO]]-movimientos54881114318212224[[#This Row],[SALIDAS]]</f>
        <v>20000</v>
      </c>
      <c r="J489" s="49" t="s">
        <v>181</v>
      </c>
      <c r="K489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0</v>
      </c>
      <c r="N489" s="180"/>
      <c r="O489" s="180"/>
    </row>
    <row r="490" spans="2:15" x14ac:dyDescent="0.25">
      <c r="B490" s="94">
        <v>46073</v>
      </c>
      <c r="C490" s="51" t="s">
        <v>1049</v>
      </c>
      <c r="D490" s="53" t="s">
        <v>116</v>
      </c>
      <c r="E490" s="129">
        <v>50000</v>
      </c>
      <c r="F490" s="72"/>
      <c r="G490" s="67">
        <f>movimientos54881114318212224[[#This Row],[MONTO]]-movimientos54881114318212224[[#This Row],[SALIDAS]]</f>
        <v>50000</v>
      </c>
      <c r="J490" s="49" t="s">
        <v>121</v>
      </c>
      <c r="K490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80000</v>
      </c>
      <c r="N490" s="180"/>
      <c r="O490" s="180"/>
    </row>
    <row r="491" spans="2:15" x14ac:dyDescent="0.25">
      <c r="B491" s="94">
        <v>46081</v>
      </c>
      <c r="C491" s="53" t="s">
        <v>27</v>
      </c>
      <c r="D491" s="53" t="s">
        <v>116</v>
      </c>
      <c r="E491" s="70">
        <v>42000</v>
      </c>
      <c r="F491" s="72"/>
      <c r="G491" s="67">
        <f>movimientos54881114318212224[[#This Row],[MONTO]]-movimientos54881114318212224[[#This Row],[SALIDAS]]</f>
        <v>42000</v>
      </c>
      <c r="J491" s="49" t="s">
        <v>114</v>
      </c>
      <c r="K491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556000</v>
      </c>
    </row>
    <row r="492" spans="2:15" x14ac:dyDescent="0.25">
      <c r="B492" s="94">
        <v>46081</v>
      </c>
      <c r="C492" s="53" t="s">
        <v>668</v>
      </c>
      <c r="D492" s="53" t="s">
        <v>123</v>
      </c>
      <c r="E492" s="70">
        <v>370000</v>
      </c>
      <c r="F492" s="72"/>
      <c r="G492" s="67">
        <f>movimientos54881114318212224[[#This Row],[MONTO]]-movimientos54881114318212224[[#This Row],[SALIDAS]]</f>
        <v>370000</v>
      </c>
      <c r="J492" s="49" t="s">
        <v>119</v>
      </c>
      <c r="K492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0</v>
      </c>
    </row>
    <row r="493" spans="2:15" x14ac:dyDescent="0.25">
      <c r="B493" s="94">
        <v>46081</v>
      </c>
      <c r="C493" s="53" t="s">
        <v>337</v>
      </c>
      <c r="D493" s="53" t="s">
        <v>123</v>
      </c>
      <c r="E493" s="70">
        <v>28000</v>
      </c>
      <c r="F493" s="72"/>
      <c r="G493" s="67">
        <f>movimientos54881114318212224[[#This Row],[MONTO]]-movimientos54881114318212224[[#This Row],[SALIDAS]]</f>
        <v>28000</v>
      </c>
      <c r="J493" s="49" t="s">
        <v>118</v>
      </c>
      <c r="K493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961518</v>
      </c>
    </row>
    <row r="494" spans="2:15" x14ac:dyDescent="0.25">
      <c r="B494" s="50">
        <v>46081</v>
      </c>
      <c r="C494" s="53" t="s">
        <v>138</v>
      </c>
      <c r="D494" s="53" t="s">
        <v>123</v>
      </c>
      <c r="E494" s="70">
        <v>22000</v>
      </c>
      <c r="F494" s="72"/>
      <c r="G494" s="67">
        <f>movimientos54881114318212224[[#This Row],[MONTO]]-movimientos54881114318212224[[#This Row],[SALIDAS]]</f>
        <v>22000</v>
      </c>
      <c r="J494" s="49" t="s">
        <v>126</v>
      </c>
      <c r="K494" s="68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25000</v>
      </c>
    </row>
    <row r="495" spans="2:15" x14ac:dyDescent="0.25">
      <c r="B495" s="50">
        <v>46081</v>
      </c>
      <c r="C495" s="53" t="s">
        <v>375</v>
      </c>
      <c r="D495" s="53" t="s">
        <v>123</v>
      </c>
      <c r="E495" s="70">
        <v>30000</v>
      </c>
      <c r="F495" s="72"/>
      <c r="G495" s="67">
        <f>movimientos54881114318212224[[#This Row],[MONTO]]-movimientos54881114318212224[[#This Row],[SALIDAS]]</f>
        <v>30000</v>
      </c>
      <c r="J495" s="90" t="s">
        <v>253</v>
      </c>
      <c r="K495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160000</v>
      </c>
    </row>
    <row r="496" spans="2:15" x14ac:dyDescent="0.25">
      <c r="B496" s="50">
        <v>46081</v>
      </c>
      <c r="C496" s="53" t="s">
        <v>1036</v>
      </c>
      <c r="D496" s="53" t="s">
        <v>123</v>
      </c>
      <c r="E496" s="128">
        <v>50000</v>
      </c>
      <c r="F496" s="72"/>
      <c r="G496" s="67">
        <f>movimientos54881114318212224[[#This Row],[MONTO]]-movimientos54881114318212224[[#This Row],[SALIDAS]]</f>
        <v>50000</v>
      </c>
      <c r="J496" s="90" t="s">
        <v>247</v>
      </c>
      <c r="K496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11700699</v>
      </c>
    </row>
    <row r="497" spans="2:11" x14ac:dyDescent="0.25">
      <c r="B497" s="50">
        <v>46074</v>
      </c>
      <c r="C497" s="53" t="s">
        <v>1051</v>
      </c>
      <c r="D497" s="53" t="s">
        <v>123</v>
      </c>
      <c r="E497" s="128">
        <v>50000</v>
      </c>
      <c r="F497" s="72"/>
      <c r="G497" s="67">
        <f>movimientos54881114318212224[[#This Row],[MONTO]]-movimientos54881114318212224[[#This Row],[SALIDAS]]</f>
        <v>50000</v>
      </c>
      <c r="J497" s="90" t="s">
        <v>645</v>
      </c>
      <c r="K497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100000</v>
      </c>
    </row>
    <row r="498" spans="2:11" x14ac:dyDescent="0.25">
      <c r="B498" s="50">
        <v>46081</v>
      </c>
      <c r="C498" s="53" t="s">
        <v>27</v>
      </c>
      <c r="D498" s="53" t="s">
        <v>123</v>
      </c>
      <c r="E498" s="70">
        <v>19500</v>
      </c>
      <c r="F498" s="72"/>
      <c r="G498" s="67">
        <f>movimientos54881114318212224[[#This Row],[MONTO]]-movimientos54881114318212224[[#This Row],[SALIDAS]]</f>
        <v>19500</v>
      </c>
      <c r="J498" s="90" t="s">
        <v>665</v>
      </c>
      <c r="K498" s="91">
        <f>SUMIF(movimientos54881114318212224[COLABORADOR],resumen_caja5589121324201923[[#This Row],[COLABORADOR]],movimientos54881114318212224[MONTO])-SUMIF(movimientos54881114318212224[COLABORADOR],resumen_caja5589121324201923[[#This Row],[COLABORADOR]],movimientos54881114318212224[SALIDAS])</f>
        <v>110500</v>
      </c>
    </row>
    <row r="499" spans="2:11" x14ac:dyDescent="0.25">
      <c r="B499" s="50">
        <v>46081</v>
      </c>
      <c r="C499" s="53" t="s">
        <v>428</v>
      </c>
      <c r="D499" s="53" t="s">
        <v>121</v>
      </c>
      <c r="E499" s="70">
        <v>20000</v>
      </c>
      <c r="F499" s="72"/>
      <c r="G499" s="67">
        <f>movimientos54881114318212224[[#This Row],[MONTO]]-movimientos54881114318212224[[#This Row],[SALIDAS]]</f>
        <v>20000</v>
      </c>
    </row>
    <row r="500" spans="2:11" x14ac:dyDescent="0.25">
      <c r="B500" s="50">
        <v>46081</v>
      </c>
      <c r="C500" s="53" t="s">
        <v>1038</v>
      </c>
      <c r="D500" s="53" t="s">
        <v>121</v>
      </c>
      <c r="E500" s="128">
        <v>60000</v>
      </c>
      <c r="F500" s="72"/>
      <c r="G500" s="67">
        <f>movimientos54881114318212224[[#This Row],[MONTO]]-movimientos54881114318212224[[#This Row],[SALIDAS]]</f>
        <v>60000</v>
      </c>
    </row>
    <row r="501" spans="2:11" x14ac:dyDescent="0.25">
      <c r="B501" s="50">
        <v>46081</v>
      </c>
      <c r="C501" s="53" t="s">
        <v>669</v>
      </c>
      <c r="D501" s="53" t="s">
        <v>114</v>
      </c>
      <c r="E501" s="70">
        <v>100000</v>
      </c>
      <c r="F501" s="71"/>
      <c r="G501" s="73">
        <f>movimientos54881114318212224[[#This Row],[MONTO]]-movimientos54881114318212224[[#This Row],[SALIDAS]]</f>
        <v>100000</v>
      </c>
      <c r="J501" t="s">
        <v>80</v>
      </c>
    </row>
    <row r="502" spans="2:11" x14ac:dyDescent="0.25">
      <c r="B502" s="50">
        <v>46081</v>
      </c>
      <c r="C502" s="53" t="s">
        <v>375</v>
      </c>
      <c r="D502" s="53" t="s">
        <v>114</v>
      </c>
      <c r="E502" s="70">
        <v>30000</v>
      </c>
      <c r="F502" s="71"/>
      <c r="G502" s="73">
        <f>movimientos54881114318212224[[#This Row],[MONTO]]-movimientos54881114318212224[[#This Row],[SALIDAS]]</f>
        <v>30000</v>
      </c>
    </row>
    <row r="503" spans="2:11" x14ac:dyDescent="0.25">
      <c r="B503" s="50">
        <v>46081</v>
      </c>
      <c r="C503" s="53" t="s">
        <v>670</v>
      </c>
      <c r="D503" s="53" t="s">
        <v>114</v>
      </c>
      <c r="E503" s="70">
        <v>100000</v>
      </c>
      <c r="F503" s="71"/>
      <c r="G503" s="73">
        <f>movimientos54881114318212224[[#This Row],[MONTO]]-movimientos54881114318212224[[#This Row],[SALIDAS]]</f>
        <v>100000</v>
      </c>
    </row>
    <row r="504" spans="2:11" x14ac:dyDescent="0.25">
      <c r="B504" s="50">
        <v>46060</v>
      </c>
      <c r="C504" s="53" t="s">
        <v>1041</v>
      </c>
      <c r="D504" s="53" t="s">
        <v>114</v>
      </c>
      <c r="E504" s="128">
        <v>100000</v>
      </c>
      <c r="F504" s="71"/>
      <c r="G504" s="73">
        <f>movimientos54881114318212224[[#This Row],[MONTO]]-movimientos54881114318212224[[#This Row],[SALIDAS]]</f>
        <v>100000</v>
      </c>
    </row>
    <row r="505" spans="2:11" x14ac:dyDescent="0.25">
      <c r="B505" s="50">
        <v>46069</v>
      </c>
      <c r="C505" s="53" t="s">
        <v>1046</v>
      </c>
      <c r="D505" s="53" t="s">
        <v>114</v>
      </c>
      <c r="E505" s="128">
        <v>50000</v>
      </c>
      <c r="F505" s="71"/>
      <c r="G505" s="73">
        <f>movimientos54881114318212224[[#This Row],[MONTO]]-movimientos54881114318212224[[#This Row],[SALIDAS]]</f>
        <v>50000</v>
      </c>
    </row>
    <row r="506" spans="2:11" x14ac:dyDescent="0.25">
      <c r="B506" s="50">
        <v>46073</v>
      </c>
      <c r="C506" s="53" t="s">
        <v>1050</v>
      </c>
      <c r="D506" s="53" t="s">
        <v>114</v>
      </c>
      <c r="E506" s="128">
        <v>100000</v>
      </c>
      <c r="F506" s="71"/>
      <c r="G506" s="73">
        <f>movimientos54881114318212224[[#This Row],[MONTO]]-movimientos54881114318212224[[#This Row],[SALIDAS]]</f>
        <v>100000</v>
      </c>
    </row>
    <row r="507" spans="2:11" x14ac:dyDescent="0.25">
      <c r="B507" s="50">
        <v>46077</v>
      </c>
      <c r="C507" s="51" t="s">
        <v>1054</v>
      </c>
      <c r="D507" s="53" t="s">
        <v>114</v>
      </c>
      <c r="E507" s="66">
        <v>50000</v>
      </c>
      <c r="F507" s="72"/>
      <c r="G507" s="67">
        <f>movimientos54881114318212224[[#This Row],[MONTO]]-movimientos54881114318212224[[#This Row],[SALIDAS]]</f>
        <v>50000</v>
      </c>
    </row>
    <row r="508" spans="2:11" x14ac:dyDescent="0.25">
      <c r="B508" s="50">
        <v>46081</v>
      </c>
      <c r="C508" s="51" t="s">
        <v>27</v>
      </c>
      <c r="D508" s="53" t="s">
        <v>114</v>
      </c>
      <c r="E508" s="66">
        <v>26000</v>
      </c>
      <c r="F508" s="72"/>
      <c r="G508" s="67">
        <f>movimientos54881114318212224[[#This Row],[MONTO]]-movimientos54881114318212224[[#This Row],[SALIDAS]]</f>
        <v>26000</v>
      </c>
    </row>
    <row r="509" spans="2:11" x14ac:dyDescent="0.25">
      <c r="B509" s="50">
        <v>46000</v>
      </c>
      <c r="C509" s="51" t="s">
        <v>458</v>
      </c>
      <c r="D509" s="53" t="s">
        <v>247</v>
      </c>
      <c r="E509" s="66">
        <v>2000000</v>
      </c>
      <c r="F509" s="72"/>
      <c r="G509" s="67">
        <f>movimientos54881114318212224[[#This Row],[MONTO]]-movimientos54881114318212224[[#This Row],[SALIDAS]]</f>
        <v>2000000</v>
      </c>
    </row>
    <row r="510" spans="2:11" x14ac:dyDescent="0.25">
      <c r="B510" s="50">
        <v>46000</v>
      </c>
      <c r="C510" s="51" t="s">
        <v>459</v>
      </c>
      <c r="D510" s="53" t="s">
        <v>247</v>
      </c>
      <c r="E510" s="66">
        <v>12200000</v>
      </c>
      <c r="F510" s="72"/>
      <c r="G510" s="67">
        <f>movimientos54881114318212224[[#This Row],[MONTO]]-movimientos54881114318212224[[#This Row],[SALIDAS]]</f>
        <v>12200000</v>
      </c>
    </row>
    <row r="511" spans="2:11" x14ac:dyDescent="0.25">
      <c r="B511" s="50">
        <v>45995</v>
      </c>
      <c r="C511" s="51" t="s">
        <v>351</v>
      </c>
      <c r="D511" s="53" t="s">
        <v>247</v>
      </c>
      <c r="E511" s="66">
        <v>70000</v>
      </c>
      <c r="F511" s="72"/>
      <c r="G511" s="67">
        <f>movimientos54881114318212224[[#This Row],[MONTO]]-movimientos54881114318212224[[#This Row],[SALIDAS]]</f>
        <v>70000</v>
      </c>
    </row>
    <row r="512" spans="2:11" x14ac:dyDescent="0.25">
      <c r="B512" s="93">
        <v>46013</v>
      </c>
      <c r="C512" s="51" t="s">
        <v>381</v>
      </c>
      <c r="D512" s="53" t="s">
        <v>247</v>
      </c>
      <c r="E512" s="66">
        <v>300000</v>
      </c>
      <c r="F512" s="71"/>
      <c r="G512" s="73">
        <f>movimientos54881114318212224[[#This Row],[MONTO]]-movimientos54881114318212224[[#This Row],[SALIDAS]]</f>
        <v>300000</v>
      </c>
    </row>
    <row r="513" spans="2:7" x14ac:dyDescent="0.25">
      <c r="B513" s="93">
        <v>46013</v>
      </c>
      <c r="C513" s="51" t="s">
        <v>382</v>
      </c>
      <c r="D513" s="53" t="s">
        <v>247</v>
      </c>
      <c r="E513" s="66">
        <v>300000</v>
      </c>
      <c r="F513" s="71"/>
      <c r="G513" s="73">
        <f>movimientos54881114318212224[[#This Row],[MONTO]]-movimientos54881114318212224[[#This Row],[SALIDAS]]</f>
        <v>300000</v>
      </c>
    </row>
    <row r="514" spans="2:7" x14ac:dyDescent="0.25">
      <c r="B514" s="50">
        <v>46027</v>
      </c>
      <c r="C514" s="51" t="s">
        <v>156</v>
      </c>
      <c r="D514" s="53" t="s">
        <v>247</v>
      </c>
      <c r="E514" s="66">
        <v>1000000</v>
      </c>
      <c r="F514" s="71"/>
      <c r="G514" s="73">
        <f>movimientos54881114318212224[[#This Row],[MONTO]]-movimientos54881114318212224[[#This Row],[SALIDAS]]</f>
        <v>1000000</v>
      </c>
    </row>
    <row r="515" spans="2:7" x14ac:dyDescent="0.25">
      <c r="B515" s="50">
        <v>46024</v>
      </c>
      <c r="C515" s="53" t="s">
        <v>460</v>
      </c>
      <c r="D515" s="53" t="s">
        <v>247</v>
      </c>
      <c r="E515" s="113">
        <v>-5609000</v>
      </c>
      <c r="F515" s="71"/>
      <c r="G515" s="73">
        <f>movimientos54881114318212224[[#This Row],[MONTO]]-movimientos54881114318212224[[#This Row],[SALIDAS]]</f>
        <v>-5609000</v>
      </c>
    </row>
    <row r="516" spans="2:7" x14ac:dyDescent="0.25">
      <c r="B516" s="50">
        <v>46053</v>
      </c>
      <c r="C516" s="53" t="s">
        <v>450</v>
      </c>
      <c r="D516" s="53" t="s">
        <v>247</v>
      </c>
      <c r="E516" s="70">
        <v>1122682</v>
      </c>
      <c r="F516" s="71"/>
      <c r="G516" s="73">
        <f>movimientos54881114318212224[[#This Row],[MONTO]]-movimientos54881114318212224[[#This Row],[SALIDAS]]</f>
        <v>1122682</v>
      </c>
    </row>
    <row r="517" spans="2:7" x14ac:dyDescent="0.25">
      <c r="B517" s="50">
        <v>46053</v>
      </c>
      <c r="C517" s="53" t="s">
        <v>469</v>
      </c>
      <c r="D517" s="53" t="s">
        <v>247</v>
      </c>
      <c r="E517" s="70">
        <v>200000</v>
      </c>
      <c r="F517" s="71"/>
      <c r="G517" s="73">
        <f>movimientos54881114318212224[[#This Row],[MONTO]]-movimientos54881114318212224[[#This Row],[SALIDAS]]</f>
        <v>200000</v>
      </c>
    </row>
    <row r="518" spans="2:7" x14ac:dyDescent="0.25">
      <c r="B518" s="50">
        <v>46035</v>
      </c>
      <c r="C518" s="53" t="s">
        <v>470</v>
      </c>
      <c r="D518" s="53" t="s">
        <v>247</v>
      </c>
      <c r="E518" s="113">
        <v>-963900</v>
      </c>
      <c r="F518" s="71"/>
      <c r="G518" s="73">
        <f>movimientos54881114318212224[[#This Row],[MONTO]]-movimientos54881114318212224[[#This Row],[SALIDAS]]</f>
        <v>-963900</v>
      </c>
    </row>
    <row r="519" spans="2:7" x14ac:dyDescent="0.25">
      <c r="B519" s="50">
        <v>46038</v>
      </c>
      <c r="C519" s="53" t="s">
        <v>575</v>
      </c>
      <c r="D519" s="53" t="s">
        <v>247</v>
      </c>
      <c r="E519" s="70">
        <v>100000</v>
      </c>
      <c r="F519" s="71"/>
      <c r="G519" s="73">
        <f>movimientos54881114318212224[[#This Row],[MONTO]]-movimientos54881114318212224[[#This Row],[SALIDAS]]</f>
        <v>100000</v>
      </c>
    </row>
    <row r="520" spans="2:7" x14ac:dyDescent="0.25">
      <c r="B520" s="50">
        <v>46039</v>
      </c>
      <c r="C520" s="53" t="s">
        <v>156</v>
      </c>
      <c r="D520" s="53" t="s">
        <v>247</v>
      </c>
      <c r="E520" s="113">
        <v>-2000000</v>
      </c>
      <c r="F520" s="71"/>
      <c r="G520" s="73">
        <f>movimientos54881114318212224[[#This Row],[MONTO]]-movimientos54881114318212224[[#This Row],[SALIDAS]]</f>
        <v>-2000000</v>
      </c>
    </row>
    <row r="521" spans="2:7" x14ac:dyDescent="0.25">
      <c r="B521" s="50">
        <v>46043</v>
      </c>
      <c r="C521" s="53" t="s">
        <v>460</v>
      </c>
      <c r="D521" s="53" t="s">
        <v>247</v>
      </c>
      <c r="E521" s="113">
        <v>-5080000</v>
      </c>
      <c r="F521" s="71"/>
      <c r="G521" s="73">
        <f>movimientos54881114318212224[[#This Row],[MONTO]]-movimientos54881114318212224[[#This Row],[SALIDAS]]</f>
        <v>-5080000</v>
      </c>
    </row>
    <row r="522" spans="2:7" x14ac:dyDescent="0.25">
      <c r="B522" s="50">
        <v>46046</v>
      </c>
      <c r="C522" s="53" t="s">
        <v>603</v>
      </c>
      <c r="D522" s="53" t="s">
        <v>247</v>
      </c>
      <c r="E522" s="70">
        <v>5000000</v>
      </c>
      <c r="F522" s="71"/>
      <c r="G522" s="73">
        <f>movimientos54881114318212224[[#This Row],[MONTO]]-movimientos54881114318212224[[#This Row],[SALIDAS]]</f>
        <v>5000000</v>
      </c>
    </row>
    <row r="523" spans="2:7" x14ac:dyDescent="0.25">
      <c r="B523" s="50">
        <v>46052</v>
      </c>
      <c r="C523" s="53" t="s">
        <v>663</v>
      </c>
      <c r="D523" s="53" t="s">
        <v>247</v>
      </c>
      <c r="E523" s="130">
        <v>1060917</v>
      </c>
      <c r="F523" s="71"/>
      <c r="G523" s="73">
        <f>movimientos54881114318212224[[#This Row],[MONTO]]-movimientos54881114318212224[[#This Row],[SALIDAS]]</f>
        <v>1060917</v>
      </c>
    </row>
    <row r="524" spans="2:7" x14ac:dyDescent="0.25">
      <c r="B524" s="50">
        <v>46052</v>
      </c>
      <c r="C524" s="53" t="s">
        <v>664</v>
      </c>
      <c r="D524" s="53" t="s">
        <v>247</v>
      </c>
      <c r="E524" s="70">
        <v>2000000</v>
      </c>
      <c r="F524" s="71"/>
      <c r="G524" s="73">
        <f>movimientos54881114318212224[[#This Row],[MONTO]]-movimientos54881114318212224[[#This Row],[SALIDAS]]</f>
        <v>2000000</v>
      </c>
    </row>
    <row r="525" spans="2:7" x14ac:dyDescent="0.25">
      <c r="B525" s="50">
        <v>46065</v>
      </c>
      <c r="C525" s="53" t="s">
        <v>1044</v>
      </c>
      <c r="D525" s="53" t="s">
        <v>253</v>
      </c>
      <c r="E525" s="128">
        <v>100000</v>
      </c>
      <c r="F525" s="71"/>
      <c r="G525" s="73">
        <f>movimientos54881114318212224[[#This Row],[MONTO]]-movimientos54881114318212224[[#This Row],[SALIDAS]]</f>
        <v>100000</v>
      </c>
    </row>
    <row r="526" spans="2:7" x14ac:dyDescent="0.25">
      <c r="B526" s="50">
        <v>46072</v>
      </c>
      <c r="C526" s="53" t="s">
        <v>1047</v>
      </c>
      <c r="D526" s="53" t="s">
        <v>253</v>
      </c>
      <c r="E526" s="128">
        <v>50000</v>
      </c>
      <c r="F526" s="71"/>
      <c r="G526" s="73">
        <f>movimientos54881114318212224[[#This Row],[MONTO]]-movimientos54881114318212224[[#This Row],[SALIDAS]]</f>
        <v>50000</v>
      </c>
    </row>
    <row r="527" spans="2:7" x14ac:dyDescent="0.25">
      <c r="B527" s="50">
        <v>46079</v>
      </c>
      <c r="C527" s="53" t="s">
        <v>1055</v>
      </c>
      <c r="D527" s="53" t="s">
        <v>253</v>
      </c>
      <c r="E527" s="70">
        <v>10000</v>
      </c>
      <c r="F527" s="71"/>
      <c r="G527" s="73">
        <f>movimientos54881114318212224[[#This Row],[MONTO]]-movimientos54881114318212224[[#This Row],[SALIDAS]]</f>
        <v>10000</v>
      </c>
    </row>
    <row r="528" spans="2:7" x14ac:dyDescent="0.25">
      <c r="B528" s="50">
        <v>46063</v>
      </c>
      <c r="C528" s="53" t="s">
        <v>1043</v>
      </c>
      <c r="D528" s="53" t="s">
        <v>645</v>
      </c>
      <c r="E528" s="128">
        <v>50000</v>
      </c>
      <c r="F528" s="71"/>
      <c r="G528" s="73">
        <f>movimientos54881114318212224[[#This Row],[MONTO]]-movimientos54881114318212224[[#This Row],[SALIDAS]]</f>
        <v>50000</v>
      </c>
    </row>
    <row r="529" spans="2:7" x14ac:dyDescent="0.25">
      <c r="B529" s="50">
        <v>46076</v>
      </c>
      <c r="C529" s="51" t="s">
        <v>1053</v>
      </c>
      <c r="D529" s="53" t="s">
        <v>645</v>
      </c>
      <c r="E529" s="70">
        <v>50000</v>
      </c>
      <c r="F529" s="71"/>
      <c r="G529" s="73">
        <f>movimientos54881114318212224[[#This Row],[MONTO]]-movimientos54881114318212224[[#This Row],[SALIDAS]]</f>
        <v>50000</v>
      </c>
    </row>
    <row r="530" spans="2:7" x14ac:dyDescent="0.25">
      <c r="B530" s="50">
        <v>46081</v>
      </c>
      <c r="C530" s="53" t="s">
        <v>671</v>
      </c>
      <c r="D530" s="53" t="s">
        <v>118</v>
      </c>
      <c r="E530" s="70">
        <v>250000</v>
      </c>
      <c r="F530" s="72"/>
      <c r="G530" s="67">
        <f>movimientos54881114318212224[[#This Row],[MONTO]]-movimientos54881114318212224[[#This Row],[SALIDAS]]</f>
        <v>250000</v>
      </c>
    </row>
    <row r="531" spans="2:7" x14ac:dyDescent="0.25">
      <c r="B531" s="50">
        <v>46081</v>
      </c>
      <c r="C531" s="53" t="s">
        <v>672</v>
      </c>
      <c r="D531" s="53" t="s">
        <v>118</v>
      </c>
      <c r="E531" s="70">
        <v>100000</v>
      </c>
      <c r="F531" s="71"/>
      <c r="G531" s="73">
        <f>movimientos54881114318212224[[#This Row],[MONTO]]-movimientos54881114318212224[[#This Row],[SALIDAS]]</f>
        <v>100000</v>
      </c>
    </row>
    <row r="532" spans="2:7" x14ac:dyDescent="0.25">
      <c r="B532" s="50">
        <v>46081</v>
      </c>
      <c r="C532" s="53" t="s">
        <v>375</v>
      </c>
      <c r="D532" s="53" t="s">
        <v>118</v>
      </c>
      <c r="E532" s="70">
        <v>30000</v>
      </c>
      <c r="F532" s="71"/>
      <c r="G532" s="73">
        <f>movimientos54881114318212224[[#This Row],[MONTO]]-movimientos54881114318212224[[#This Row],[SALIDAS]]</f>
        <v>30000</v>
      </c>
    </row>
    <row r="533" spans="2:7" x14ac:dyDescent="0.25">
      <c r="B533" s="50">
        <v>46081</v>
      </c>
      <c r="C533" s="53" t="s">
        <v>236</v>
      </c>
      <c r="D533" s="53" t="s">
        <v>118</v>
      </c>
      <c r="E533" s="70">
        <v>12000</v>
      </c>
      <c r="F533" s="71"/>
      <c r="G533" s="73">
        <f>movimientos54881114318212224[[#This Row],[MONTO]]-movimientos54881114318212224[[#This Row],[SALIDAS]]</f>
        <v>12000</v>
      </c>
    </row>
    <row r="534" spans="2:7" x14ac:dyDescent="0.25">
      <c r="B534" s="50">
        <v>46081</v>
      </c>
      <c r="C534" s="51" t="s">
        <v>673</v>
      </c>
      <c r="D534" s="53" t="s">
        <v>118</v>
      </c>
      <c r="E534" s="70">
        <v>55018</v>
      </c>
      <c r="F534" s="72"/>
      <c r="G534" s="67">
        <f>movimientos54881114318212224[[#This Row],[MONTO]]-movimientos54881114318212224[[#This Row],[SALIDAS]]</f>
        <v>55018</v>
      </c>
    </row>
    <row r="535" spans="2:7" x14ac:dyDescent="0.25">
      <c r="B535" s="50">
        <v>46052</v>
      </c>
      <c r="C535" s="51" t="s">
        <v>674</v>
      </c>
      <c r="D535" s="53" t="s">
        <v>118</v>
      </c>
      <c r="E535" s="70">
        <v>300000</v>
      </c>
      <c r="F535" s="72"/>
      <c r="G535" s="67">
        <f>movimientos54881114318212224[[#This Row],[MONTO]]-movimientos54881114318212224[[#This Row],[SALIDAS]]</f>
        <v>300000</v>
      </c>
    </row>
    <row r="536" spans="2:7" x14ac:dyDescent="0.25">
      <c r="B536" s="50">
        <v>46081</v>
      </c>
      <c r="C536" s="53" t="s">
        <v>340</v>
      </c>
      <c r="D536" s="53" t="s">
        <v>118</v>
      </c>
      <c r="E536" s="70">
        <v>10000</v>
      </c>
      <c r="F536" s="72"/>
      <c r="G536" s="67">
        <f>movimientos54881114318212224[[#This Row],[MONTO]]-movimientos54881114318212224[[#This Row],[SALIDAS]]</f>
        <v>10000</v>
      </c>
    </row>
    <row r="537" spans="2:7" x14ac:dyDescent="0.25">
      <c r="B537" s="50">
        <v>46060</v>
      </c>
      <c r="C537" s="51" t="s">
        <v>1042</v>
      </c>
      <c r="D537" s="53" t="s">
        <v>118</v>
      </c>
      <c r="E537" s="128">
        <v>100000</v>
      </c>
      <c r="F537" s="72"/>
      <c r="G537" s="67">
        <f>movimientos54881114318212224[[#This Row],[MONTO]]-movimientos54881114318212224[[#This Row],[SALIDAS]]</f>
        <v>100000</v>
      </c>
    </row>
    <row r="538" spans="2:7" x14ac:dyDescent="0.25">
      <c r="B538" s="50">
        <v>46072</v>
      </c>
      <c r="C538" s="53" t="s">
        <v>1048</v>
      </c>
      <c r="D538" s="53" t="s">
        <v>118</v>
      </c>
      <c r="E538" s="129">
        <v>20000</v>
      </c>
      <c r="F538" s="72"/>
      <c r="G538" s="67">
        <f>movimientos54881114318212224[[#This Row],[MONTO]]-movimientos54881114318212224[[#This Row],[SALIDAS]]</f>
        <v>20000</v>
      </c>
    </row>
    <row r="539" spans="2:7" x14ac:dyDescent="0.25">
      <c r="B539" s="50">
        <v>46074</v>
      </c>
      <c r="C539" s="51" t="s">
        <v>1052</v>
      </c>
      <c r="D539" s="53" t="s">
        <v>118</v>
      </c>
      <c r="E539" s="129">
        <v>20000</v>
      </c>
      <c r="F539" s="72"/>
      <c r="G539" s="67">
        <f>movimientos54881114318212224[[#This Row],[MONTO]]-movimientos54881114318212224[[#This Row],[SALIDAS]]</f>
        <v>20000</v>
      </c>
    </row>
    <row r="540" spans="2:7" x14ac:dyDescent="0.25">
      <c r="B540" s="50">
        <v>46081</v>
      </c>
      <c r="C540" s="51" t="s">
        <v>27</v>
      </c>
      <c r="D540" s="53" t="s">
        <v>118</v>
      </c>
      <c r="E540" s="66">
        <v>64500</v>
      </c>
      <c r="F540" s="72"/>
      <c r="G540" s="67">
        <f>movimientos54881114318212224[[#This Row],[MONTO]]-movimientos54881114318212224[[#This Row],[SALIDAS]]</f>
        <v>64500</v>
      </c>
    </row>
    <row r="541" spans="2:7" x14ac:dyDescent="0.25">
      <c r="B541" s="50">
        <v>46081</v>
      </c>
      <c r="C541" s="51" t="s">
        <v>1035</v>
      </c>
      <c r="D541" s="53" t="s">
        <v>126</v>
      </c>
      <c r="E541" s="66">
        <v>25000</v>
      </c>
      <c r="F541" s="72"/>
      <c r="G541" s="67">
        <f>movimientos54881114318212224[[#This Row],[MONTO]]-movimientos54881114318212224[[#This Row],[SALIDAS]]</f>
        <v>25000</v>
      </c>
    </row>
    <row r="542" spans="2:7" x14ac:dyDescent="0.25">
      <c r="B542" s="50">
        <v>46081</v>
      </c>
      <c r="C542" s="51" t="s">
        <v>1035</v>
      </c>
      <c r="D542" s="53" t="s">
        <v>665</v>
      </c>
      <c r="E542" s="129">
        <v>25000</v>
      </c>
      <c r="F542" s="72"/>
      <c r="G542" s="67">
        <f>movimientos54881114318212224[[#This Row],[MONTO]]-movimientos54881114318212224[[#This Row],[SALIDAS]]</f>
        <v>25000</v>
      </c>
    </row>
    <row r="543" spans="2:7" x14ac:dyDescent="0.25">
      <c r="B543" s="50">
        <v>46060</v>
      </c>
      <c r="C543" s="51" t="s">
        <v>1040</v>
      </c>
      <c r="D543" s="53" t="s">
        <v>665</v>
      </c>
      <c r="E543" s="129">
        <v>40000</v>
      </c>
      <c r="F543" s="72"/>
      <c r="G543" s="67">
        <f>movimientos54881114318212224[[#This Row],[MONTO]]-movimientos54881114318212224[[#This Row],[SALIDAS]]</f>
        <v>40000</v>
      </c>
    </row>
    <row r="544" spans="2:7" x14ac:dyDescent="0.25">
      <c r="B544" s="50">
        <v>46070</v>
      </c>
      <c r="C544" s="51" t="s">
        <v>1045</v>
      </c>
      <c r="D544" s="53" t="s">
        <v>665</v>
      </c>
      <c r="E544" s="129">
        <v>20000</v>
      </c>
      <c r="F544" s="72"/>
      <c r="G544" s="67">
        <f>movimientos54881114318212224[[#This Row],[MONTO]]-movimientos54881114318212224[[#This Row],[SALIDAS]]</f>
        <v>20000</v>
      </c>
    </row>
    <row r="545" spans="1:18" x14ac:dyDescent="0.25">
      <c r="B545" s="50">
        <v>46081</v>
      </c>
      <c r="C545" s="51" t="s">
        <v>27</v>
      </c>
      <c r="D545" s="53" t="s">
        <v>665</v>
      </c>
      <c r="E545" s="66">
        <v>25500</v>
      </c>
      <c r="F545" s="72"/>
      <c r="G545" s="67">
        <f>movimientos54881114318212224[[#This Row],[MONTO]]-movimientos54881114318212224[[#This Row],[SALIDAS]]</f>
        <v>25500</v>
      </c>
    </row>
    <row r="546" spans="1:18" x14ac:dyDescent="0.25">
      <c r="B546" s="50"/>
      <c r="C546" s="51"/>
      <c r="D546" s="53"/>
      <c r="E546" s="66"/>
      <c r="F546" s="72"/>
      <c r="G546" s="67">
        <f>movimientos54881114318212224[[#This Row],[MONTO]]-movimientos54881114318212224[[#This Row],[SALIDAS]]</f>
        <v>0</v>
      </c>
    </row>
    <row r="547" spans="1:18" x14ac:dyDescent="0.25">
      <c r="B547" s="50"/>
      <c r="C547" s="51"/>
      <c r="D547" s="53"/>
      <c r="E547" s="66"/>
      <c r="F547" s="72"/>
      <c r="G547" s="67">
        <f>movimientos54881114318212224[[#This Row],[MONTO]]-movimientos54881114318212224[[#This Row],[SALIDAS]]</f>
        <v>0</v>
      </c>
    </row>
    <row r="548" spans="1:18" x14ac:dyDescent="0.25">
      <c r="B548" s="50"/>
      <c r="C548" s="51"/>
      <c r="D548" s="53"/>
      <c r="E548" s="117"/>
      <c r="F548" s="72"/>
      <c r="G548" s="67">
        <f>movimientos54881114318212224[[#This Row],[MONTO]]-movimientos54881114318212224[[#This Row],[SALIDAS]]</f>
        <v>0</v>
      </c>
    </row>
    <row r="549" spans="1:18" x14ac:dyDescent="0.25">
      <c r="B549" s="50"/>
      <c r="C549" s="51"/>
      <c r="D549" s="53"/>
      <c r="E549" s="66"/>
      <c r="F549" s="72"/>
      <c r="G549" s="67">
        <f>movimientos54881114318212224[[#This Row],[MONTO]]-movimientos54881114318212224[[#This Row],[SALIDAS]]</f>
        <v>0</v>
      </c>
    </row>
    <row r="550" spans="1:18" x14ac:dyDescent="0.25">
      <c r="B550" s="50"/>
      <c r="C550" s="51"/>
      <c r="D550" s="53"/>
      <c r="E550" s="66"/>
      <c r="F550" s="72"/>
      <c r="G550" s="67">
        <f>movimientos54881114318212224[[#This Row],[MONTO]]-movimientos54881114318212224[[#This Row],[SALIDAS]]</f>
        <v>0</v>
      </c>
    </row>
    <row r="551" spans="1:18" x14ac:dyDescent="0.25">
      <c r="B551" s="92"/>
      <c r="C551" s="51"/>
      <c r="D551" s="53"/>
      <c r="E551" s="66"/>
      <c r="F551" s="72"/>
      <c r="G551" s="67">
        <f>movimientos54881114318212224[[#This Row],[MONTO]]-movimientos54881114318212224[[#This Row],[SALIDAS]]</f>
        <v>0</v>
      </c>
    </row>
    <row r="555" spans="1:18" ht="31.5" x14ac:dyDescent="0.5">
      <c r="A555" s="181" t="s">
        <v>1056</v>
      </c>
      <c r="B555" s="181"/>
      <c r="C555" s="181"/>
      <c r="D555" s="181"/>
      <c r="E555" s="181"/>
      <c r="F555" s="181"/>
      <c r="G555" s="181"/>
      <c r="H555" s="181"/>
      <c r="I555" s="181"/>
      <c r="J555" s="181"/>
      <c r="K555" s="181"/>
      <c r="L555" s="181"/>
      <c r="M555" s="181"/>
      <c r="N555" s="181"/>
      <c r="O555" s="181"/>
      <c r="P555" s="181"/>
      <c r="Q555" s="181"/>
      <c r="R555" s="181"/>
    </row>
    <row r="557" spans="1:18" x14ac:dyDescent="0.25">
      <c r="G557" t="s">
        <v>279</v>
      </c>
    </row>
    <row r="560" spans="1:18" x14ac:dyDescent="0.25">
      <c r="B560" s="46"/>
      <c r="J560" s="188" t="s">
        <v>109</v>
      </c>
      <c r="K560" s="188"/>
    </row>
    <row r="561" spans="2:15" x14ac:dyDescent="0.25">
      <c r="B561" s="47" t="s">
        <v>4</v>
      </c>
      <c r="C561" s="47" t="s">
        <v>112</v>
      </c>
      <c r="D561" s="47" t="s">
        <v>110</v>
      </c>
      <c r="E561" s="47" t="s">
        <v>8</v>
      </c>
      <c r="F561" s="47" t="s">
        <v>113</v>
      </c>
      <c r="G561" s="48" t="s">
        <v>111</v>
      </c>
      <c r="J561" s="47" t="s">
        <v>110</v>
      </c>
      <c r="K561" s="47" t="s">
        <v>111</v>
      </c>
    </row>
    <row r="562" spans="2:15" x14ac:dyDescent="0.25">
      <c r="B562" s="94">
        <v>46104</v>
      </c>
      <c r="C562" s="53" t="s">
        <v>1198</v>
      </c>
      <c r="D562" s="53" t="s">
        <v>116</v>
      </c>
      <c r="E562" s="128">
        <v>102000</v>
      </c>
      <c r="F562" s="71"/>
      <c r="G562" s="67">
        <f>movimientos5488111431821222427[[#This Row],[MONTO]]-movimientos5488111431821222427[[#This Row],[SALIDAS]]</f>
        <v>102000</v>
      </c>
      <c r="J562" s="49" t="s">
        <v>116</v>
      </c>
      <c r="K562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190000</v>
      </c>
    </row>
    <row r="563" spans="2:15" x14ac:dyDescent="0.25">
      <c r="B563" s="94">
        <v>46095</v>
      </c>
      <c r="C563" s="53" t="s">
        <v>1258</v>
      </c>
      <c r="D563" s="53" t="s">
        <v>116</v>
      </c>
      <c r="E563" s="70">
        <v>20000</v>
      </c>
      <c r="F563" s="71"/>
      <c r="G563" s="67">
        <f>movimientos5488111431821222427[[#This Row],[MONTO]]-movimientos5488111431821222427[[#This Row],[SALIDAS]]</f>
        <v>20000</v>
      </c>
      <c r="J563" s="51" t="s">
        <v>123</v>
      </c>
      <c r="K563" s="75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709500</v>
      </c>
    </row>
    <row r="564" spans="2:15" x14ac:dyDescent="0.25">
      <c r="B564" s="92">
        <v>46112</v>
      </c>
      <c r="C564" s="53" t="s">
        <v>230</v>
      </c>
      <c r="D564" s="53" t="s">
        <v>116</v>
      </c>
      <c r="E564" s="70">
        <v>5000</v>
      </c>
      <c r="F564" s="72"/>
      <c r="G564" s="67">
        <f>movimientos5488111431821222427[[#This Row],[MONTO]]-movimientos5488111431821222427[[#This Row],[SALIDAS]]</f>
        <v>5000</v>
      </c>
      <c r="J564" s="49" t="s">
        <v>181</v>
      </c>
      <c r="K564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0</v>
      </c>
      <c r="N564" s="180"/>
      <c r="O564" s="180"/>
    </row>
    <row r="565" spans="2:15" x14ac:dyDescent="0.25">
      <c r="B565" s="92">
        <v>46112</v>
      </c>
      <c r="C565" s="53" t="s">
        <v>27</v>
      </c>
      <c r="D565" s="53" t="s">
        <v>116</v>
      </c>
      <c r="E565" s="70">
        <v>34000</v>
      </c>
      <c r="F565" s="72"/>
      <c r="G565" s="67">
        <f>movimientos5488111431821222427[[#This Row],[MONTO]]-movimientos5488111431821222427[[#This Row],[SALIDAS]]</f>
        <v>34000</v>
      </c>
      <c r="J565" s="49" t="s">
        <v>121</v>
      </c>
      <c r="K565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80000</v>
      </c>
      <c r="N565" s="180"/>
      <c r="O565" s="180"/>
    </row>
    <row r="566" spans="2:15" x14ac:dyDescent="0.25">
      <c r="B566" s="92">
        <v>46100</v>
      </c>
      <c r="C566" s="53" t="s">
        <v>1263</v>
      </c>
      <c r="D566" s="53" t="s">
        <v>116</v>
      </c>
      <c r="E566" s="70">
        <v>19000</v>
      </c>
      <c r="F566" s="72"/>
      <c r="G566" s="67">
        <f>movimientos5488111431821222427[[#This Row],[MONTO]]-movimientos5488111431821222427[[#This Row],[SALIDAS]]</f>
        <v>19000</v>
      </c>
      <c r="J566" s="49" t="s">
        <v>114</v>
      </c>
      <c r="K566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505500</v>
      </c>
    </row>
    <row r="567" spans="2:15" x14ac:dyDescent="0.25">
      <c r="B567" s="92">
        <v>46099</v>
      </c>
      <c r="C567" s="53" t="s">
        <v>143</v>
      </c>
      <c r="D567" s="53" t="s">
        <v>116</v>
      </c>
      <c r="E567" s="70">
        <v>10000</v>
      </c>
      <c r="F567" s="72"/>
      <c r="G567" s="67">
        <f>movimientos5488111431821222427[[#This Row],[MONTO]]-movimientos5488111431821222427[[#This Row],[SALIDAS]]</f>
        <v>10000</v>
      </c>
      <c r="J567" s="49" t="s">
        <v>119</v>
      </c>
      <c r="K567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2678281</v>
      </c>
    </row>
    <row r="568" spans="2:15" x14ac:dyDescent="0.25">
      <c r="B568" s="94">
        <v>46112</v>
      </c>
      <c r="C568" s="53" t="s">
        <v>1265</v>
      </c>
      <c r="D568" s="53" t="s">
        <v>123</v>
      </c>
      <c r="E568" s="70">
        <v>370000</v>
      </c>
      <c r="F568" s="72"/>
      <c r="G568" s="67">
        <f>movimientos5488111431821222427[[#This Row],[MONTO]]-movimientos5488111431821222427[[#This Row],[SALIDAS]]</f>
        <v>370000</v>
      </c>
      <c r="J568" s="49" t="s">
        <v>118</v>
      </c>
      <c r="K568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1102518</v>
      </c>
    </row>
    <row r="569" spans="2:15" x14ac:dyDescent="0.25">
      <c r="B569" s="94">
        <v>46112</v>
      </c>
      <c r="C569" s="53" t="s">
        <v>337</v>
      </c>
      <c r="D569" s="53" t="s">
        <v>123</v>
      </c>
      <c r="E569" s="70">
        <v>28000</v>
      </c>
      <c r="F569" s="72"/>
      <c r="G569" s="67">
        <f>movimientos5488111431821222427[[#This Row],[MONTO]]-movimientos5488111431821222427[[#This Row],[SALIDAS]]</f>
        <v>28000</v>
      </c>
      <c r="J569" s="49" t="s">
        <v>126</v>
      </c>
      <c r="K569" s="68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100000</v>
      </c>
    </row>
    <row r="570" spans="2:15" x14ac:dyDescent="0.25">
      <c r="B570" s="50">
        <v>46112</v>
      </c>
      <c r="C570" s="53" t="s">
        <v>138</v>
      </c>
      <c r="D570" s="53" t="s">
        <v>123</v>
      </c>
      <c r="E570" s="70">
        <v>22000</v>
      </c>
      <c r="F570" s="71"/>
      <c r="G570" s="73">
        <f>movimientos5488111431821222427[[#This Row],[MONTO]]-movimientos5488111431821222427[[#This Row],[SALIDAS]]</f>
        <v>22000</v>
      </c>
      <c r="J570" s="90" t="s">
        <v>253</v>
      </c>
      <c r="K570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110000</v>
      </c>
    </row>
    <row r="571" spans="2:15" x14ac:dyDescent="0.25">
      <c r="B571" s="50">
        <v>46112</v>
      </c>
      <c r="C571" s="53" t="s">
        <v>375</v>
      </c>
      <c r="D571" s="53" t="s">
        <v>123</v>
      </c>
      <c r="E571" s="70">
        <v>30000</v>
      </c>
      <c r="F571" s="71"/>
      <c r="G571" s="73">
        <f>movimientos5488111431821222427[[#This Row],[MONTO]]-movimientos5488111431821222427[[#This Row],[SALIDAS]]</f>
        <v>30000</v>
      </c>
      <c r="J571" s="90" t="s">
        <v>247</v>
      </c>
      <c r="K571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0</v>
      </c>
    </row>
    <row r="572" spans="2:15" x14ac:dyDescent="0.25">
      <c r="B572" s="50">
        <v>46090</v>
      </c>
      <c r="C572" s="53" t="s">
        <v>218</v>
      </c>
      <c r="D572" s="53" t="s">
        <v>123</v>
      </c>
      <c r="E572" s="131">
        <v>200000</v>
      </c>
      <c r="F572" s="71"/>
      <c r="G572" s="73">
        <f>movimientos5488111431821222427[[#This Row],[MONTO]]-movimientos5488111431821222427[[#This Row],[SALIDAS]]</f>
        <v>200000</v>
      </c>
      <c r="J572" s="90" t="s">
        <v>645</v>
      </c>
      <c r="K572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150000</v>
      </c>
    </row>
    <row r="573" spans="2:15" x14ac:dyDescent="0.25">
      <c r="B573" s="50">
        <v>46094</v>
      </c>
      <c r="C573" s="53" t="s">
        <v>221</v>
      </c>
      <c r="D573" s="53" t="s">
        <v>123</v>
      </c>
      <c r="E573" s="70">
        <v>40000</v>
      </c>
      <c r="F573" s="71"/>
      <c r="G573" s="73">
        <f>movimientos5488111431821222427[[#This Row],[MONTO]]-movimientos5488111431821222427[[#This Row],[SALIDAS]]</f>
        <v>40000</v>
      </c>
      <c r="J573" s="90" t="s">
        <v>665</v>
      </c>
      <c r="K573" s="91">
        <f>SUMIF(movimientos5488111431821222427[COLABORADOR],resumen_caja558912132420192326[[#This Row],[COLABORADOR]],movimientos5488111431821222427[MONTO])-SUMIF(movimientos5488111431821222427[COLABORADOR],resumen_caja558912132420192326[[#This Row],[COLABORADOR]],movimientos5488111431821222427[SALIDAS])</f>
        <v>175500</v>
      </c>
    </row>
    <row r="574" spans="2:15" x14ac:dyDescent="0.25">
      <c r="B574" s="93">
        <v>46112</v>
      </c>
      <c r="C574" s="51" t="s">
        <v>27</v>
      </c>
      <c r="D574" s="53" t="s">
        <v>123</v>
      </c>
      <c r="E574" s="70">
        <v>19500</v>
      </c>
      <c r="F574" s="71"/>
      <c r="G574" s="73">
        <f>movimientos5488111431821222427[[#This Row],[MONTO]]-movimientos5488111431821222427[[#This Row],[SALIDAS]]</f>
        <v>19500</v>
      </c>
    </row>
    <row r="575" spans="2:15" x14ac:dyDescent="0.25">
      <c r="B575" s="50">
        <v>46112</v>
      </c>
      <c r="C575" s="53" t="s">
        <v>428</v>
      </c>
      <c r="D575" s="53" t="s">
        <v>121</v>
      </c>
      <c r="E575" s="70">
        <v>20000</v>
      </c>
      <c r="F575" s="71"/>
      <c r="G575" s="73">
        <f>movimientos5488111431821222427[[#This Row],[MONTO]]-movimientos5488111431821222427[[#This Row],[SALIDAS]]</f>
        <v>20000</v>
      </c>
    </row>
    <row r="576" spans="2:15" x14ac:dyDescent="0.25">
      <c r="B576" s="50">
        <v>46112</v>
      </c>
      <c r="C576" s="53" t="s">
        <v>1038</v>
      </c>
      <c r="D576" s="53" t="s">
        <v>121</v>
      </c>
      <c r="E576" s="128">
        <v>60000</v>
      </c>
      <c r="F576" s="71"/>
      <c r="G576" s="73">
        <f>movimientos5488111431821222427[[#This Row],[MONTO]]-movimientos5488111431821222427[[#This Row],[SALIDAS]]</f>
        <v>60000</v>
      </c>
      <c r="J576" t="s">
        <v>80</v>
      </c>
    </row>
    <row r="577" spans="2:7" x14ac:dyDescent="0.25">
      <c r="B577" s="50">
        <v>46112</v>
      </c>
      <c r="C577" s="53" t="s">
        <v>1262</v>
      </c>
      <c r="D577" s="53" t="s">
        <v>114</v>
      </c>
      <c r="E577" s="70">
        <v>100000</v>
      </c>
      <c r="F577" s="71"/>
      <c r="G577" s="73">
        <f>movimientos5488111431821222427[[#This Row],[MONTO]]-movimientos5488111431821222427[[#This Row],[SALIDAS]]</f>
        <v>100000</v>
      </c>
    </row>
    <row r="578" spans="2:7" x14ac:dyDescent="0.25">
      <c r="B578" s="50">
        <v>46112</v>
      </c>
      <c r="C578" s="53" t="s">
        <v>375</v>
      </c>
      <c r="D578" s="53" t="s">
        <v>114</v>
      </c>
      <c r="E578" s="70">
        <v>30000</v>
      </c>
      <c r="F578" s="71"/>
      <c r="G578" s="73">
        <f>movimientos5488111431821222427[[#This Row],[MONTO]]-movimientos5488111431821222427[[#This Row],[SALIDAS]]</f>
        <v>30000</v>
      </c>
    </row>
    <row r="579" spans="2:7" x14ac:dyDescent="0.25">
      <c r="B579" s="50">
        <v>46112</v>
      </c>
      <c r="C579" s="53" t="s">
        <v>1261</v>
      </c>
      <c r="D579" s="53" t="s">
        <v>114</v>
      </c>
      <c r="E579" s="70">
        <v>100000</v>
      </c>
      <c r="F579" s="71"/>
      <c r="G579" s="73">
        <f>movimientos5488111431821222427[[#This Row],[MONTO]]-movimientos5488111431821222427[[#This Row],[SALIDAS]]</f>
        <v>100000</v>
      </c>
    </row>
    <row r="580" spans="2:7" x14ac:dyDescent="0.25">
      <c r="B580" s="50">
        <v>46101</v>
      </c>
      <c r="C580" s="53" t="s">
        <v>1194</v>
      </c>
      <c r="D580" s="53" t="s">
        <v>114</v>
      </c>
      <c r="E580" s="70">
        <v>100000</v>
      </c>
      <c r="F580" s="71"/>
      <c r="G580" s="73">
        <f>movimientos5488111431821222427[[#This Row],[MONTO]]-movimientos5488111431821222427[[#This Row],[SALIDAS]]</f>
        <v>100000</v>
      </c>
    </row>
    <row r="581" spans="2:7" x14ac:dyDescent="0.25">
      <c r="B581" s="50">
        <v>46106</v>
      </c>
      <c r="C581" s="53" t="s">
        <v>1221</v>
      </c>
      <c r="D581" s="53" t="s">
        <v>114</v>
      </c>
      <c r="E581" s="131">
        <v>46000</v>
      </c>
      <c r="F581" s="71"/>
      <c r="G581" s="73">
        <f>movimientos5488111431821222427[[#This Row],[MONTO]]-movimientos5488111431821222427[[#This Row],[SALIDAS]]</f>
        <v>46000</v>
      </c>
    </row>
    <row r="582" spans="2:7" x14ac:dyDescent="0.25">
      <c r="B582" s="50">
        <v>46104</v>
      </c>
      <c r="C582" s="53" t="s">
        <v>251</v>
      </c>
      <c r="D582" s="53" t="s">
        <v>114</v>
      </c>
      <c r="E582" s="70">
        <v>50000</v>
      </c>
      <c r="F582" s="71"/>
      <c r="G582" s="73">
        <f>movimientos5488111431821222427[[#This Row],[MONTO]]-movimientos5488111431821222427[[#This Row],[SALIDAS]]</f>
        <v>50000</v>
      </c>
    </row>
    <row r="583" spans="2:7" x14ac:dyDescent="0.25">
      <c r="B583" s="50">
        <v>46108</v>
      </c>
      <c r="C583" s="51" t="s">
        <v>257</v>
      </c>
      <c r="D583" s="53" t="s">
        <v>114</v>
      </c>
      <c r="E583" s="70">
        <v>50000</v>
      </c>
      <c r="F583" s="71"/>
      <c r="G583" s="73">
        <f>movimientos5488111431821222427[[#This Row],[MONTO]]-movimientos5488111431821222427[[#This Row],[SALIDAS]]</f>
        <v>50000</v>
      </c>
    </row>
    <row r="584" spans="2:7" x14ac:dyDescent="0.25">
      <c r="B584" s="93">
        <v>46112</v>
      </c>
      <c r="C584" s="53" t="s">
        <v>27</v>
      </c>
      <c r="D584" s="53" t="s">
        <v>114</v>
      </c>
      <c r="E584" s="70">
        <v>29500</v>
      </c>
      <c r="F584" s="72"/>
      <c r="G584" s="67">
        <f>movimientos5488111431821222427[[#This Row],[MONTO]]-movimientos5488111431821222427[[#This Row],[SALIDAS]]</f>
        <v>29500</v>
      </c>
    </row>
    <row r="585" spans="2:7" x14ac:dyDescent="0.25">
      <c r="B585" s="50">
        <v>46090</v>
      </c>
      <c r="C585" s="53" t="s">
        <v>1098</v>
      </c>
      <c r="D585" s="53" t="s">
        <v>119</v>
      </c>
      <c r="E585" s="70">
        <v>103781</v>
      </c>
      <c r="F585" s="71"/>
      <c r="G585" s="73">
        <f>movimientos5488111431821222427[[#This Row],[MONTO]]-movimientos5488111431821222427[[#This Row],[SALIDAS]]</f>
        <v>103781</v>
      </c>
    </row>
    <row r="586" spans="2:7" x14ac:dyDescent="0.25">
      <c r="B586" s="50">
        <v>46090</v>
      </c>
      <c r="C586" s="51" t="s">
        <v>1099</v>
      </c>
      <c r="D586" s="53" t="s">
        <v>119</v>
      </c>
      <c r="E586" s="131">
        <v>20000</v>
      </c>
      <c r="F586" s="72"/>
      <c r="G586" s="67">
        <f>movimientos5488111431821222427[[#This Row],[MONTO]]-movimientos5488111431821222427[[#This Row],[SALIDAS]]</f>
        <v>20000</v>
      </c>
    </row>
    <row r="587" spans="2:7" x14ac:dyDescent="0.25">
      <c r="B587" s="50">
        <v>46092</v>
      </c>
      <c r="C587" s="53" t="s">
        <v>1126</v>
      </c>
      <c r="D587" s="53" t="s">
        <v>119</v>
      </c>
      <c r="E587" s="131">
        <v>320000</v>
      </c>
      <c r="F587" s="72"/>
      <c r="G587" s="67">
        <f>movimientos5488111431821222427[[#This Row],[MONTO]]-movimientos5488111431821222427[[#This Row],[SALIDAS]]</f>
        <v>320000</v>
      </c>
    </row>
    <row r="588" spans="2:7" x14ac:dyDescent="0.25">
      <c r="B588" s="50">
        <v>46097</v>
      </c>
      <c r="C588" s="53" t="s">
        <v>1158</v>
      </c>
      <c r="D588" s="53" t="s">
        <v>119</v>
      </c>
      <c r="E588" s="131">
        <v>50000</v>
      </c>
      <c r="F588" s="72"/>
      <c r="G588" s="67">
        <f>movimientos5488111431821222427[[#This Row],[MONTO]]-movimientos5488111431821222427[[#This Row],[SALIDAS]]</f>
        <v>50000</v>
      </c>
    </row>
    <row r="589" spans="2:7" x14ac:dyDescent="0.25">
      <c r="B589" s="50">
        <v>46097</v>
      </c>
      <c r="C589" s="53" t="s">
        <v>107</v>
      </c>
      <c r="D589" s="53" t="s">
        <v>119</v>
      </c>
      <c r="E589" s="136">
        <v>943000</v>
      </c>
      <c r="F589" s="72"/>
      <c r="G589" s="67">
        <f>movimientos5488111431821222427[[#This Row],[MONTO]]-movimientos5488111431821222427[[#This Row],[SALIDAS]]</f>
        <v>943000</v>
      </c>
    </row>
    <row r="590" spans="2:7" x14ac:dyDescent="0.25">
      <c r="B590" s="50">
        <v>46097</v>
      </c>
      <c r="C590" s="51" t="s">
        <v>1159</v>
      </c>
      <c r="D590" s="53" t="s">
        <v>119</v>
      </c>
      <c r="E590" s="136">
        <v>1200000</v>
      </c>
      <c r="F590" s="72"/>
      <c r="G590" s="67">
        <f>movimientos5488111431821222427[[#This Row],[MONTO]]-movimientos5488111431821222427[[#This Row],[SALIDAS]]</f>
        <v>1200000</v>
      </c>
    </row>
    <row r="591" spans="2:7" x14ac:dyDescent="0.25">
      <c r="B591" s="50">
        <v>46111</v>
      </c>
      <c r="C591" s="51" t="s">
        <v>27</v>
      </c>
      <c r="D591" s="53" t="s">
        <v>119</v>
      </c>
      <c r="E591" s="66">
        <v>41500</v>
      </c>
      <c r="F591" s="72"/>
      <c r="G591" s="67">
        <f>movimientos5488111431821222427[[#This Row],[MONTO]]-movimientos5488111431821222427[[#This Row],[SALIDAS]]</f>
        <v>41500</v>
      </c>
    </row>
    <row r="592" spans="2:7" x14ac:dyDescent="0.25">
      <c r="B592" s="50">
        <v>46093</v>
      </c>
      <c r="C592" s="51" t="s">
        <v>220</v>
      </c>
      <c r="D592" s="53" t="s">
        <v>253</v>
      </c>
      <c r="E592" s="66">
        <v>100000</v>
      </c>
      <c r="F592" s="72"/>
      <c r="G592" s="67">
        <f>movimientos5488111431821222427[[#This Row],[MONTO]]-movimientos5488111431821222427[[#This Row],[SALIDAS]]</f>
        <v>100000</v>
      </c>
    </row>
    <row r="593" spans="2:7" x14ac:dyDescent="0.25">
      <c r="B593" s="50">
        <v>46108</v>
      </c>
      <c r="C593" s="51" t="s">
        <v>256</v>
      </c>
      <c r="D593" s="53" t="s">
        <v>253</v>
      </c>
      <c r="E593" s="66">
        <v>10000</v>
      </c>
      <c r="F593" s="72"/>
      <c r="G593" s="67">
        <f>movimientos5488111431821222427[[#This Row],[MONTO]]-movimientos5488111431821222427[[#This Row],[SALIDAS]]</f>
        <v>10000</v>
      </c>
    </row>
    <row r="594" spans="2:7" x14ac:dyDescent="0.25">
      <c r="B594" s="50">
        <v>46104</v>
      </c>
      <c r="C594" s="51" t="s">
        <v>250</v>
      </c>
      <c r="D594" s="53" t="s">
        <v>645</v>
      </c>
      <c r="E594" s="66">
        <v>40000</v>
      </c>
      <c r="F594" s="72"/>
      <c r="G594" s="67">
        <f>movimientos5488111431821222427[[#This Row],[MONTO]]-movimientos5488111431821222427[[#This Row],[SALIDAS]]</f>
        <v>40000</v>
      </c>
    </row>
    <row r="595" spans="2:7" x14ac:dyDescent="0.25">
      <c r="B595" s="50">
        <v>46095</v>
      </c>
      <c r="C595" s="51" t="s">
        <v>1259</v>
      </c>
      <c r="D595" s="53" t="s">
        <v>645</v>
      </c>
      <c r="E595" s="66">
        <v>60000</v>
      </c>
      <c r="F595" s="72"/>
      <c r="G595" s="67">
        <f>movimientos5488111431821222427[[#This Row],[MONTO]]-movimientos5488111431821222427[[#This Row],[SALIDAS]]</f>
        <v>60000</v>
      </c>
    </row>
    <row r="596" spans="2:7" x14ac:dyDescent="0.25">
      <c r="B596" s="50">
        <v>46106</v>
      </c>
      <c r="C596" s="51" t="s">
        <v>1260</v>
      </c>
      <c r="D596" s="53" t="s">
        <v>645</v>
      </c>
      <c r="E596" s="66">
        <v>50000</v>
      </c>
      <c r="F596" s="72"/>
      <c r="G596" s="67">
        <f>movimientos5488111431821222427[[#This Row],[MONTO]]-movimientos5488111431821222427[[#This Row],[SALIDAS]]</f>
        <v>50000</v>
      </c>
    </row>
    <row r="597" spans="2:7" x14ac:dyDescent="0.25">
      <c r="B597" s="50">
        <v>46081</v>
      </c>
      <c r="C597" s="51" t="s">
        <v>1057</v>
      </c>
      <c r="D597" s="53" t="s">
        <v>118</v>
      </c>
      <c r="E597" s="66">
        <v>250000</v>
      </c>
      <c r="F597" s="72"/>
      <c r="G597" s="67">
        <f>movimientos5488111431821222427[[#This Row],[MONTO]]-movimientos5488111431821222427[[#This Row],[SALIDAS]]</f>
        <v>250000</v>
      </c>
    </row>
    <row r="598" spans="2:7" x14ac:dyDescent="0.25">
      <c r="B598" s="50">
        <v>46081</v>
      </c>
      <c r="C598" s="51" t="s">
        <v>1264</v>
      </c>
      <c r="D598" s="53" t="s">
        <v>118</v>
      </c>
      <c r="E598" s="66">
        <v>100000</v>
      </c>
      <c r="F598" s="72"/>
      <c r="G598" s="67">
        <f>movimientos5488111431821222427[[#This Row],[MONTO]]-movimientos5488111431821222427[[#This Row],[SALIDAS]]</f>
        <v>100000</v>
      </c>
    </row>
    <row r="599" spans="2:7" x14ac:dyDescent="0.25">
      <c r="B599" s="50">
        <v>46081</v>
      </c>
      <c r="C599" s="51" t="s">
        <v>375</v>
      </c>
      <c r="D599" s="53" t="s">
        <v>118</v>
      </c>
      <c r="E599" s="66">
        <v>30000</v>
      </c>
      <c r="F599" s="72"/>
      <c r="G599" s="67">
        <f>movimientos5488111431821222427[[#This Row],[MONTO]]-movimientos5488111431821222427[[#This Row],[SALIDAS]]</f>
        <v>30000</v>
      </c>
    </row>
    <row r="600" spans="2:7" x14ac:dyDescent="0.25">
      <c r="B600" s="50">
        <v>46081</v>
      </c>
      <c r="C600" s="51" t="s">
        <v>236</v>
      </c>
      <c r="D600" s="53" t="s">
        <v>118</v>
      </c>
      <c r="E600" s="66">
        <v>12000</v>
      </c>
      <c r="F600" s="72"/>
      <c r="G600" s="67">
        <f>movimientos5488111431821222427[[#This Row],[MONTO]]-movimientos5488111431821222427[[#This Row],[SALIDAS]]</f>
        <v>12000</v>
      </c>
    </row>
    <row r="601" spans="2:7" x14ac:dyDescent="0.25">
      <c r="B601" s="50">
        <v>46081</v>
      </c>
      <c r="C601" s="51" t="s">
        <v>1058</v>
      </c>
      <c r="D601" s="53" t="s">
        <v>118</v>
      </c>
      <c r="E601" s="66">
        <v>55018</v>
      </c>
      <c r="F601" s="72"/>
      <c r="G601" s="67">
        <f>movimientos5488111431821222427[[#This Row],[MONTO]]-movimientos5488111431821222427[[#This Row],[SALIDAS]]</f>
        <v>55018</v>
      </c>
    </row>
    <row r="602" spans="2:7" x14ac:dyDescent="0.25">
      <c r="B602" s="50">
        <v>46104</v>
      </c>
      <c r="C602" s="51" t="s">
        <v>1198</v>
      </c>
      <c r="D602" s="53" t="s">
        <v>118</v>
      </c>
      <c r="E602" s="66">
        <v>121000</v>
      </c>
      <c r="F602" s="72"/>
      <c r="G602" s="67">
        <f>movimientos5488111431821222427[[#This Row],[MONTO]]-movimientos5488111431821222427[[#This Row],[SALIDAS]]</f>
        <v>121000</v>
      </c>
    </row>
    <row r="603" spans="2:7" x14ac:dyDescent="0.25">
      <c r="B603" s="50">
        <v>46104</v>
      </c>
      <c r="C603" s="53" t="s">
        <v>1199</v>
      </c>
      <c r="D603" s="53" t="s">
        <v>118</v>
      </c>
      <c r="E603" s="128">
        <v>20000</v>
      </c>
      <c r="F603" s="71"/>
      <c r="G603" s="73">
        <f>movimientos5488111431821222427[[#This Row],[MONTO]]-movimientos5488111431821222427[[#This Row],[SALIDAS]]</f>
        <v>20000</v>
      </c>
    </row>
    <row r="604" spans="2:7" x14ac:dyDescent="0.25">
      <c r="B604" s="50">
        <v>46104</v>
      </c>
      <c r="C604" s="53" t="s">
        <v>1200</v>
      </c>
      <c r="D604" s="53" t="s">
        <v>118</v>
      </c>
      <c r="E604" s="128">
        <v>40000</v>
      </c>
      <c r="F604" s="71"/>
      <c r="G604" s="73">
        <f>movimientos5488111431821222427[[#This Row],[MONTO]]-movimientos5488111431821222427[[#This Row],[SALIDAS]]</f>
        <v>40000</v>
      </c>
    </row>
    <row r="605" spans="2:7" x14ac:dyDescent="0.25">
      <c r="B605" s="50">
        <v>46106</v>
      </c>
      <c r="C605" s="53" t="s">
        <v>1225</v>
      </c>
      <c r="D605" s="53" t="s">
        <v>118</v>
      </c>
      <c r="E605" s="128">
        <v>15000</v>
      </c>
      <c r="F605" s="71"/>
      <c r="G605" s="73">
        <f>movimientos5488111431821222427[[#This Row],[MONTO]]-movimientos5488111431821222427[[#This Row],[SALIDAS]]</f>
        <v>15000</v>
      </c>
    </row>
    <row r="606" spans="2:7" x14ac:dyDescent="0.25">
      <c r="B606" s="50">
        <v>46083</v>
      </c>
      <c r="C606" s="53" t="s">
        <v>200</v>
      </c>
      <c r="D606" s="53" t="s">
        <v>118</v>
      </c>
      <c r="E606" s="128">
        <v>200000</v>
      </c>
      <c r="F606" s="71"/>
      <c r="G606" s="73">
        <f>movimientos5488111431821222427[[#This Row],[MONTO]]-movimientos5488111431821222427[[#This Row],[SALIDAS]]</f>
        <v>200000</v>
      </c>
    </row>
    <row r="607" spans="2:7" x14ac:dyDescent="0.25">
      <c r="B607" s="94">
        <v>46085</v>
      </c>
      <c r="C607" s="53" t="s">
        <v>203</v>
      </c>
      <c r="D607" s="53" t="s">
        <v>118</v>
      </c>
      <c r="E607" s="128">
        <v>100000</v>
      </c>
      <c r="F607" s="71"/>
      <c r="G607" s="73">
        <f>movimientos5488111431821222427[[#This Row],[MONTO]]-movimientos5488111431821222427[[#This Row],[SALIDAS]]</f>
        <v>100000</v>
      </c>
    </row>
    <row r="608" spans="2:7" x14ac:dyDescent="0.25">
      <c r="B608" s="94">
        <v>46095</v>
      </c>
      <c r="C608" s="53" t="s">
        <v>1227</v>
      </c>
      <c r="D608" s="53" t="s">
        <v>118</v>
      </c>
      <c r="E608" s="70">
        <v>110000</v>
      </c>
      <c r="F608" s="71"/>
      <c r="G608" s="73">
        <f>movimientos5488111431821222427[[#This Row],[MONTO]]-movimientos5488111431821222427[[#This Row],[SALIDAS]]</f>
        <v>110000</v>
      </c>
    </row>
    <row r="609" spans="1:18" x14ac:dyDescent="0.25">
      <c r="B609" s="92">
        <v>46112</v>
      </c>
      <c r="C609" s="53" t="s">
        <v>27</v>
      </c>
      <c r="D609" s="53" t="s">
        <v>118</v>
      </c>
      <c r="E609" s="70">
        <v>49500</v>
      </c>
      <c r="F609" s="71"/>
      <c r="G609" s="73">
        <f>movimientos5488111431821222427[[#This Row],[MONTO]]-movimientos5488111431821222427[[#This Row],[SALIDAS]]</f>
        <v>49500</v>
      </c>
    </row>
    <row r="610" spans="1:18" x14ac:dyDescent="0.25">
      <c r="B610" s="94">
        <v>46087</v>
      </c>
      <c r="C610" s="53" t="s">
        <v>1079</v>
      </c>
      <c r="D610" s="53" t="s">
        <v>126</v>
      </c>
      <c r="E610" s="131">
        <v>100000</v>
      </c>
      <c r="F610" s="71"/>
      <c r="G610" s="73">
        <f>movimientos5488111431821222427[[#This Row],[MONTO]]-movimientos5488111431821222427[[#This Row],[SALIDAS]]</f>
        <v>100000</v>
      </c>
    </row>
    <row r="611" spans="1:18" x14ac:dyDescent="0.25">
      <c r="B611" s="94">
        <v>46092</v>
      </c>
      <c r="C611" s="53" t="s">
        <v>1124</v>
      </c>
      <c r="D611" s="53" t="s">
        <v>665</v>
      </c>
      <c r="E611" s="131">
        <v>30000</v>
      </c>
      <c r="F611" s="71"/>
      <c r="G611" s="73">
        <f>movimientos5488111431821222427[[#This Row],[MONTO]]-movimientos5488111431821222427[[#This Row],[SALIDAS]]</f>
        <v>30000</v>
      </c>
    </row>
    <row r="612" spans="1:18" x14ac:dyDescent="0.25">
      <c r="B612" s="94">
        <v>46092</v>
      </c>
      <c r="C612" s="53" t="s">
        <v>219</v>
      </c>
      <c r="D612" s="53" t="s">
        <v>665</v>
      </c>
      <c r="E612" s="131">
        <v>20000</v>
      </c>
      <c r="F612" s="71"/>
      <c r="G612" s="73">
        <f>movimientos5488111431821222427[[#This Row],[MONTO]]-movimientos5488111431821222427[[#This Row],[SALIDAS]]</f>
        <v>20000</v>
      </c>
    </row>
    <row r="613" spans="1:18" x14ac:dyDescent="0.25">
      <c r="B613" s="94">
        <v>46085</v>
      </c>
      <c r="C613" s="53" t="s">
        <v>202</v>
      </c>
      <c r="D613" s="53" t="s">
        <v>665</v>
      </c>
      <c r="E613" s="70">
        <v>100000</v>
      </c>
      <c r="F613" s="71"/>
      <c r="G613" s="73">
        <f>movimientos5488111431821222427[[#This Row],[MONTO]]-movimientos5488111431821222427[[#This Row],[SALIDAS]]</f>
        <v>100000</v>
      </c>
    </row>
    <row r="614" spans="1:18" x14ac:dyDescent="0.25">
      <c r="B614" s="92">
        <v>46112</v>
      </c>
      <c r="C614" s="53" t="s">
        <v>27</v>
      </c>
      <c r="D614" s="53" t="s">
        <v>665</v>
      </c>
      <c r="E614" s="70">
        <v>25500</v>
      </c>
      <c r="F614" s="71"/>
      <c r="G614" s="73">
        <f>movimientos5488111431821222427[[#This Row],[MONTO]]-movimientos5488111431821222427[[#This Row],[SALIDAS]]</f>
        <v>25500</v>
      </c>
    </row>
    <row r="615" spans="1:18" x14ac:dyDescent="0.25">
      <c r="B615" s="92"/>
      <c r="C615" s="53"/>
      <c r="D615" s="53"/>
      <c r="E615" s="70"/>
      <c r="F615" s="71"/>
      <c r="G615" s="73">
        <f>movimientos5488111431821222427[[#This Row],[MONTO]]-movimientos5488111431821222427[[#This Row],[SALIDAS]]</f>
        <v>0</v>
      </c>
    </row>
    <row r="616" spans="1:18" x14ac:dyDescent="0.25">
      <c r="B616" s="50"/>
    </row>
    <row r="617" spans="1:18" x14ac:dyDescent="0.25">
      <c r="B617" s="50"/>
    </row>
    <row r="618" spans="1:18" x14ac:dyDescent="0.25">
      <c r="B618" s="50"/>
    </row>
    <row r="619" spans="1:18" ht="31.5" x14ac:dyDescent="0.5">
      <c r="A619" s="181" t="s">
        <v>1274</v>
      </c>
      <c r="B619" s="181"/>
      <c r="C619" s="181"/>
      <c r="D619" s="181"/>
      <c r="E619" s="181"/>
      <c r="F619" s="181"/>
      <c r="G619" s="181"/>
      <c r="H619" s="181"/>
      <c r="I619" s="181"/>
      <c r="J619" s="181"/>
      <c r="K619" s="181"/>
      <c r="L619" s="181"/>
      <c r="M619" s="181"/>
      <c r="N619" s="181"/>
      <c r="O619" s="181"/>
      <c r="P619" s="181"/>
      <c r="Q619" s="181"/>
      <c r="R619" s="181"/>
    </row>
    <row r="621" spans="1:18" x14ac:dyDescent="0.25">
      <c r="G621" t="s">
        <v>279</v>
      </c>
    </row>
    <row r="624" spans="1:18" x14ac:dyDescent="0.25">
      <c r="B624" s="46"/>
      <c r="J624" s="188" t="s">
        <v>109</v>
      </c>
      <c r="K624" s="188"/>
    </row>
    <row r="625" spans="2:15" x14ac:dyDescent="0.25">
      <c r="B625" s="47" t="s">
        <v>4</v>
      </c>
      <c r="C625" s="47" t="s">
        <v>112</v>
      </c>
      <c r="D625" s="47" t="s">
        <v>110</v>
      </c>
      <c r="E625" s="47" t="s">
        <v>8</v>
      </c>
      <c r="F625" s="47" t="s">
        <v>113</v>
      </c>
      <c r="G625" s="48" t="s">
        <v>111</v>
      </c>
      <c r="J625" s="47" t="s">
        <v>110</v>
      </c>
      <c r="K625" s="47" t="s">
        <v>111</v>
      </c>
    </row>
    <row r="626" spans="2:15" x14ac:dyDescent="0.25">
      <c r="B626" s="94">
        <v>46126</v>
      </c>
      <c r="C626" s="53" t="s">
        <v>1407</v>
      </c>
      <c r="D626" s="53" t="s">
        <v>116</v>
      </c>
      <c r="E626" s="131">
        <v>200000</v>
      </c>
      <c r="F626" s="71"/>
      <c r="G626" s="67">
        <f>movimientos548811143182122242728[[#This Row],[MONTO]]-movimientos548811143182122242728[[#This Row],[SALIDAS]]</f>
        <v>200000</v>
      </c>
      <c r="J626" s="49" t="s">
        <v>116</v>
      </c>
      <c r="K626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362136</v>
      </c>
    </row>
    <row r="627" spans="2:15" x14ac:dyDescent="0.25">
      <c r="B627" s="94">
        <v>46129</v>
      </c>
      <c r="C627" s="53" t="s">
        <v>1425</v>
      </c>
      <c r="D627" s="53" t="s">
        <v>116</v>
      </c>
      <c r="E627" s="70">
        <v>27013</v>
      </c>
      <c r="F627" s="71"/>
      <c r="G627" s="67">
        <f>movimientos548811143182122242728[[#This Row],[MONTO]]-movimientos548811143182122242728[[#This Row],[SALIDAS]]</f>
        <v>27013</v>
      </c>
      <c r="J627" s="51" t="s">
        <v>123</v>
      </c>
      <c r="K627" s="75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705158</v>
      </c>
    </row>
    <row r="628" spans="2:15" x14ac:dyDescent="0.25">
      <c r="B628" s="94">
        <v>46129</v>
      </c>
      <c r="C628" s="53" t="s">
        <v>302</v>
      </c>
      <c r="D628" s="53" t="s">
        <v>116</v>
      </c>
      <c r="E628" s="131">
        <v>12055</v>
      </c>
      <c r="F628" s="72"/>
      <c r="G628" s="67">
        <f>movimientos548811143182122242728[[#This Row],[MONTO]]-movimientos548811143182122242728[[#This Row],[SALIDAS]]</f>
        <v>12055</v>
      </c>
      <c r="J628" s="49" t="s">
        <v>181</v>
      </c>
      <c r="K628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  <c r="N628" s="180"/>
      <c r="O628" s="180"/>
    </row>
    <row r="629" spans="2:15" x14ac:dyDescent="0.25">
      <c r="B629" s="94">
        <v>46133</v>
      </c>
      <c r="C629" s="53" t="s">
        <v>328</v>
      </c>
      <c r="D629" s="53" t="s">
        <v>116</v>
      </c>
      <c r="E629" s="70">
        <v>50000</v>
      </c>
      <c r="F629" s="72"/>
      <c r="G629" s="67">
        <f>movimientos548811143182122242728[[#This Row],[MONTO]]-movimientos548811143182122242728[[#This Row],[SALIDAS]]</f>
        <v>50000</v>
      </c>
      <c r="J629" s="49" t="s">
        <v>121</v>
      </c>
      <c r="K629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  <c r="N629" s="180"/>
      <c r="O629" s="180"/>
    </row>
    <row r="630" spans="2:15" x14ac:dyDescent="0.25">
      <c r="B630" s="94">
        <v>46142</v>
      </c>
      <c r="C630" s="53" t="s">
        <v>27</v>
      </c>
      <c r="D630" s="53" t="s">
        <v>116</v>
      </c>
      <c r="E630" s="128">
        <v>34000</v>
      </c>
      <c r="F630" s="72"/>
      <c r="G630" s="67">
        <f>movimientos548811143182122242728[[#This Row],[MONTO]]-movimientos548811143182122242728[[#This Row],[SALIDAS]]</f>
        <v>34000</v>
      </c>
      <c r="J630" s="49" t="s">
        <v>114</v>
      </c>
      <c r="K630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639500</v>
      </c>
    </row>
    <row r="631" spans="2:15" x14ac:dyDescent="0.25">
      <c r="B631" s="94">
        <v>46129</v>
      </c>
      <c r="C631" s="53" t="s">
        <v>302</v>
      </c>
      <c r="D631" s="53" t="s">
        <v>116</v>
      </c>
      <c r="E631" s="131">
        <v>12055</v>
      </c>
      <c r="F631" s="72"/>
      <c r="G631" s="67">
        <f>movimientos548811143182122242728[[#This Row],[MONTO]]-movimientos548811143182122242728[[#This Row],[SALIDAS]]</f>
        <v>12055</v>
      </c>
      <c r="J631" s="49" t="s">
        <v>119</v>
      </c>
      <c r="K631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438500</v>
      </c>
    </row>
    <row r="632" spans="2:15" x14ac:dyDescent="0.25">
      <c r="B632" s="94">
        <v>46129</v>
      </c>
      <c r="C632" s="53" t="s">
        <v>1425</v>
      </c>
      <c r="D632" s="53" t="s">
        <v>116</v>
      </c>
      <c r="E632" s="70">
        <v>27013</v>
      </c>
      <c r="F632" s="72"/>
      <c r="G632" s="67">
        <f>movimientos548811143182122242728[[#This Row],[MONTO]]-movimientos548811143182122242728[[#This Row],[SALIDAS]]</f>
        <v>27013</v>
      </c>
      <c r="J632" s="49" t="s">
        <v>118</v>
      </c>
      <c r="K632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1007268</v>
      </c>
    </row>
    <row r="633" spans="2:15" x14ac:dyDescent="0.25">
      <c r="B633" s="94">
        <v>46142</v>
      </c>
      <c r="C633" s="53" t="s">
        <v>1390</v>
      </c>
      <c r="D633" s="53" t="s">
        <v>123</v>
      </c>
      <c r="E633" s="70">
        <v>370000</v>
      </c>
      <c r="F633" s="72"/>
      <c r="G633" s="67">
        <f>movimientos548811143182122242728[[#This Row],[MONTO]]-movimientos548811143182122242728[[#This Row],[SALIDAS]]</f>
        <v>370000</v>
      </c>
      <c r="J633" s="49" t="s">
        <v>126</v>
      </c>
      <c r="K633" s="68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4" spans="2:15" x14ac:dyDescent="0.25">
      <c r="B634" s="94">
        <v>46142</v>
      </c>
      <c r="C634" s="51" t="s">
        <v>337</v>
      </c>
      <c r="D634" s="53" t="s">
        <v>123</v>
      </c>
      <c r="E634" s="70">
        <v>28000</v>
      </c>
      <c r="F634" s="71"/>
      <c r="G634" s="73">
        <f>movimientos548811143182122242728[[#This Row],[MONTO]]-movimientos548811143182122242728[[#This Row],[SALIDAS]]</f>
        <v>28000</v>
      </c>
      <c r="J634" s="90" t="s">
        <v>253</v>
      </c>
      <c r="K634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5" spans="2:15" x14ac:dyDescent="0.25">
      <c r="B635" s="94">
        <v>46142</v>
      </c>
      <c r="C635" s="53" t="s">
        <v>138</v>
      </c>
      <c r="D635" s="53" t="s">
        <v>123</v>
      </c>
      <c r="E635" s="70">
        <v>22000</v>
      </c>
      <c r="F635" s="71"/>
      <c r="G635" s="73">
        <f>movimientos548811143182122242728[[#This Row],[MONTO]]-movimientos548811143182122242728[[#This Row],[SALIDAS]]</f>
        <v>22000</v>
      </c>
      <c r="J635" s="90" t="s">
        <v>247</v>
      </c>
      <c r="K635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0</v>
      </c>
    </row>
    <row r="636" spans="2:15" x14ac:dyDescent="0.25">
      <c r="B636" s="94">
        <v>46142</v>
      </c>
      <c r="C636" s="53" t="s">
        <v>375</v>
      </c>
      <c r="D636" s="53" t="s">
        <v>123</v>
      </c>
      <c r="E636" s="70">
        <v>30000</v>
      </c>
      <c r="F636" s="71"/>
      <c r="G636" s="73">
        <f>movimientos548811143182122242728[[#This Row],[MONTO]]-movimientos548811143182122242728[[#This Row],[SALIDAS]]</f>
        <v>30000</v>
      </c>
      <c r="J636" s="90" t="s">
        <v>665</v>
      </c>
      <c r="K636" s="91">
        <f>SUMIF(movimientos548811143182122242728[COLABORADOR],resumen_caja55891213242019232625[[#This Row],[COLABORADOR]],movimientos548811143182122242728[MONTO])-SUMIF(movimientos548811143182122242728[COLABORADOR],resumen_caja55891213242019232625[[#This Row],[COLABORADOR]],movimientos548811143182122242728[SALIDAS])</f>
        <v>235500</v>
      </c>
    </row>
    <row r="637" spans="2:15" x14ac:dyDescent="0.25">
      <c r="B637" s="94">
        <v>46129</v>
      </c>
      <c r="C637" s="53" t="s">
        <v>1425</v>
      </c>
      <c r="D637" s="53" t="s">
        <v>123</v>
      </c>
      <c r="E637" s="66">
        <v>27013</v>
      </c>
      <c r="F637" s="71"/>
      <c r="G637" s="73">
        <f>movimientos548811143182122242728[[#This Row],[MONTO]]-movimientos548811143182122242728[[#This Row],[SALIDAS]]</f>
        <v>27013</v>
      </c>
    </row>
    <row r="638" spans="2:15" x14ac:dyDescent="0.25">
      <c r="B638" s="94">
        <v>46129</v>
      </c>
      <c r="C638" s="51" t="s">
        <v>302</v>
      </c>
      <c r="D638" s="53" t="s">
        <v>123</v>
      </c>
      <c r="E638" s="136">
        <v>14316</v>
      </c>
      <c r="F638" s="71"/>
      <c r="G638" s="73">
        <f>movimientos548811143182122242728[[#This Row],[MONTO]]-movimientos548811143182122242728[[#This Row],[SALIDAS]]</f>
        <v>14316</v>
      </c>
    </row>
    <row r="639" spans="2:15" x14ac:dyDescent="0.25">
      <c r="B639" s="94">
        <v>46251</v>
      </c>
      <c r="C639" s="51" t="s">
        <v>327</v>
      </c>
      <c r="D639" s="53" t="s">
        <v>123</v>
      </c>
      <c r="E639" s="66">
        <v>20000</v>
      </c>
      <c r="F639" s="71"/>
      <c r="G639" s="73">
        <f>movimientos548811143182122242728[[#This Row],[MONTO]]-movimientos548811143182122242728[[#This Row],[SALIDAS]]</f>
        <v>20000</v>
      </c>
      <c r="J639" t="s">
        <v>80</v>
      </c>
    </row>
    <row r="640" spans="2:15" x14ac:dyDescent="0.25">
      <c r="B640" s="94">
        <v>46141</v>
      </c>
      <c r="C640" s="51" t="s">
        <v>350</v>
      </c>
      <c r="D640" s="53" t="s">
        <v>123</v>
      </c>
      <c r="E640" s="66">
        <v>130000</v>
      </c>
      <c r="F640" s="71"/>
      <c r="G640" s="73">
        <f>movimientos548811143182122242728[[#This Row],[MONTO]]-movimientos548811143182122242728[[#This Row],[SALIDAS]]</f>
        <v>130000</v>
      </c>
    </row>
    <row r="641" spans="2:7" x14ac:dyDescent="0.25">
      <c r="B641" s="94">
        <v>46142</v>
      </c>
      <c r="C641" s="51" t="s">
        <v>1556</v>
      </c>
      <c r="D641" s="53" t="s">
        <v>123</v>
      </c>
      <c r="E641" s="129"/>
      <c r="F641" s="71"/>
      <c r="G641" s="73">
        <f>movimientos548811143182122242728[[#This Row],[MONTO]]-movimientos548811143182122242728[[#This Row],[SALIDAS]]</f>
        <v>0</v>
      </c>
    </row>
    <row r="642" spans="2:7" x14ac:dyDescent="0.25">
      <c r="B642" s="94">
        <v>46142</v>
      </c>
      <c r="C642" s="51" t="s">
        <v>1557</v>
      </c>
      <c r="D642" s="53" t="s">
        <v>123</v>
      </c>
      <c r="E642" s="129"/>
      <c r="F642" s="71"/>
      <c r="G642" s="73">
        <f>movimientos548811143182122242728[[#This Row],[MONTO]]-movimientos548811143182122242728[[#This Row],[SALIDAS]]</f>
        <v>0</v>
      </c>
    </row>
    <row r="643" spans="2:7" x14ac:dyDescent="0.25">
      <c r="B643" s="94">
        <v>46142</v>
      </c>
      <c r="C643" s="51" t="s">
        <v>27</v>
      </c>
      <c r="D643" s="53" t="s">
        <v>123</v>
      </c>
      <c r="E643" s="129">
        <v>22500</v>
      </c>
      <c r="F643" s="71"/>
      <c r="G643" s="73">
        <f>movimientos548811143182122242728[[#This Row],[MONTO]]-movimientos548811143182122242728[[#This Row],[SALIDAS]]</f>
        <v>22500</v>
      </c>
    </row>
    <row r="644" spans="2:7" x14ac:dyDescent="0.25">
      <c r="B644" s="94">
        <v>46129</v>
      </c>
      <c r="C644" s="51" t="s">
        <v>1425</v>
      </c>
      <c r="D644" s="53" t="s">
        <v>123</v>
      </c>
      <c r="E644" s="66">
        <v>27013</v>
      </c>
      <c r="F644" s="71"/>
      <c r="G644" s="73">
        <f>movimientos548811143182122242728[[#This Row],[MONTO]]-movimientos548811143182122242728[[#This Row],[SALIDAS]]</f>
        <v>27013</v>
      </c>
    </row>
    <row r="645" spans="2:7" x14ac:dyDescent="0.25">
      <c r="B645" s="93">
        <v>46129</v>
      </c>
      <c r="C645" s="53" t="s">
        <v>302</v>
      </c>
      <c r="D645" s="53" t="s">
        <v>123</v>
      </c>
      <c r="E645" s="70">
        <v>14316</v>
      </c>
      <c r="F645" s="71"/>
      <c r="G645" s="73">
        <f>movimientos548811143182122242728[[#This Row],[MONTO]]-movimientos548811143182122242728[[#This Row],[SALIDAS]]</f>
        <v>14316</v>
      </c>
    </row>
    <row r="646" spans="2:7" x14ac:dyDescent="0.25">
      <c r="B646" s="50">
        <v>46142</v>
      </c>
      <c r="C646" s="53" t="s">
        <v>1391</v>
      </c>
      <c r="D646" s="53" t="s">
        <v>114</v>
      </c>
      <c r="E646" s="70">
        <v>100000</v>
      </c>
      <c r="F646" s="71"/>
      <c r="G646" s="73">
        <f>movimientos548811143182122242728[[#This Row],[MONTO]]-movimientos548811143182122242728[[#This Row],[SALIDAS]]</f>
        <v>100000</v>
      </c>
    </row>
    <row r="647" spans="2:7" x14ac:dyDescent="0.25">
      <c r="B647" s="50">
        <v>46142</v>
      </c>
      <c r="C647" s="51" t="s">
        <v>375</v>
      </c>
      <c r="D647" s="53" t="s">
        <v>114</v>
      </c>
      <c r="E647" s="70">
        <v>30000</v>
      </c>
      <c r="F647" s="71"/>
      <c r="G647" s="73">
        <f>movimientos548811143182122242728[[#This Row],[MONTO]]-movimientos548811143182122242728[[#This Row],[SALIDAS]]</f>
        <v>30000</v>
      </c>
    </row>
    <row r="648" spans="2:7" x14ac:dyDescent="0.25">
      <c r="B648" s="50">
        <v>46142</v>
      </c>
      <c r="C648" s="53" t="s">
        <v>1392</v>
      </c>
      <c r="D648" s="53" t="s">
        <v>114</v>
      </c>
      <c r="E648" s="70">
        <v>100000</v>
      </c>
      <c r="F648" s="72"/>
      <c r="G648" s="67">
        <f>movimientos548811143182122242728[[#This Row],[MONTO]]-movimientos548811143182122242728[[#This Row],[SALIDAS]]</f>
        <v>100000</v>
      </c>
    </row>
    <row r="649" spans="2:7" x14ac:dyDescent="0.25">
      <c r="B649" s="50">
        <v>46132</v>
      </c>
      <c r="C649" s="53" t="s">
        <v>1547</v>
      </c>
      <c r="D649" s="53" t="s">
        <v>114</v>
      </c>
      <c r="E649" s="70">
        <v>100000</v>
      </c>
      <c r="F649" s="71"/>
      <c r="G649" s="73">
        <f>movimientos548811143182122242728[[#This Row],[MONTO]]-movimientos548811143182122242728[[#This Row],[SALIDAS]]</f>
        <v>100000</v>
      </c>
    </row>
    <row r="650" spans="2:7" x14ac:dyDescent="0.25">
      <c r="B650" s="50">
        <v>46122</v>
      </c>
      <c r="C650" s="51" t="s">
        <v>1550</v>
      </c>
      <c r="D650" s="53" t="s">
        <v>114</v>
      </c>
      <c r="E650" s="131">
        <v>100000</v>
      </c>
      <c r="F650" s="72"/>
      <c r="G650" s="67">
        <f>movimientos548811143182122242728[[#This Row],[MONTO]]-movimientos548811143182122242728[[#This Row],[SALIDAS]]</f>
        <v>100000</v>
      </c>
    </row>
    <row r="651" spans="2:7" x14ac:dyDescent="0.25">
      <c r="B651" s="50">
        <v>46127</v>
      </c>
      <c r="C651" s="53" t="s">
        <v>308</v>
      </c>
      <c r="D651" s="53" t="s">
        <v>114</v>
      </c>
      <c r="E651" s="70">
        <v>100000</v>
      </c>
      <c r="F651" s="72"/>
      <c r="G651" s="67">
        <f>movimientos548811143182122242728[[#This Row],[MONTO]]-movimientos548811143182122242728[[#This Row],[SALIDAS]]</f>
        <v>100000</v>
      </c>
    </row>
    <row r="652" spans="2:7" x14ac:dyDescent="0.25">
      <c r="B652" s="94">
        <v>46139</v>
      </c>
      <c r="C652" s="53" t="s">
        <v>1554</v>
      </c>
      <c r="D652" s="53" t="s">
        <v>114</v>
      </c>
      <c r="E652" s="70">
        <v>50000</v>
      </c>
      <c r="F652" s="72"/>
      <c r="G652" s="67">
        <f>movimientos548811143182122242728[[#This Row],[MONTO]]-movimientos548811143182122242728[[#This Row],[SALIDAS]]</f>
        <v>50000</v>
      </c>
    </row>
    <row r="653" spans="2:7" x14ac:dyDescent="0.25">
      <c r="B653" s="94">
        <v>46141</v>
      </c>
      <c r="C653" s="53" t="s">
        <v>1555</v>
      </c>
      <c r="D653" s="53" t="s">
        <v>114</v>
      </c>
      <c r="E653" s="66">
        <v>20000</v>
      </c>
      <c r="F653" s="72"/>
      <c r="G653" s="67">
        <f>movimientos548811143182122242728[[#This Row],[MONTO]]-movimientos548811143182122242728[[#This Row],[SALIDAS]]</f>
        <v>20000</v>
      </c>
    </row>
    <row r="654" spans="2:7" x14ac:dyDescent="0.25">
      <c r="B654" s="94">
        <v>46141</v>
      </c>
      <c r="C654" s="51" t="s">
        <v>352</v>
      </c>
      <c r="D654" s="53" t="s">
        <v>114</v>
      </c>
      <c r="E654" s="129">
        <v>10000</v>
      </c>
      <c r="F654" s="72"/>
      <c r="G654" s="67">
        <f>movimientos548811143182122242728[[#This Row],[MONTO]]-movimientos548811143182122242728[[#This Row],[SALIDAS]]</f>
        <v>10000</v>
      </c>
    </row>
    <row r="655" spans="2:7" x14ac:dyDescent="0.25">
      <c r="B655" s="94">
        <v>46142</v>
      </c>
      <c r="C655" s="51" t="s">
        <v>27</v>
      </c>
      <c r="D655" s="53" t="s">
        <v>114</v>
      </c>
      <c r="E655" s="66">
        <v>29500</v>
      </c>
      <c r="F655" s="72"/>
      <c r="G655" s="67">
        <f>movimientos548811143182122242728[[#This Row],[MONTO]]-movimientos548811143182122242728[[#This Row],[SALIDAS]]</f>
        <v>29500</v>
      </c>
    </row>
    <row r="656" spans="2:7" x14ac:dyDescent="0.25">
      <c r="B656" s="50">
        <v>46113</v>
      </c>
      <c r="C656" s="51" t="s">
        <v>294</v>
      </c>
      <c r="D656" s="53" t="s">
        <v>119</v>
      </c>
      <c r="E656" s="136">
        <v>200000</v>
      </c>
      <c r="F656" s="72"/>
      <c r="G656" s="67">
        <f>movimientos548811143182122242728[[#This Row],[MONTO]]-movimientos548811143182122242728[[#This Row],[SALIDAS]]</f>
        <v>200000</v>
      </c>
    </row>
    <row r="657" spans="2:7" x14ac:dyDescent="0.25">
      <c r="B657" s="50">
        <v>46129</v>
      </c>
      <c r="C657" s="51" t="s">
        <v>1552</v>
      </c>
      <c r="D657" s="53" t="s">
        <v>119</v>
      </c>
      <c r="E657" s="66">
        <v>200000</v>
      </c>
      <c r="F657" s="72"/>
      <c r="G657" s="67">
        <f>movimientos548811143182122242728[[#This Row],[MONTO]]-movimientos548811143182122242728[[#This Row],[SALIDAS]]</f>
        <v>200000</v>
      </c>
    </row>
    <row r="658" spans="2:7" x14ac:dyDescent="0.25">
      <c r="B658" s="50">
        <v>46142</v>
      </c>
      <c r="C658" s="51" t="s">
        <v>27</v>
      </c>
      <c r="D658" s="53" t="s">
        <v>119</v>
      </c>
      <c r="E658" s="66">
        <v>38500</v>
      </c>
      <c r="F658" s="72"/>
      <c r="G658" s="67">
        <f>movimientos548811143182122242728[[#This Row],[MONTO]]-movimientos548811143182122242728[[#This Row],[SALIDAS]]</f>
        <v>38500</v>
      </c>
    </row>
    <row r="659" spans="2:7" x14ac:dyDescent="0.25">
      <c r="B659" s="50">
        <v>46132</v>
      </c>
      <c r="C659" s="51" t="s">
        <v>1548</v>
      </c>
      <c r="D659" s="53" t="s">
        <v>118</v>
      </c>
      <c r="E659" s="136">
        <v>20000</v>
      </c>
      <c r="F659" s="72"/>
      <c r="G659" s="67">
        <f>movimientos548811143182122242728[[#This Row],[MONTO]]-movimientos548811143182122242728[[#This Row],[SALIDAS]]</f>
        <v>20000</v>
      </c>
    </row>
    <row r="660" spans="2:7" x14ac:dyDescent="0.25">
      <c r="B660" s="50">
        <v>46113</v>
      </c>
      <c r="C660" s="51" t="s">
        <v>284</v>
      </c>
      <c r="D660" s="53" t="s">
        <v>118</v>
      </c>
      <c r="E660" s="136">
        <v>100000</v>
      </c>
      <c r="F660" s="72"/>
      <c r="G660" s="67">
        <f>movimientos548811143182122242728[[#This Row],[MONTO]]-movimientos548811143182122242728[[#This Row],[SALIDAS]]</f>
        <v>100000</v>
      </c>
    </row>
    <row r="661" spans="2:7" x14ac:dyDescent="0.25">
      <c r="B661" s="94">
        <v>46122</v>
      </c>
      <c r="C661" s="51" t="s">
        <v>1549</v>
      </c>
      <c r="D661" s="53" t="s">
        <v>118</v>
      </c>
      <c r="E661" s="136">
        <v>117500</v>
      </c>
      <c r="F661" s="72"/>
      <c r="G661" s="67">
        <f>movimientos548811143182122242728[[#This Row],[MONTO]]-movimientos548811143182122242728[[#This Row],[SALIDAS]]</f>
        <v>117500</v>
      </c>
    </row>
    <row r="662" spans="2:7" x14ac:dyDescent="0.25">
      <c r="B662" s="94">
        <v>46122</v>
      </c>
      <c r="C662" s="51" t="s">
        <v>293</v>
      </c>
      <c r="D662" s="53" t="s">
        <v>118</v>
      </c>
      <c r="E662" s="66">
        <v>15000</v>
      </c>
      <c r="F662" s="72"/>
      <c r="G662" s="67">
        <f>movimientos548811143182122242728[[#This Row],[MONTO]]-movimientos548811143182122242728[[#This Row],[SALIDAS]]</f>
        <v>15000</v>
      </c>
    </row>
    <row r="663" spans="2:7" x14ac:dyDescent="0.25">
      <c r="B663" s="94">
        <v>46142</v>
      </c>
      <c r="C663" s="51" t="s">
        <v>1393</v>
      </c>
      <c r="D663" s="53" t="s">
        <v>118</v>
      </c>
      <c r="E663" s="66">
        <v>250000</v>
      </c>
      <c r="F663" s="72"/>
      <c r="G663" s="67">
        <f>movimientos548811143182122242728[[#This Row],[MONTO]]-movimientos548811143182122242728[[#This Row],[SALIDAS]]</f>
        <v>250000</v>
      </c>
    </row>
    <row r="664" spans="2:7" x14ac:dyDescent="0.25">
      <c r="B664" s="94">
        <v>46125</v>
      </c>
      <c r="C664" s="51" t="s">
        <v>1551</v>
      </c>
      <c r="D664" s="53" t="s">
        <v>118</v>
      </c>
      <c r="E664" s="66">
        <v>97750</v>
      </c>
      <c r="F664" s="72"/>
      <c r="G664" s="67">
        <f>movimientos548811143182122242728[[#This Row],[MONTO]]-movimientos548811143182122242728[[#This Row],[SALIDAS]]</f>
        <v>97750</v>
      </c>
    </row>
    <row r="665" spans="2:7" x14ac:dyDescent="0.25">
      <c r="B665" s="94">
        <v>46142</v>
      </c>
      <c r="C665" s="51" t="s">
        <v>375</v>
      </c>
      <c r="D665" s="53" t="s">
        <v>118</v>
      </c>
      <c r="E665" s="66">
        <v>30000</v>
      </c>
      <c r="F665" s="72"/>
      <c r="G665" s="67">
        <f>movimientos548811143182122242728[[#This Row],[MONTO]]-movimientos548811143182122242728[[#This Row],[SALIDAS]]</f>
        <v>30000</v>
      </c>
    </row>
    <row r="666" spans="2:7" x14ac:dyDescent="0.25">
      <c r="B666" s="94">
        <v>46142</v>
      </c>
      <c r="C666" s="51" t="s">
        <v>236</v>
      </c>
      <c r="D666" s="53" t="s">
        <v>118</v>
      </c>
      <c r="E666" s="66">
        <v>12000</v>
      </c>
      <c r="F666" s="72"/>
      <c r="G666" s="67">
        <f>movimientos548811143182122242728[[#This Row],[MONTO]]-movimientos548811143182122242728[[#This Row],[SALIDAS]]</f>
        <v>12000</v>
      </c>
    </row>
    <row r="667" spans="2:7" x14ac:dyDescent="0.25">
      <c r="B667" s="94">
        <v>46142</v>
      </c>
      <c r="C667" s="53" t="s">
        <v>1394</v>
      </c>
      <c r="D667" s="53" t="s">
        <v>118</v>
      </c>
      <c r="E667" s="70">
        <v>55018</v>
      </c>
      <c r="F667" s="71"/>
      <c r="G667" s="73">
        <f>movimientos548811143182122242728[[#This Row],[MONTO]]-movimientos548811143182122242728[[#This Row],[SALIDAS]]</f>
        <v>55018</v>
      </c>
    </row>
    <row r="668" spans="2:7" x14ac:dyDescent="0.25">
      <c r="B668" s="94">
        <v>46129</v>
      </c>
      <c r="C668" s="53" t="s">
        <v>307</v>
      </c>
      <c r="D668" s="53" t="s">
        <v>118</v>
      </c>
      <c r="E668" s="70">
        <v>100000</v>
      </c>
      <c r="F668" s="71"/>
      <c r="G668" s="73">
        <f>movimientos548811143182122242728[[#This Row],[MONTO]]-movimientos548811143182122242728[[#This Row],[SALIDAS]]</f>
        <v>100000</v>
      </c>
    </row>
    <row r="669" spans="2:7" x14ac:dyDescent="0.25">
      <c r="B669" s="94">
        <v>46135</v>
      </c>
      <c r="C669" s="53" t="s">
        <v>1553</v>
      </c>
      <c r="D669" s="53" t="s">
        <v>118</v>
      </c>
      <c r="E669" s="70">
        <v>150000</v>
      </c>
      <c r="F669" s="71"/>
      <c r="G669" s="73">
        <f>movimientos548811143182122242728[[#This Row],[MONTO]]-movimientos548811143182122242728[[#This Row],[SALIDAS]]</f>
        <v>150000</v>
      </c>
    </row>
    <row r="670" spans="2:7" x14ac:dyDescent="0.25">
      <c r="B670" s="94">
        <v>46139</v>
      </c>
      <c r="C670" s="53" t="s">
        <v>334</v>
      </c>
      <c r="D670" s="53" t="s">
        <v>118</v>
      </c>
      <c r="E670" s="70">
        <v>20000</v>
      </c>
      <c r="F670" s="71"/>
      <c r="G670" s="73">
        <f>movimientos548811143182122242728[[#This Row],[MONTO]]-movimientos548811143182122242728[[#This Row],[SALIDAS]]</f>
        <v>20000</v>
      </c>
    </row>
    <row r="671" spans="2:7" x14ac:dyDescent="0.25">
      <c r="B671" s="94">
        <v>46142</v>
      </c>
      <c r="C671" s="53" t="s">
        <v>27</v>
      </c>
      <c r="D671" s="53" t="s">
        <v>118</v>
      </c>
      <c r="E671" s="70">
        <v>40000</v>
      </c>
      <c r="F671" s="71"/>
      <c r="G671" s="73">
        <f>movimientos548811143182122242728[[#This Row],[MONTO]]-movimientos548811143182122242728[[#This Row],[SALIDAS]]</f>
        <v>40000</v>
      </c>
    </row>
    <row r="672" spans="2:7" x14ac:dyDescent="0.25">
      <c r="B672" s="94">
        <v>46121</v>
      </c>
      <c r="C672" s="53" t="s">
        <v>309</v>
      </c>
      <c r="D672" s="53" t="s">
        <v>665</v>
      </c>
      <c r="E672" s="131">
        <v>100000</v>
      </c>
      <c r="F672" s="71"/>
      <c r="G672" s="73">
        <f>movimientos548811143182122242728[[#This Row],[MONTO]]-movimientos548811143182122242728[[#This Row],[SALIDAS]]</f>
        <v>100000</v>
      </c>
    </row>
    <row r="673" spans="1:18" x14ac:dyDescent="0.25">
      <c r="B673" s="94">
        <v>46126</v>
      </c>
      <c r="C673" s="53" t="s">
        <v>1408</v>
      </c>
      <c r="D673" s="53" t="s">
        <v>665</v>
      </c>
      <c r="E673" s="70">
        <v>20000</v>
      </c>
      <c r="F673" s="71"/>
      <c r="G673" s="73">
        <f>movimientos548811143182122242728[[#This Row],[MONTO]]-movimientos548811143182122242728[[#This Row],[SALIDAS]]</f>
        <v>20000</v>
      </c>
    </row>
    <row r="674" spans="1:18" x14ac:dyDescent="0.25">
      <c r="B674" s="94">
        <v>46140</v>
      </c>
      <c r="C674" s="53" t="s">
        <v>344</v>
      </c>
      <c r="D674" s="53" t="s">
        <v>665</v>
      </c>
      <c r="E674" s="131"/>
      <c r="F674" s="71"/>
      <c r="G674" s="73">
        <f>movimientos548811143182122242728[[#This Row],[MONTO]]-movimientos548811143182122242728[[#This Row],[SALIDAS]]</f>
        <v>0</v>
      </c>
    </row>
    <row r="675" spans="1:18" x14ac:dyDescent="0.25">
      <c r="B675" s="94">
        <v>46125</v>
      </c>
      <c r="C675" s="53" t="s">
        <v>300</v>
      </c>
      <c r="D675" s="53" t="s">
        <v>665</v>
      </c>
      <c r="E675" s="131">
        <v>20000</v>
      </c>
      <c r="F675" s="71"/>
      <c r="G675" s="73">
        <f>movimientos548811143182122242728[[#This Row],[MONTO]]-movimientos548811143182122242728[[#This Row],[SALIDAS]]</f>
        <v>20000</v>
      </c>
    </row>
    <row r="676" spans="1:18" x14ac:dyDescent="0.25">
      <c r="B676" s="94">
        <v>46129</v>
      </c>
      <c r="C676" s="53" t="s">
        <v>331</v>
      </c>
      <c r="D676" s="53" t="s">
        <v>665</v>
      </c>
      <c r="E676" s="70">
        <v>20000</v>
      </c>
      <c r="F676" s="71"/>
      <c r="G676" s="73">
        <f>movimientos548811143182122242728[[#This Row],[MONTO]]-movimientos548811143182122242728[[#This Row],[SALIDAS]]</f>
        <v>20000</v>
      </c>
    </row>
    <row r="677" spans="1:18" x14ac:dyDescent="0.25">
      <c r="B677" s="94">
        <v>46139</v>
      </c>
      <c r="C677" s="53" t="s">
        <v>333</v>
      </c>
      <c r="D677" s="53" t="s">
        <v>665</v>
      </c>
      <c r="E677" s="70">
        <v>20000</v>
      </c>
      <c r="F677" s="71"/>
      <c r="G677" s="73">
        <f>movimientos548811143182122242728[[#This Row],[MONTO]]-movimientos548811143182122242728[[#This Row],[SALIDAS]]</f>
        <v>20000</v>
      </c>
    </row>
    <row r="678" spans="1:18" x14ac:dyDescent="0.25">
      <c r="B678" s="94">
        <v>46140</v>
      </c>
      <c r="C678" s="53" t="s">
        <v>344</v>
      </c>
      <c r="D678" s="53" t="s">
        <v>665</v>
      </c>
      <c r="E678" s="70">
        <v>20000</v>
      </c>
      <c r="F678" s="71"/>
      <c r="G678" s="73">
        <f>movimientos548811143182122242728[[#This Row],[MONTO]]-movimientos548811143182122242728[[#This Row],[SALIDAS]]</f>
        <v>20000</v>
      </c>
    </row>
    <row r="679" spans="1:18" x14ac:dyDescent="0.25">
      <c r="B679" s="94">
        <v>46142</v>
      </c>
      <c r="C679" s="53" t="s">
        <v>27</v>
      </c>
      <c r="D679" s="53" t="s">
        <v>665</v>
      </c>
      <c r="E679" s="131">
        <v>30500</v>
      </c>
      <c r="F679" s="71"/>
      <c r="G679" s="73">
        <f>movimientos548811143182122242728[[#This Row],[MONTO]]-movimientos548811143182122242728[[#This Row],[SALIDAS]]</f>
        <v>30500</v>
      </c>
    </row>
    <row r="680" spans="1:18" x14ac:dyDescent="0.25">
      <c r="B680" s="94">
        <v>46142</v>
      </c>
      <c r="C680" s="53" t="s">
        <v>1558</v>
      </c>
      <c r="D680" s="53" t="s">
        <v>665</v>
      </c>
      <c r="E680" s="131">
        <v>5000</v>
      </c>
      <c r="F680" s="71"/>
      <c r="G680" s="73">
        <f>movimientos548811143182122242728[[#This Row],[MONTO]]-movimientos548811143182122242728[[#This Row],[SALIDAS]]</f>
        <v>5000</v>
      </c>
    </row>
    <row r="686" spans="1:18" ht="31.5" x14ac:dyDescent="0.5">
      <c r="A686" s="181" t="s">
        <v>1562</v>
      </c>
      <c r="B686" s="181"/>
      <c r="C686" s="181"/>
      <c r="D686" s="181"/>
      <c r="E686" s="181"/>
      <c r="F686" s="181"/>
      <c r="G686" s="181"/>
      <c r="H686" s="181"/>
      <c r="I686" s="181"/>
      <c r="J686" s="181"/>
      <c r="K686" s="181"/>
      <c r="L686" s="181"/>
      <c r="M686" s="181"/>
      <c r="N686" s="181"/>
      <c r="O686" s="181"/>
      <c r="P686" s="181"/>
      <c r="Q686" s="181"/>
      <c r="R686" s="181"/>
    </row>
    <row r="688" spans="1:18" x14ac:dyDescent="0.25">
      <c r="G688" t="s">
        <v>279</v>
      </c>
    </row>
    <row r="691" spans="2:15" x14ac:dyDescent="0.25">
      <c r="B691" s="46"/>
      <c r="J691" s="188" t="s">
        <v>109</v>
      </c>
      <c r="K691" s="188"/>
    </row>
    <row r="692" spans="2:15" x14ac:dyDescent="0.25">
      <c r="B692" s="47" t="s">
        <v>4</v>
      </c>
      <c r="C692" s="47" t="s">
        <v>112</v>
      </c>
      <c r="D692" s="47" t="s">
        <v>110</v>
      </c>
      <c r="E692" s="47" t="s">
        <v>8</v>
      </c>
      <c r="F692" s="47" t="s">
        <v>113</v>
      </c>
      <c r="G692" s="48" t="s">
        <v>111</v>
      </c>
      <c r="J692" s="47" t="s">
        <v>110</v>
      </c>
      <c r="K692" s="47" t="s">
        <v>111</v>
      </c>
    </row>
    <row r="693" spans="2:15" hidden="1" x14ac:dyDescent="0.25">
      <c r="B693" s="94">
        <v>46154</v>
      </c>
      <c r="C693" s="53" t="s">
        <v>1587</v>
      </c>
      <c r="D693" s="53" t="s">
        <v>116</v>
      </c>
      <c r="E693" s="131">
        <v>120000</v>
      </c>
      <c r="F693" s="71"/>
      <c r="G693" s="67">
        <f>movimientos54881114318212224272830[[#This Row],[MONTO]]-movimientos54881114318212224272830[[#This Row],[SALIDAS]]</f>
        <v>120000</v>
      </c>
      <c r="J693" s="49" t="s">
        <v>116</v>
      </c>
      <c r="K693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406000</v>
      </c>
    </row>
    <row r="694" spans="2:15" hidden="1" x14ac:dyDescent="0.25">
      <c r="B694" s="94">
        <v>46158</v>
      </c>
      <c r="C694" s="53" t="s">
        <v>1618</v>
      </c>
      <c r="D694" s="53" t="s">
        <v>116</v>
      </c>
      <c r="E694" s="70">
        <v>250000</v>
      </c>
      <c r="F694" s="71"/>
      <c r="G694" s="67">
        <f>movimientos54881114318212224272830[[#This Row],[MONTO]]-movimientos54881114318212224272830[[#This Row],[SALIDAS]]</f>
        <v>250000</v>
      </c>
      <c r="J694" s="51" t="s">
        <v>123</v>
      </c>
      <c r="K694" s="75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501500</v>
      </c>
    </row>
    <row r="695" spans="2:15" hidden="1" x14ac:dyDescent="0.25">
      <c r="B695" s="94">
        <v>46173</v>
      </c>
      <c r="C695" s="53" t="s">
        <v>27</v>
      </c>
      <c r="D695" s="53" t="s">
        <v>116</v>
      </c>
      <c r="E695" s="70">
        <v>36000</v>
      </c>
      <c r="F695" s="72"/>
      <c r="G695" s="67">
        <f>movimientos54881114318212224272830[[#This Row],[MONTO]]-movimientos54881114318212224272830[[#This Row],[SALIDAS]]</f>
        <v>36000</v>
      </c>
      <c r="J695" s="49" t="s">
        <v>181</v>
      </c>
      <c r="K695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  <c r="N695" s="180"/>
      <c r="O695" s="180"/>
    </row>
    <row r="696" spans="2:15" hidden="1" x14ac:dyDescent="0.25">
      <c r="B696" s="94">
        <v>46161</v>
      </c>
      <c r="C696" s="53" t="s">
        <v>457</v>
      </c>
      <c r="D696" s="53" t="s">
        <v>123</v>
      </c>
      <c r="E696" s="70">
        <v>30000</v>
      </c>
      <c r="F696" s="72"/>
      <c r="G696" s="67">
        <f>movimientos54881114318212224272830[[#This Row],[MONTO]]-movimientos54881114318212224272830[[#This Row],[SALIDAS]]</f>
        <v>30000</v>
      </c>
      <c r="J696" s="49" t="s">
        <v>121</v>
      </c>
      <c r="K696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  <c r="N696" s="180"/>
      <c r="O696" s="180"/>
    </row>
    <row r="697" spans="2:15" hidden="1" x14ac:dyDescent="0.25">
      <c r="B697" s="94">
        <v>46173</v>
      </c>
      <c r="C697" s="53" t="s">
        <v>27</v>
      </c>
      <c r="D697" s="53" t="s">
        <v>123</v>
      </c>
      <c r="E697" s="131">
        <v>21500</v>
      </c>
      <c r="F697" s="72"/>
      <c r="G697" s="67">
        <f>movimientos54881114318212224272830[[#This Row],[MONTO]]-movimientos54881114318212224272830[[#This Row],[SALIDAS]]</f>
        <v>21500</v>
      </c>
      <c r="J697" s="49" t="s">
        <v>114</v>
      </c>
      <c r="K697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733980</v>
      </c>
    </row>
    <row r="698" spans="2:15" hidden="1" x14ac:dyDescent="0.25">
      <c r="B698" s="94">
        <v>46173</v>
      </c>
      <c r="C698" s="53" t="s">
        <v>1390</v>
      </c>
      <c r="D698" s="53" t="s">
        <v>123</v>
      </c>
      <c r="E698" s="70">
        <v>370000</v>
      </c>
      <c r="F698" s="72"/>
      <c r="G698" s="67">
        <f>movimientos54881114318212224272830[[#This Row],[MONTO]]-movimientos54881114318212224272830[[#This Row],[SALIDAS]]</f>
        <v>370000</v>
      </c>
      <c r="J698" s="49" t="s">
        <v>119</v>
      </c>
      <c r="K698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862000</v>
      </c>
    </row>
    <row r="699" spans="2:15" hidden="1" x14ac:dyDescent="0.25">
      <c r="B699" s="94">
        <v>46173</v>
      </c>
      <c r="C699" s="53" t="s">
        <v>337</v>
      </c>
      <c r="D699" s="53" t="s">
        <v>123</v>
      </c>
      <c r="E699" s="70">
        <v>28000</v>
      </c>
      <c r="F699" s="72"/>
      <c r="G699" s="67">
        <f>movimientos54881114318212224272830[[#This Row],[MONTO]]-movimientos54881114318212224272830[[#This Row],[SALIDAS]]</f>
        <v>28000</v>
      </c>
      <c r="J699" s="49" t="s">
        <v>118</v>
      </c>
      <c r="K699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556418</v>
      </c>
    </row>
    <row r="700" spans="2:15" hidden="1" x14ac:dyDescent="0.25">
      <c r="B700" s="94">
        <v>46173</v>
      </c>
      <c r="C700" s="53" t="s">
        <v>138</v>
      </c>
      <c r="D700" s="53" t="s">
        <v>123</v>
      </c>
      <c r="E700" s="70">
        <v>22000</v>
      </c>
      <c r="F700" s="72"/>
      <c r="G700" s="67">
        <f>movimientos54881114318212224272830[[#This Row],[MONTO]]-movimientos54881114318212224272830[[#This Row],[SALIDAS]]</f>
        <v>22000</v>
      </c>
      <c r="J700" s="49" t="s">
        <v>126</v>
      </c>
      <c r="K700" s="68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1" spans="2:15" hidden="1" x14ac:dyDescent="0.25">
      <c r="B701" s="94">
        <v>46173</v>
      </c>
      <c r="C701" s="51" t="s">
        <v>375</v>
      </c>
      <c r="D701" s="53" t="s">
        <v>123</v>
      </c>
      <c r="E701" s="70">
        <v>30000</v>
      </c>
      <c r="F701" s="71"/>
      <c r="G701" s="73">
        <f>movimientos54881114318212224272830[[#This Row],[MONTO]]-movimientos54881114318212224272830[[#This Row],[SALIDAS]]</f>
        <v>30000</v>
      </c>
      <c r="J701" s="90" t="s">
        <v>253</v>
      </c>
      <c r="K701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2" spans="2:15" x14ac:dyDescent="0.25">
      <c r="B702" s="94">
        <v>46173</v>
      </c>
      <c r="C702" s="53" t="s">
        <v>50</v>
      </c>
      <c r="D702" s="53" t="s">
        <v>114</v>
      </c>
      <c r="E702" s="70">
        <v>23980</v>
      </c>
      <c r="F702" s="71"/>
      <c r="G702" s="73">
        <f>movimientos54881114318212224272830[[#This Row],[MONTO]]-movimientos54881114318212224272830[[#This Row],[SALIDAS]]</f>
        <v>23980</v>
      </c>
      <c r="J702" s="90" t="s">
        <v>247</v>
      </c>
      <c r="K702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0</v>
      </c>
    </row>
    <row r="703" spans="2:15" x14ac:dyDescent="0.25">
      <c r="B703" s="160">
        <v>46153</v>
      </c>
      <c r="C703" s="161" t="s">
        <v>1585</v>
      </c>
      <c r="D703" s="161" t="s">
        <v>114</v>
      </c>
      <c r="E703" s="162">
        <v>100000</v>
      </c>
      <c r="F703" s="71"/>
      <c r="G703" s="73">
        <f>movimientos54881114318212224272830[[#This Row],[MONTO]]-movimientos54881114318212224272830[[#This Row],[SALIDAS]]</f>
        <v>100000</v>
      </c>
      <c r="J703" s="90" t="s">
        <v>665</v>
      </c>
      <c r="K703" s="91">
        <f>SUMIF(movimientos54881114318212224272830[COLABORADOR],resumen_caja5589121324201923262529[[#This Row],[COLABORADOR]],movimientos54881114318212224272830[MONTO])-SUMIF(movimientos54881114318212224272830[COLABORADOR],resumen_caja5589121324201923262529[[#This Row],[COLABORADOR]],movimientos54881114318212224272830[SALIDAS])</f>
        <v>267000</v>
      </c>
    </row>
    <row r="704" spans="2:15" x14ac:dyDescent="0.25">
      <c r="B704" s="160">
        <v>46156</v>
      </c>
      <c r="C704" s="161" t="s">
        <v>1592</v>
      </c>
      <c r="D704" s="161" t="s">
        <v>114</v>
      </c>
      <c r="E704" s="75">
        <v>50000</v>
      </c>
      <c r="F704" s="71"/>
      <c r="G704" s="73">
        <f>movimientos54881114318212224272830[[#This Row],[MONTO]]-movimientos54881114318212224272830[[#This Row],[SALIDAS]]</f>
        <v>50000</v>
      </c>
    </row>
    <row r="705" spans="2:10" x14ac:dyDescent="0.25">
      <c r="B705" s="160">
        <v>46157</v>
      </c>
      <c r="C705" s="163" t="s">
        <v>1616</v>
      </c>
      <c r="D705" s="161" t="s">
        <v>114</v>
      </c>
      <c r="E705" s="75">
        <v>100000</v>
      </c>
      <c r="F705" s="71"/>
      <c r="G705" s="73">
        <f>movimientos54881114318212224272830[[#This Row],[MONTO]]-movimientos54881114318212224272830[[#This Row],[SALIDAS]]</f>
        <v>100000</v>
      </c>
    </row>
    <row r="706" spans="2:10" x14ac:dyDescent="0.25">
      <c r="B706" s="160">
        <v>46160</v>
      </c>
      <c r="C706" s="163" t="s">
        <v>1617</v>
      </c>
      <c r="D706" s="161" t="s">
        <v>114</v>
      </c>
      <c r="E706" s="75">
        <v>210000</v>
      </c>
      <c r="F706" s="71"/>
      <c r="G706" s="73">
        <f>movimientos54881114318212224272830[[#This Row],[MONTO]]-movimientos54881114318212224272830[[#This Row],[SALIDAS]]</f>
        <v>210000</v>
      </c>
      <c r="J706" t="s">
        <v>80</v>
      </c>
    </row>
    <row r="707" spans="2:10" x14ac:dyDescent="0.25">
      <c r="B707" s="160">
        <v>46156</v>
      </c>
      <c r="C707" s="163" t="s">
        <v>361</v>
      </c>
      <c r="D707" s="161" t="s">
        <v>114</v>
      </c>
      <c r="E707" s="75">
        <v>50000</v>
      </c>
      <c r="F707" s="71"/>
      <c r="G707" s="73">
        <f>movimientos54881114318212224272830[[#This Row],[MONTO]]-movimientos54881114318212224272830[[#This Row],[SALIDAS]]</f>
        <v>50000</v>
      </c>
    </row>
    <row r="708" spans="2:10" x14ac:dyDescent="0.25">
      <c r="B708" s="160">
        <v>46161</v>
      </c>
      <c r="C708" s="163" t="s">
        <v>454</v>
      </c>
      <c r="D708" s="161" t="s">
        <v>114</v>
      </c>
      <c r="E708" s="75">
        <v>50000</v>
      </c>
      <c r="F708" s="71"/>
      <c r="G708" s="73">
        <f>movimientos54881114318212224272830[[#This Row],[MONTO]]-movimientos54881114318212224272830[[#This Row],[SALIDAS]]</f>
        <v>50000</v>
      </c>
    </row>
    <row r="709" spans="2:10" hidden="1" x14ac:dyDescent="0.25">
      <c r="B709" s="156"/>
      <c r="C709" s="158"/>
      <c r="D709" s="157"/>
      <c r="E709" s="159"/>
      <c r="F709" s="71"/>
      <c r="G709" s="73">
        <f>movimientos54881114318212224272830[[#This Row],[MONTO]]-movimientos54881114318212224272830[[#This Row],[SALIDAS]]</f>
        <v>0</v>
      </c>
    </row>
    <row r="710" spans="2:10" x14ac:dyDescent="0.25">
      <c r="B710" s="160">
        <v>46164</v>
      </c>
      <c r="C710" s="163" t="s">
        <v>573</v>
      </c>
      <c r="D710" s="161" t="s">
        <v>114</v>
      </c>
      <c r="E710" s="75">
        <v>100000</v>
      </c>
      <c r="F710" s="71"/>
      <c r="G710" s="73">
        <f>movimientos54881114318212224272830[[#This Row],[MONTO]]-movimientos54881114318212224272830[[#This Row],[SALIDAS]]</f>
        <v>100000</v>
      </c>
    </row>
    <row r="711" spans="2:10" x14ac:dyDescent="0.25">
      <c r="B711" s="160">
        <v>46168</v>
      </c>
      <c r="C711" s="163" t="s">
        <v>1661</v>
      </c>
      <c r="D711" s="161" t="s">
        <v>114</v>
      </c>
      <c r="E711" s="75">
        <v>50000</v>
      </c>
      <c r="F711" s="71"/>
      <c r="G711" s="73">
        <f>movimientos54881114318212224272830[[#This Row],[MONTO]]-movimientos54881114318212224272830[[#This Row],[SALIDAS]]</f>
        <v>50000</v>
      </c>
    </row>
    <row r="712" spans="2:10" hidden="1" x14ac:dyDescent="0.25">
      <c r="B712" s="94">
        <v>46173</v>
      </c>
      <c r="C712" s="53" t="s">
        <v>1563</v>
      </c>
      <c r="D712" s="53" t="s">
        <v>119</v>
      </c>
      <c r="E712" s="131">
        <v>500000</v>
      </c>
      <c r="F712" s="71"/>
      <c r="G712" s="73">
        <f>movimientos54881114318212224272830[[#This Row],[MONTO]]-movimientos54881114318212224272830[[#This Row],[SALIDAS]]</f>
        <v>500000</v>
      </c>
    </row>
    <row r="713" spans="2:10" hidden="1" x14ac:dyDescent="0.25">
      <c r="B713" s="94">
        <v>46173</v>
      </c>
      <c r="C713" s="53" t="s">
        <v>1564</v>
      </c>
      <c r="D713" s="53" t="s">
        <v>119</v>
      </c>
      <c r="E713" s="70">
        <v>158500</v>
      </c>
      <c r="F713" s="71"/>
      <c r="G713" s="73">
        <f>movimientos54881114318212224272830[[#This Row],[MONTO]]-movimientos54881114318212224272830[[#This Row],[SALIDAS]]</f>
        <v>158500</v>
      </c>
    </row>
    <row r="714" spans="2:10" hidden="1" x14ac:dyDescent="0.25">
      <c r="B714" s="94">
        <v>46173</v>
      </c>
      <c r="C714" s="51" t="s">
        <v>375</v>
      </c>
      <c r="D714" s="53" t="s">
        <v>119</v>
      </c>
      <c r="E714" s="131">
        <v>30000</v>
      </c>
      <c r="F714" s="71"/>
      <c r="G714" s="73">
        <f>movimientos54881114318212224272830[[#This Row],[MONTO]]-movimientos54881114318212224272830[[#This Row],[SALIDAS]]</f>
        <v>30000</v>
      </c>
    </row>
    <row r="715" spans="2:10" hidden="1" x14ac:dyDescent="0.25">
      <c r="B715" s="94">
        <v>46161</v>
      </c>
      <c r="C715" s="53" t="s">
        <v>455</v>
      </c>
      <c r="D715" s="53" t="s">
        <v>119</v>
      </c>
      <c r="E715" s="70">
        <v>100000</v>
      </c>
      <c r="F715" s="72"/>
      <c r="G715" s="67">
        <f>movimientos54881114318212224272830[[#This Row],[MONTO]]-movimientos54881114318212224272830[[#This Row],[SALIDAS]]</f>
        <v>100000</v>
      </c>
    </row>
    <row r="716" spans="2:10" hidden="1" x14ac:dyDescent="0.25">
      <c r="B716" s="94">
        <v>46173</v>
      </c>
      <c r="C716" s="53" t="s">
        <v>27</v>
      </c>
      <c r="D716" s="53" t="s">
        <v>119</v>
      </c>
      <c r="E716" s="70">
        <v>43500</v>
      </c>
      <c r="F716" s="71"/>
      <c r="G716" s="73">
        <f>movimientos54881114318212224272830[[#This Row],[MONTO]]-movimientos54881114318212224272830[[#This Row],[SALIDAS]]</f>
        <v>43500</v>
      </c>
    </row>
    <row r="717" spans="2:10" hidden="1" x14ac:dyDescent="0.25">
      <c r="B717" s="94">
        <v>46173</v>
      </c>
      <c r="C717" s="51" t="s">
        <v>1665</v>
      </c>
      <c r="D717" s="53" t="s">
        <v>119</v>
      </c>
      <c r="E717" s="70">
        <v>30000</v>
      </c>
      <c r="F717" s="72"/>
      <c r="G717" s="67">
        <f>movimientos54881114318212224272830[[#This Row],[MONTO]]-movimientos54881114318212224272830[[#This Row],[SALIDAS]]</f>
        <v>30000</v>
      </c>
    </row>
    <row r="718" spans="2:10" hidden="1" x14ac:dyDescent="0.25">
      <c r="B718" s="94">
        <v>46148</v>
      </c>
      <c r="C718" s="53" t="s">
        <v>1660</v>
      </c>
      <c r="D718" s="53" t="s">
        <v>118</v>
      </c>
      <c r="E718" s="131">
        <v>53800</v>
      </c>
      <c r="F718" s="72"/>
      <c r="G718" s="67">
        <f>movimientos54881114318212224272830[[#This Row],[MONTO]]-movimientos54881114318212224272830[[#This Row],[SALIDAS]]</f>
        <v>53800</v>
      </c>
    </row>
    <row r="719" spans="2:10" hidden="1" x14ac:dyDescent="0.25">
      <c r="B719" s="94">
        <v>46150</v>
      </c>
      <c r="C719" s="53" t="s">
        <v>356</v>
      </c>
      <c r="D719" s="53" t="s">
        <v>118</v>
      </c>
      <c r="E719" s="70">
        <v>20000</v>
      </c>
      <c r="F719" s="72"/>
      <c r="G719" s="67">
        <f>movimientos54881114318212224272830[[#This Row],[MONTO]]-movimientos54881114318212224272830[[#This Row],[SALIDAS]]</f>
        <v>20000</v>
      </c>
    </row>
    <row r="720" spans="2:10" hidden="1" x14ac:dyDescent="0.25">
      <c r="B720" s="94">
        <v>46155</v>
      </c>
      <c r="C720" s="53" t="s">
        <v>359</v>
      </c>
      <c r="D720" s="53" t="s">
        <v>118</v>
      </c>
      <c r="E720" s="129">
        <v>20000</v>
      </c>
      <c r="F720" s="72"/>
      <c r="G720" s="67">
        <f>movimientos54881114318212224272830[[#This Row],[MONTO]]-movimientos54881114318212224272830[[#This Row],[SALIDAS]]</f>
        <v>20000</v>
      </c>
    </row>
    <row r="721" spans="2:7" hidden="1" x14ac:dyDescent="0.25">
      <c r="B721" s="94">
        <v>46160</v>
      </c>
      <c r="C721" s="51" t="s">
        <v>374</v>
      </c>
      <c r="D721" s="53" t="s">
        <v>118</v>
      </c>
      <c r="E721" s="66">
        <v>50000</v>
      </c>
      <c r="F721" s="72"/>
      <c r="G721" s="67">
        <f>movimientos54881114318212224272830[[#This Row],[MONTO]]-movimientos54881114318212224272830[[#This Row],[SALIDAS]]</f>
        <v>50000</v>
      </c>
    </row>
    <row r="722" spans="2:7" hidden="1" x14ac:dyDescent="0.25">
      <c r="B722" s="94">
        <v>46170</v>
      </c>
      <c r="C722" s="51" t="s">
        <v>1664</v>
      </c>
      <c r="D722" s="53" t="s">
        <v>118</v>
      </c>
      <c r="E722" s="129">
        <v>19100</v>
      </c>
      <c r="F722" s="72"/>
      <c r="G722" s="67">
        <f>movimientos54881114318212224272830[[#This Row],[MONTO]]-movimientos54881114318212224272830[[#This Row],[SALIDAS]]</f>
        <v>19100</v>
      </c>
    </row>
    <row r="723" spans="2:7" hidden="1" x14ac:dyDescent="0.25">
      <c r="B723" s="94">
        <v>46173</v>
      </c>
      <c r="C723" s="51" t="s">
        <v>27</v>
      </c>
      <c r="D723" s="53" t="s">
        <v>118</v>
      </c>
      <c r="E723" s="66">
        <v>46500</v>
      </c>
      <c r="F723" s="72"/>
      <c r="G723" s="67">
        <f>movimientos54881114318212224272830[[#This Row],[MONTO]]-movimientos54881114318212224272830[[#This Row],[SALIDAS]]</f>
        <v>46500</v>
      </c>
    </row>
    <row r="724" spans="2:7" hidden="1" x14ac:dyDescent="0.25">
      <c r="B724" s="94">
        <v>46173</v>
      </c>
      <c r="C724" s="51" t="s">
        <v>1662</v>
      </c>
      <c r="D724" s="53" t="s">
        <v>118</v>
      </c>
      <c r="E724" s="136">
        <v>250000</v>
      </c>
      <c r="F724" s="72"/>
      <c r="G724" s="67">
        <f>movimientos54881114318212224272830[[#This Row],[MONTO]]-movimientos54881114318212224272830[[#This Row],[SALIDAS]]</f>
        <v>250000</v>
      </c>
    </row>
    <row r="725" spans="2:7" hidden="1" x14ac:dyDescent="0.25">
      <c r="B725" s="94">
        <v>46173</v>
      </c>
      <c r="C725" s="51" t="s">
        <v>375</v>
      </c>
      <c r="D725" s="53" t="s">
        <v>118</v>
      </c>
      <c r="E725" s="136">
        <v>30000</v>
      </c>
      <c r="F725" s="72"/>
      <c r="G725" s="67">
        <f>movimientos54881114318212224272830[[#This Row],[MONTO]]-movimientos54881114318212224272830[[#This Row],[SALIDAS]]</f>
        <v>30000</v>
      </c>
    </row>
    <row r="726" spans="2:7" hidden="1" x14ac:dyDescent="0.25">
      <c r="B726" s="94">
        <v>46173</v>
      </c>
      <c r="C726" s="51" t="s">
        <v>236</v>
      </c>
      <c r="D726" s="53" t="s">
        <v>118</v>
      </c>
      <c r="E726" s="136">
        <v>12000</v>
      </c>
      <c r="F726" s="72"/>
      <c r="G726" s="67">
        <f>movimientos54881114318212224272830[[#This Row],[MONTO]]-movimientos54881114318212224272830[[#This Row],[SALIDAS]]</f>
        <v>12000</v>
      </c>
    </row>
    <row r="727" spans="2:7" hidden="1" x14ac:dyDescent="0.25">
      <c r="B727" s="94">
        <v>46173</v>
      </c>
      <c r="C727" s="51" t="s">
        <v>1663</v>
      </c>
      <c r="D727" s="53" t="s">
        <v>118</v>
      </c>
      <c r="E727" s="66">
        <v>55018</v>
      </c>
      <c r="F727" s="72"/>
      <c r="G727" s="67">
        <f>movimientos54881114318212224272830[[#This Row],[MONTO]]-movimientos54881114318212224272830[[#This Row],[SALIDAS]]</f>
        <v>55018</v>
      </c>
    </row>
    <row r="728" spans="2:7" hidden="1" x14ac:dyDescent="0.25">
      <c r="B728" s="94">
        <v>46158</v>
      </c>
      <c r="C728" s="51" t="s">
        <v>1619</v>
      </c>
      <c r="D728" s="53" t="s">
        <v>665</v>
      </c>
      <c r="E728" s="66">
        <v>20000</v>
      </c>
      <c r="F728" s="72"/>
      <c r="G728" s="67">
        <f>movimientos54881114318212224272830[[#This Row],[MONTO]]-movimientos54881114318212224272830[[#This Row],[SALIDAS]]</f>
        <v>20000</v>
      </c>
    </row>
    <row r="729" spans="2:7" hidden="1" x14ac:dyDescent="0.25">
      <c r="B729" s="94">
        <v>46146</v>
      </c>
      <c r="C729" s="51" t="s">
        <v>353</v>
      </c>
      <c r="D729" s="53" t="s">
        <v>665</v>
      </c>
      <c r="E729" s="66">
        <v>100000</v>
      </c>
      <c r="F729" s="72"/>
      <c r="G729" s="67">
        <f>movimientos54881114318212224272830[[#This Row],[MONTO]]-movimientos54881114318212224272830[[#This Row],[SALIDAS]]</f>
        <v>100000</v>
      </c>
    </row>
    <row r="730" spans="2:7" hidden="1" x14ac:dyDescent="0.25">
      <c r="B730" s="94">
        <v>46149</v>
      </c>
      <c r="C730" s="51" t="s">
        <v>355</v>
      </c>
      <c r="D730" s="53" t="s">
        <v>665</v>
      </c>
      <c r="E730" s="66">
        <v>20000</v>
      </c>
      <c r="F730" s="72"/>
      <c r="G730" s="67">
        <f>movimientos54881114318212224272830[[#This Row],[MONTO]]-movimientos54881114318212224272830[[#This Row],[SALIDAS]]</f>
        <v>20000</v>
      </c>
    </row>
    <row r="731" spans="2:7" hidden="1" x14ac:dyDescent="0.25">
      <c r="B731" s="94">
        <v>46153</v>
      </c>
      <c r="C731" s="51" t="s">
        <v>358</v>
      </c>
      <c r="D731" s="53" t="s">
        <v>665</v>
      </c>
      <c r="E731" s="129">
        <v>30000</v>
      </c>
      <c r="F731" s="72"/>
      <c r="G731" s="67">
        <f>movimientos54881114318212224272830[[#This Row],[MONTO]]-movimientos54881114318212224272830[[#This Row],[SALIDAS]]</f>
        <v>30000</v>
      </c>
    </row>
    <row r="732" spans="2:7" hidden="1" x14ac:dyDescent="0.25">
      <c r="B732" s="94">
        <v>46156</v>
      </c>
      <c r="C732" s="51" t="s">
        <v>360</v>
      </c>
      <c r="D732" s="53" t="s">
        <v>665</v>
      </c>
      <c r="E732" s="129">
        <v>20000</v>
      </c>
      <c r="F732" s="72"/>
      <c r="G732" s="67">
        <f>movimientos54881114318212224272830[[#This Row],[MONTO]]-movimientos54881114318212224272830[[#This Row],[SALIDAS]]</f>
        <v>20000</v>
      </c>
    </row>
    <row r="733" spans="2:7" hidden="1" x14ac:dyDescent="0.25">
      <c r="B733" s="94">
        <v>46161</v>
      </c>
      <c r="C733" s="51" t="s">
        <v>641</v>
      </c>
      <c r="D733" s="53" t="s">
        <v>665</v>
      </c>
      <c r="E733" s="66">
        <v>30000</v>
      </c>
      <c r="F733" s="72"/>
      <c r="G733" s="67">
        <f>movimientos54881114318212224272830[[#This Row],[MONTO]]-movimientos54881114318212224272830[[#This Row],[SALIDAS]]</f>
        <v>30000</v>
      </c>
    </row>
    <row r="734" spans="2:7" hidden="1" x14ac:dyDescent="0.25">
      <c r="B734" s="94">
        <v>46167</v>
      </c>
      <c r="C734" s="53" t="s">
        <v>575</v>
      </c>
      <c r="D734" s="53" t="s">
        <v>665</v>
      </c>
      <c r="E734" s="70">
        <v>10000</v>
      </c>
      <c r="F734" s="71"/>
      <c r="G734" s="73">
        <f>movimientos54881114318212224272830[[#This Row],[MONTO]]-movimientos54881114318212224272830[[#This Row],[SALIDAS]]</f>
        <v>10000</v>
      </c>
    </row>
    <row r="735" spans="2:7" hidden="1" x14ac:dyDescent="0.25">
      <c r="B735" s="94">
        <v>46173</v>
      </c>
      <c r="C735" s="53" t="s">
        <v>27</v>
      </c>
      <c r="D735" s="53" t="s">
        <v>665</v>
      </c>
      <c r="E735" s="70">
        <v>37000</v>
      </c>
      <c r="F735" s="71"/>
      <c r="G735" s="73">
        <f>movimientos54881114318212224272830[[#This Row],[MONTO]]-movimientos54881114318212224272830[[#This Row],[SALIDAS]]</f>
        <v>37000</v>
      </c>
    </row>
    <row r="736" spans="2:7" hidden="1" x14ac:dyDescent="0.25">
      <c r="B736" s="94"/>
      <c r="C736" s="53"/>
      <c r="D736" s="53"/>
      <c r="E736" s="70"/>
      <c r="F736" s="71"/>
      <c r="G736" s="73">
        <f>movimientos54881114318212224272830[[#This Row],[MONTO]]-movimientos54881114318212224272830[[#This Row],[SALIDAS]]</f>
        <v>0</v>
      </c>
    </row>
    <row r="737" spans="2:7" hidden="1" x14ac:dyDescent="0.25">
      <c r="B737" s="94"/>
      <c r="C737" s="53"/>
      <c r="D737" s="53"/>
      <c r="E737" s="70"/>
      <c r="F737" s="71"/>
      <c r="G737" s="73">
        <f>movimientos54881114318212224272830[[#This Row],[MONTO]]-movimientos54881114318212224272830[[#This Row],[SALIDAS]]</f>
        <v>0</v>
      </c>
    </row>
    <row r="738" spans="2:7" hidden="1" x14ac:dyDescent="0.25">
      <c r="B738" s="94"/>
      <c r="C738" s="53"/>
      <c r="D738" s="53"/>
      <c r="E738" s="70"/>
      <c r="F738" s="71"/>
      <c r="G738" s="73">
        <f>movimientos54881114318212224272830[[#This Row],[MONTO]]-movimientos54881114318212224272830[[#This Row],[SALIDAS]]</f>
        <v>0</v>
      </c>
    </row>
    <row r="739" spans="2:7" hidden="1" x14ac:dyDescent="0.25">
      <c r="B739" s="94"/>
      <c r="C739" s="53"/>
      <c r="D739" s="53"/>
      <c r="E739" s="131"/>
      <c r="F739" s="71"/>
      <c r="G739" s="73">
        <f>movimientos54881114318212224272830[[#This Row],[MONTO]]-movimientos54881114318212224272830[[#This Row],[SALIDAS]]</f>
        <v>0</v>
      </c>
    </row>
    <row r="740" spans="2:7" hidden="1" x14ac:dyDescent="0.25">
      <c r="B740" s="94"/>
      <c r="C740" s="53"/>
      <c r="D740" s="53"/>
      <c r="E740" s="70"/>
      <c r="F740" s="71"/>
      <c r="G740" s="73">
        <f>movimientos54881114318212224272830[[#This Row],[MONTO]]-movimientos54881114318212224272830[[#This Row],[SALIDAS]]</f>
        <v>0</v>
      </c>
    </row>
    <row r="741" spans="2:7" hidden="1" x14ac:dyDescent="0.25">
      <c r="B741" s="94"/>
      <c r="C741" s="53"/>
      <c r="D741" s="53"/>
      <c r="E741" s="131"/>
      <c r="F741" s="71"/>
      <c r="G741" s="73">
        <f>movimientos54881114318212224272830[[#This Row],[MONTO]]-movimientos54881114318212224272830[[#This Row],[SALIDAS]]</f>
        <v>0</v>
      </c>
    </row>
    <row r="742" spans="2:7" hidden="1" x14ac:dyDescent="0.25">
      <c r="B742" s="94"/>
      <c r="C742" s="53"/>
      <c r="D742" s="53"/>
      <c r="E742" s="131"/>
      <c r="F742" s="71"/>
      <c r="G742" s="73">
        <f>movimientos54881114318212224272830[[#This Row],[MONTO]]-movimientos54881114318212224272830[[#This Row],[SALIDAS]]</f>
        <v>0</v>
      </c>
    </row>
    <row r="743" spans="2:7" hidden="1" x14ac:dyDescent="0.25">
      <c r="B743" s="94"/>
      <c r="C743" s="53"/>
      <c r="D743" s="53"/>
      <c r="E743" s="70"/>
      <c r="F743" s="71"/>
      <c r="G743" s="73">
        <f>movimientos54881114318212224272830[[#This Row],[MONTO]]-movimientos54881114318212224272830[[#This Row],[SALIDAS]]</f>
        <v>0</v>
      </c>
    </row>
    <row r="744" spans="2:7" hidden="1" x14ac:dyDescent="0.25">
      <c r="B744" s="94"/>
      <c r="C744" s="53"/>
      <c r="D744" s="53"/>
      <c r="E744" s="70"/>
      <c r="F744" s="71"/>
      <c r="G744" s="73">
        <f>movimientos54881114318212224272830[[#This Row],[MONTO]]-movimientos54881114318212224272830[[#This Row],[SALIDAS]]</f>
        <v>0</v>
      </c>
    </row>
    <row r="745" spans="2:7" hidden="1" x14ac:dyDescent="0.25">
      <c r="B745" s="94"/>
      <c r="C745" s="53"/>
      <c r="D745" s="53"/>
      <c r="E745" s="70"/>
      <c r="F745" s="71"/>
      <c r="G745" s="73">
        <f>movimientos54881114318212224272830[[#This Row],[MONTO]]-movimientos54881114318212224272830[[#This Row],[SALIDAS]]</f>
        <v>0</v>
      </c>
    </row>
    <row r="746" spans="2:7" hidden="1" x14ac:dyDescent="0.25">
      <c r="B746" s="94"/>
      <c r="C746" s="53"/>
      <c r="D746" s="53"/>
      <c r="E746" s="131"/>
      <c r="F746" s="71"/>
      <c r="G746" s="73">
        <f>movimientos54881114318212224272830[[#This Row],[MONTO]]-movimientos54881114318212224272830[[#This Row],[SALIDAS]]</f>
        <v>0</v>
      </c>
    </row>
    <row r="747" spans="2:7" hidden="1" x14ac:dyDescent="0.25">
      <c r="B747" s="94"/>
      <c r="C747" s="53"/>
      <c r="D747" s="53"/>
      <c r="E747" s="131"/>
      <c r="F747" s="71"/>
      <c r="G747" s="73">
        <f>movimientos54881114318212224272830[[#This Row],[MONTO]]-movimientos54881114318212224272830[[#This Row],[SALIDAS]]</f>
        <v>0</v>
      </c>
    </row>
  </sheetData>
  <mergeCells count="36">
    <mergeCell ref="A686:R686"/>
    <mergeCell ref="J691:K691"/>
    <mergeCell ref="N695:O696"/>
    <mergeCell ref="A619:R619"/>
    <mergeCell ref="J624:K624"/>
    <mergeCell ref="N628:O629"/>
    <mergeCell ref="A555:R555"/>
    <mergeCell ref="J560:K560"/>
    <mergeCell ref="N564:O565"/>
    <mergeCell ref="A480:R480"/>
    <mergeCell ref="N489:O490"/>
    <mergeCell ref="J485:K485"/>
    <mergeCell ref="A403:R403"/>
    <mergeCell ref="N412:O413"/>
    <mergeCell ref="P148:Q148"/>
    <mergeCell ref="P147:Q147"/>
    <mergeCell ref="P32:Q32"/>
    <mergeCell ref="A53:R53"/>
    <mergeCell ref="N62:O63"/>
    <mergeCell ref="A119:R119"/>
    <mergeCell ref="N128:O129"/>
    <mergeCell ref="O140:Q140"/>
    <mergeCell ref="A333:R333"/>
    <mergeCell ref="N342:O343"/>
    <mergeCell ref="P149:Q149"/>
    <mergeCell ref="A172:R172"/>
    <mergeCell ref="N181:O182"/>
    <mergeCell ref="A291:R291"/>
    <mergeCell ref="N300:O301"/>
    <mergeCell ref="A227:R227"/>
    <mergeCell ref="N236:O237"/>
    <mergeCell ref="A2:Q3"/>
    <mergeCell ref="N11:O12"/>
    <mergeCell ref="O23:Q23"/>
    <mergeCell ref="P30:Q30"/>
    <mergeCell ref="P31:Q31"/>
  </mergeCells>
  <conditionalFormatting sqref="N11:O12">
    <cfRule type="expression" dxfId="167" priority="12">
      <formula>$N$11&lt;&gt;""</formula>
    </cfRule>
  </conditionalFormatting>
  <conditionalFormatting sqref="N62:O63">
    <cfRule type="expression" dxfId="166" priority="11">
      <formula>$N$11&lt;&gt;""</formula>
    </cfRule>
  </conditionalFormatting>
  <conditionalFormatting sqref="N128:O129">
    <cfRule type="expression" dxfId="165" priority="10">
      <formula>$N$11&lt;&gt;""</formula>
    </cfRule>
  </conditionalFormatting>
  <conditionalFormatting sqref="N181:O182">
    <cfRule type="expression" dxfId="164" priority="9">
      <formula>$N$11&lt;&gt;""</formula>
    </cfRule>
  </conditionalFormatting>
  <conditionalFormatting sqref="N236:O237">
    <cfRule type="expression" dxfId="163" priority="8">
      <formula>$N$11&lt;&gt;""</formula>
    </cfRule>
  </conditionalFormatting>
  <conditionalFormatting sqref="N300:O301">
    <cfRule type="expression" dxfId="162" priority="7">
      <formula>$N$11&lt;&gt;""</formula>
    </cfRule>
  </conditionalFormatting>
  <conditionalFormatting sqref="N342:O343">
    <cfRule type="expression" dxfId="161" priority="6">
      <formula>$N$11&lt;&gt;""</formula>
    </cfRule>
  </conditionalFormatting>
  <conditionalFormatting sqref="N412:O413">
    <cfRule type="expression" dxfId="160" priority="5">
      <formula>$N$11&lt;&gt;""</formula>
    </cfRule>
  </conditionalFormatting>
  <conditionalFormatting sqref="N489:O490">
    <cfRule type="expression" dxfId="159" priority="4">
      <formula>$N$11&lt;&gt;""</formula>
    </cfRule>
  </conditionalFormatting>
  <conditionalFormatting sqref="N564:O565">
    <cfRule type="expression" dxfId="158" priority="3">
      <formula>$N$11&lt;&gt;""</formula>
    </cfRule>
  </conditionalFormatting>
  <conditionalFormatting sqref="N628:O629">
    <cfRule type="expression" dxfId="157" priority="2">
      <formula>$N$11&lt;&gt;""</formula>
    </cfRule>
  </conditionalFormatting>
  <conditionalFormatting sqref="N695:O696">
    <cfRule type="expression" dxfId="156" priority="1">
      <formula>$N$11&lt;&gt;""</formula>
    </cfRule>
  </conditionalFormatting>
  <dataValidations count="8">
    <dataValidation type="list" allowBlank="1" showInputMessage="1" showErrorMessage="1" sqref="D60:D117 D126:D168" xr:uid="{81EA480F-0AA2-4EAF-AB2B-1A7ED6FA7486}">
      <formula1>$J$59:$J$67</formula1>
    </dataValidation>
    <dataValidation type="list" allowBlank="1" showInputMessage="1" showErrorMessage="1" sqref="D9:D51" xr:uid="{53D2224A-4C61-433E-BE6D-7B4484B5429E}">
      <formula1>tipo_de_caja</formula1>
    </dataValidation>
    <dataValidation type="list" allowBlank="1" showInputMessage="1" showErrorMessage="1" sqref="D179:D224 D273 D280:D284" xr:uid="{BEC1F86F-E603-45C0-8BE9-9CC0269C70E3}">
      <formula1>$J$178:$J$186</formula1>
    </dataValidation>
    <dataValidation type="list" allowBlank="1" showInputMessage="1" showErrorMessage="1" sqref="D285 D234:D272" xr:uid="{50042CE4-2FE9-4358-AFA9-26A37F927271}">
      <formula1>$J$233:$J$242</formula1>
    </dataValidation>
    <dataValidation type="list" allowBlank="1" showInputMessage="1" showErrorMessage="1" sqref="D298:D328 D341:D400" xr:uid="{BA1121B1-0F02-42E3-B288-5130C4BD2B01}">
      <formula1>$J$297:$J$306</formula1>
    </dataValidation>
    <dataValidation type="list" allowBlank="1" showInputMessage="1" showErrorMessage="1" sqref="D340" xr:uid="{2137338A-990F-413E-9839-FD6641164B3A}">
      <formula1>$J$339:$J$348</formula1>
    </dataValidation>
    <dataValidation type="list" allowBlank="1" showInputMessage="1" showErrorMessage="1" sqref="D410:D414 D416:D476 D487:D551 D562:D615 D626:D680 D693:D747" xr:uid="{A81BAED7-6EC3-4E93-81FE-8AD18177DF60}">
      <formula1>$J$409:$J$420</formula1>
    </dataValidation>
    <dataValidation type="list" allowBlank="1" showInputMessage="1" showErrorMessage="1" sqref="D415" xr:uid="{03D29359-1294-4995-ACB4-7A1E11BF026B}">
      <formula1>$J$409:$J$417</formula1>
    </dataValidation>
  </dataValidations>
  <pageMargins left="0.7" right="0.7" top="0.75" bottom="0.75" header="0.3" footer="0.3"/>
  <drawing r:id="rId1"/>
  <legacyDrawing r:id="rId2"/>
  <tableParts count="2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075D-8985-487A-93E8-EDB79D21DFDF}">
  <sheetPr codeName="Hoja7"/>
  <dimension ref="B1:E63"/>
  <sheetViews>
    <sheetView zoomScale="85" zoomScaleNormal="85" workbookViewId="0">
      <pane ySplit="1" topLeftCell="A2" activePane="bottomLeft" state="frozen"/>
      <selection activeCell="B1" sqref="B1"/>
      <selection pane="bottomLeft" activeCell="F35" sqref="F35"/>
    </sheetView>
  </sheetViews>
  <sheetFormatPr baseColWidth="10" defaultRowHeight="15" x14ac:dyDescent="0.25"/>
  <cols>
    <col min="1" max="1" width="6.85546875" customWidth="1"/>
    <col min="2" max="2" width="22.140625" bestFit="1" customWidth="1"/>
    <col min="3" max="3" width="35.28515625" bestFit="1" customWidth="1"/>
    <col min="4" max="5" width="21.5703125" customWidth="1"/>
  </cols>
  <sheetData>
    <row r="1" spans="2:5" ht="31.5" x14ac:dyDescent="0.5">
      <c r="B1" s="189" t="s">
        <v>1559</v>
      </c>
      <c r="C1" s="189"/>
      <c r="D1" s="189"/>
      <c r="E1" s="189"/>
    </row>
    <row r="4" spans="2:5" ht="6" customHeight="1" x14ac:dyDescent="0.25"/>
    <row r="5" spans="2:5" ht="34.5" customHeight="1" x14ac:dyDescent="0.25">
      <c r="B5" s="98" t="s">
        <v>110</v>
      </c>
      <c r="C5" s="98" t="s">
        <v>312</v>
      </c>
      <c r="D5" s="98" t="s">
        <v>313</v>
      </c>
      <c r="E5" s="98" t="s">
        <v>132</v>
      </c>
    </row>
    <row r="6" spans="2:5" ht="33.75" customHeight="1" x14ac:dyDescent="0.25">
      <c r="B6" s="99" t="s">
        <v>142</v>
      </c>
      <c r="C6" s="44">
        <v>900000</v>
      </c>
      <c r="D6" s="44">
        <f>SUM(E8:E10)</f>
        <v>34000</v>
      </c>
      <c r="E6" s="100">
        <f>C6-D6</f>
        <v>866000</v>
      </c>
    </row>
    <row r="7" spans="2:5" ht="29.25" customHeight="1" x14ac:dyDescent="0.25">
      <c r="B7" s="190" t="s">
        <v>314</v>
      </c>
      <c r="C7" s="190"/>
      <c r="D7" s="190"/>
      <c r="E7" s="190"/>
    </row>
    <row r="8" spans="2:5" x14ac:dyDescent="0.25">
      <c r="B8" s="96">
        <v>46142</v>
      </c>
      <c r="C8" s="42" t="s">
        <v>281</v>
      </c>
      <c r="D8" s="42" t="s">
        <v>121</v>
      </c>
      <c r="E8" s="95">
        <v>30000</v>
      </c>
    </row>
    <row r="9" spans="2:5" x14ac:dyDescent="0.25">
      <c r="B9" s="96">
        <v>46142</v>
      </c>
      <c r="C9" s="42" t="s">
        <v>27</v>
      </c>
      <c r="D9" s="42" t="s">
        <v>121</v>
      </c>
      <c r="E9" s="95">
        <v>4000</v>
      </c>
    </row>
    <row r="10" spans="2:5" x14ac:dyDescent="0.25">
      <c r="B10" s="96">
        <v>46142</v>
      </c>
      <c r="C10" s="42" t="s">
        <v>1561</v>
      </c>
      <c r="D10" s="42" t="s">
        <v>121</v>
      </c>
      <c r="E10" s="95"/>
    </row>
    <row r="12" spans="2:5" ht="30" customHeight="1" x14ac:dyDescent="0.25">
      <c r="B12" s="98" t="s">
        <v>110</v>
      </c>
      <c r="C12" s="98" t="s">
        <v>312</v>
      </c>
      <c r="D12" s="98" t="s">
        <v>313</v>
      </c>
      <c r="E12" s="98" t="s">
        <v>132</v>
      </c>
    </row>
    <row r="13" spans="2:5" ht="29.25" customHeight="1" x14ac:dyDescent="0.25">
      <c r="B13" s="99" t="s">
        <v>135</v>
      </c>
      <c r="C13" s="44">
        <v>1500000</v>
      </c>
      <c r="D13" s="44">
        <f>SUM(E15:E24)</f>
        <v>639500</v>
      </c>
      <c r="E13" s="100">
        <f>C13-D13</f>
        <v>860500</v>
      </c>
    </row>
    <row r="14" spans="2:5" ht="28.5" customHeight="1" x14ac:dyDescent="0.25">
      <c r="B14" s="103" t="s">
        <v>314</v>
      </c>
      <c r="C14" s="103"/>
      <c r="D14" s="103"/>
      <c r="E14" s="103"/>
    </row>
    <row r="15" spans="2:5" x14ac:dyDescent="0.25">
      <c r="B15" s="96">
        <v>46142</v>
      </c>
      <c r="C15" s="42" t="s">
        <v>1391</v>
      </c>
      <c r="D15" s="42" t="s">
        <v>114</v>
      </c>
      <c r="E15" s="95">
        <v>100000</v>
      </c>
    </row>
    <row r="16" spans="2:5" x14ac:dyDescent="0.25">
      <c r="B16" s="96">
        <v>46142</v>
      </c>
      <c r="C16" s="42" t="s">
        <v>375</v>
      </c>
      <c r="D16" s="42" t="s">
        <v>114</v>
      </c>
      <c r="E16" s="95">
        <v>30000</v>
      </c>
    </row>
    <row r="17" spans="2:5" ht="15" customHeight="1" x14ac:dyDescent="0.25">
      <c r="B17" s="96">
        <v>46142</v>
      </c>
      <c r="C17" s="42" t="s">
        <v>1392</v>
      </c>
      <c r="D17" s="42" t="s">
        <v>114</v>
      </c>
      <c r="E17" s="95">
        <v>100000</v>
      </c>
    </row>
    <row r="18" spans="2:5" ht="15" customHeight="1" x14ac:dyDescent="0.25">
      <c r="B18" s="96">
        <v>46132</v>
      </c>
      <c r="C18" s="42" t="s">
        <v>1547</v>
      </c>
      <c r="D18" s="42" t="s">
        <v>114</v>
      </c>
      <c r="E18" s="95">
        <v>100000</v>
      </c>
    </row>
    <row r="19" spans="2:5" x14ac:dyDescent="0.25">
      <c r="B19" s="96">
        <v>46122</v>
      </c>
      <c r="C19" s="42" t="s">
        <v>1550</v>
      </c>
      <c r="D19" s="42" t="s">
        <v>114</v>
      </c>
      <c r="E19" s="95">
        <v>100000</v>
      </c>
    </row>
    <row r="20" spans="2:5" x14ac:dyDescent="0.25">
      <c r="B20" s="96">
        <v>46127</v>
      </c>
      <c r="C20" s="42" t="s">
        <v>308</v>
      </c>
      <c r="D20" s="42" t="s">
        <v>114</v>
      </c>
      <c r="E20" s="95">
        <v>100000</v>
      </c>
    </row>
    <row r="21" spans="2:5" x14ac:dyDescent="0.25">
      <c r="B21" s="96">
        <v>46139</v>
      </c>
      <c r="C21" s="42" t="s">
        <v>1554</v>
      </c>
      <c r="D21" s="42" t="s">
        <v>114</v>
      </c>
      <c r="E21" s="95">
        <v>50000</v>
      </c>
    </row>
    <row r="22" spans="2:5" x14ac:dyDescent="0.25">
      <c r="B22" s="96">
        <v>46141</v>
      </c>
      <c r="C22" s="42" t="s">
        <v>1555</v>
      </c>
      <c r="D22" s="42" t="s">
        <v>114</v>
      </c>
      <c r="E22" s="95">
        <v>20000</v>
      </c>
    </row>
    <row r="23" spans="2:5" x14ac:dyDescent="0.25">
      <c r="B23" s="96">
        <v>46141</v>
      </c>
      <c r="C23" s="42" t="s">
        <v>1560</v>
      </c>
      <c r="D23" s="42" t="s">
        <v>114</v>
      </c>
      <c r="E23" s="95">
        <v>10000</v>
      </c>
    </row>
    <row r="24" spans="2:5" x14ac:dyDescent="0.25">
      <c r="B24" s="96">
        <v>46142</v>
      </c>
      <c r="C24" s="42" t="s">
        <v>27</v>
      </c>
      <c r="D24" s="42" t="s">
        <v>114</v>
      </c>
      <c r="E24" s="95">
        <v>29500</v>
      </c>
    </row>
    <row r="25" spans="2:5" hidden="1" x14ac:dyDescent="0.25">
      <c r="B25" s="96"/>
      <c r="C25" s="42"/>
      <c r="D25" s="42"/>
      <c r="E25" s="95"/>
    </row>
    <row r="28" spans="2:5" hidden="1" x14ac:dyDescent="0.25">
      <c r="B28" s="97"/>
      <c r="C28" s="42"/>
      <c r="D28" s="42"/>
      <c r="E28" s="95"/>
    </row>
    <row r="29" spans="2:5" hidden="1" x14ac:dyDescent="0.25">
      <c r="B29" s="97"/>
      <c r="C29" s="42"/>
      <c r="D29" s="42"/>
      <c r="E29" s="95"/>
    </row>
    <row r="31" spans="2:5" ht="31.5" customHeight="1" x14ac:dyDescent="0.25">
      <c r="B31" s="98" t="s">
        <v>110</v>
      </c>
      <c r="C31" s="98" t="s">
        <v>312</v>
      </c>
      <c r="D31" s="98" t="s">
        <v>313</v>
      </c>
      <c r="E31" s="98" t="s">
        <v>132</v>
      </c>
    </row>
    <row r="32" spans="2:5" ht="30" customHeight="1" x14ac:dyDescent="0.25">
      <c r="B32" s="99" t="s">
        <v>245</v>
      </c>
      <c r="C32" s="44">
        <v>1000000</v>
      </c>
      <c r="D32" s="44">
        <f>SUM(E34:E44)</f>
        <v>312000</v>
      </c>
      <c r="E32" s="100">
        <f>C32-D32</f>
        <v>688000</v>
      </c>
    </row>
    <row r="33" spans="2:5" ht="25.5" customHeight="1" x14ac:dyDescent="0.25">
      <c r="B33" s="190"/>
      <c r="C33" s="190"/>
      <c r="D33" s="190"/>
      <c r="E33" s="190"/>
    </row>
    <row r="34" spans="2:5" x14ac:dyDescent="0.25">
      <c r="B34" s="96">
        <v>46142</v>
      </c>
      <c r="C34" s="42" t="s">
        <v>27</v>
      </c>
      <c r="D34" s="42" t="s">
        <v>144</v>
      </c>
      <c r="E34" s="95">
        <v>12000</v>
      </c>
    </row>
    <row r="35" spans="2:5" x14ac:dyDescent="0.25">
      <c r="B35" s="96">
        <v>46142</v>
      </c>
      <c r="C35" s="42" t="s">
        <v>1205</v>
      </c>
      <c r="D35" s="42" t="s">
        <v>144</v>
      </c>
      <c r="E35" s="95">
        <v>300000</v>
      </c>
    </row>
    <row r="36" spans="2:5" x14ac:dyDescent="0.25">
      <c r="B36" s="96"/>
      <c r="C36" s="42"/>
      <c r="D36" s="42"/>
      <c r="E36" s="95"/>
    </row>
    <row r="37" spans="2:5" x14ac:dyDescent="0.25">
      <c r="B37" s="106"/>
      <c r="C37" s="104"/>
      <c r="D37" s="104"/>
      <c r="E37" s="105"/>
    </row>
    <row r="38" spans="2:5" hidden="1" x14ac:dyDescent="0.25">
      <c r="B38" s="94"/>
      <c r="C38" s="53"/>
      <c r="D38" s="53"/>
      <c r="E38" s="70"/>
    </row>
    <row r="39" spans="2:5" hidden="1" x14ac:dyDescent="0.25">
      <c r="B39" s="94"/>
      <c r="C39" s="53"/>
      <c r="D39" s="53"/>
      <c r="E39" s="70"/>
    </row>
    <row r="40" spans="2:5" hidden="1" x14ac:dyDescent="0.25">
      <c r="B40" s="94"/>
      <c r="C40" s="53"/>
      <c r="D40" s="53"/>
      <c r="E40" s="70"/>
    </row>
    <row r="41" spans="2:5" hidden="1" x14ac:dyDescent="0.25">
      <c r="B41" s="94"/>
      <c r="C41" s="53"/>
      <c r="D41" s="53"/>
      <c r="E41" s="70"/>
    </row>
    <row r="42" spans="2:5" hidden="1" x14ac:dyDescent="0.25">
      <c r="B42" s="94"/>
      <c r="C42" s="53"/>
      <c r="D42" s="53"/>
      <c r="E42" s="70"/>
    </row>
    <row r="43" spans="2:5" hidden="1" x14ac:dyDescent="0.25">
      <c r="B43" s="94"/>
      <c r="C43" s="53"/>
      <c r="D43" s="53"/>
      <c r="E43" s="70"/>
    </row>
    <row r="44" spans="2:5" hidden="1" x14ac:dyDescent="0.25">
      <c r="B44" s="92"/>
      <c r="C44" s="53"/>
      <c r="D44" s="53"/>
      <c r="E44" s="70"/>
    </row>
    <row r="46" spans="2:5" ht="27.75" customHeight="1" x14ac:dyDescent="0.25">
      <c r="B46" s="98" t="s">
        <v>110</v>
      </c>
      <c r="C46" s="98" t="s">
        <v>312</v>
      </c>
      <c r="D46" s="98" t="s">
        <v>313</v>
      </c>
      <c r="E46" s="98" t="s">
        <v>132</v>
      </c>
    </row>
    <row r="47" spans="2:5" ht="27.75" customHeight="1" x14ac:dyDescent="0.25">
      <c r="B47" s="99" t="s">
        <v>339</v>
      </c>
      <c r="C47" s="44">
        <v>800000</v>
      </c>
      <c r="D47" s="44">
        <f>SUM(E49:E52)</f>
        <v>0</v>
      </c>
      <c r="E47" s="100">
        <f>C47-D47</f>
        <v>800000</v>
      </c>
    </row>
    <row r="48" spans="2:5" x14ac:dyDescent="0.25">
      <c r="B48" s="190" t="s">
        <v>314</v>
      </c>
      <c r="C48" s="190"/>
      <c r="D48" s="190"/>
      <c r="E48" s="190"/>
    </row>
    <row r="49" spans="2:5" x14ac:dyDescent="0.25">
      <c r="B49" s="96"/>
      <c r="C49" s="42"/>
      <c r="D49" s="42"/>
      <c r="E49" s="95"/>
    </row>
    <row r="50" spans="2:5" x14ac:dyDescent="0.25">
      <c r="B50" s="96"/>
      <c r="C50" s="42"/>
      <c r="D50" s="42"/>
      <c r="E50" s="95"/>
    </row>
    <row r="51" spans="2:5" hidden="1" x14ac:dyDescent="0.25">
      <c r="B51" s="96"/>
      <c r="C51" s="42"/>
      <c r="D51" s="42"/>
      <c r="E51" s="95"/>
    </row>
    <row r="55" spans="2:5" x14ac:dyDescent="0.25">
      <c r="B55" s="98" t="s">
        <v>110</v>
      </c>
      <c r="C55" s="98" t="s">
        <v>312</v>
      </c>
      <c r="D55" s="98" t="s">
        <v>313</v>
      </c>
      <c r="E55" s="98" t="s">
        <v>132</v>
      </c>
    </row>
    <row r="56" spans="2:5" x14ac:dyDescent="0.25">
      <c r="B56" s="99" t="s">
        <v>338</v>
      </c>
      <c r="C56" s="44">
        <v>1800000</v>
      </c>
      <c r="D56" s="44">
        <f>SUM(E58:E63)</f>
        <v>100000</v>
      </c>
      <c r="E56" s="100">
        <f>C56-D56</f>
        <v>1700000</v>
      </c>
    </row>
    <row r="57" spans="2:5" ht="15" hidden="1" customHeight="1" x14ac:dyDescent="0.25">
      <c r="B57" s="190" t="s">
        <v>314</v>
      </c>
      <c r="C57" s="190"/>
      <c r="D57" s="190"/>
      <c r="E57" s="190"/>
    </row>
    <row r="58" spans="2:5" ht="15" hidden="1" customHeight="1" x14ac:dyDescent="0.25">
      <c r="B58" s="96"/>
      <c r="C58" s="42"/>
      <c r="D58" s="42"/>
      <c r="E58" s="95"/>
    </row>
    <row r="59" spans="2:5" hidden="1" x14ac:dyDescent="0.25">
      <c r="B59" s="96"/>
      <c r="C59" s="42"/>
      <c r="D59" s="42"/>
      <c r="E59" s="95"/>
    </row>
    <row r="60" spans="2:5" hidden="1" x14ac:dyDescent="0.25">
      <c r="B60" s="96"/>
      <c r="C60" s="42"/>
      <c r="D60" s="42"/>
      <c r="E60" s="95"/>
    </row>
    <row r="61" spans="2:5" hidden="1" x14ac:dyDescent="0.25">
      <c r="B61" s="96"/>
      <c r="C61" s="42"/>
      <c r="D61" s="42"/>
      <c r="E61" s="95"/>
    </row>
    <row r="62" spans="2:5" x14ac:dyDescent="0.25">
      <c r="B62" s="96">
        <v>46142</v>
      </c>
      <c r="C62" s="42" t="s">
        <v>1565</v>
      </c>
      <c r="D62" s="42" t="s">
        <v>338</v>
      </c>
      <c r="E62" s="95">
        <v>100000</v>
      </c>
    </row>
    <row r="63" spans="2:5" x14ac:dyDescent="0.25">
      <c r="B63" s="96"/>
      <c r="C63" s="42"/>
      <c r="D63" s="42"/>
      <c r="E63" s="95"/>
    </row>
  </sheetData>
  <mergeCells count="5">
    <mergeCell ref="B1:E1"/>
    <mergeCell ref="B48:E48"/>
    <mergeCell ref="B33:E33"/>
    <mergeCell ref="B7:E7"/>
    <mergeCell ref="B57:E57"/>
  </mergeCells>
  <phoneticPr fontId="27" type="noConversion"/>
  <dataValidations count="2">
    <dataValidation type="list" allowBlank="1" showInputMessage="1" showErrorMessage="1" sqref="D15:D25 D8:D10 D60:D61" xr:uid="{559BF984-D623-4C8E-B301-B07FCE631795}">
      <formula1>$J$161:$J$170</formula1>
    </dataValidation>
    <dataValidation type="list" allowBlank="1" showInputMessage="1" showErrorMessage="1" sqref="D37:D43" xr:uid="{CC041DD1-7E21-43FB-A7C4-00455ABC70ED}">
      <formula1>$J$117:$J$125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CD06-2458-4487-A9D3-3FEF0A96A638}">
  <sheetPr codeName="Hoja8"/>
  <dimension ref="E4:U46"/>
  <sheetViews>
    <sheetView topLeftCell="K18" zoomScaleNormal="100" workbookViewId="0">
      <selection activeCell="U35" sqref="U35"/>
    </sheetView>
  </sheetViews>
  <sheetFormatPr baseColWidth="10" defaultRowHeight="15" x14ac:dyDescent="0.25"/>
  <cols>
    <col min="1" max="1" width="6.5703125" customWidth="1"/>
    <col min="2" max="2" width="9.140625" customWidth="1"/>
    <col min="3" max="3" width="10.140625" customWidth="1"/>
    <col min="5" max="5" width="16" customWidth="1"/>
    <col min="6" max="6" width="19.28515625" bestFit="1" customWidth="1"/>
    <col min="7" max="7" width="22" customWidth="1"/>
    <col min="8" max="8" width="15.7109375" customWidth="1"/>
    <col min="9" max="9" width="13.7109375" bestFit="1" customWidth="1"/>
    <col min="10" max="10" width="17.28515625" customWidth="1"/>
    <col min="11" max="11" width="14.7109375" customWidth="1"/>
    <col min="15" max="15" width="15.42578125" bestFit="1" customWidth="1"/>
    <col min="16" max="16" width="13.140625" bestFit="1" customWidth="1"/>
    <col min="18" max="18" width="13.7109375" bestFit="1" customWidth="1"/>
  </cols>
  <sheetData>
    <row r="4" spans="5:21" ht="15.75" x14ac:dyDescent="0.25">
      <c r="E4" s="191" t="s">
        <v>1332</v>
      </c>
      <c r="F4" s="191"/>
      <c r="G4" s="191"/>
      <c r="H4" s="191"/>
      <c r="I4" s="191"/>
      <c r="J4" s="191"/>
      <c r="K4" s="191"/>
      <c r="L4" s="191"/>
      <c r="N4" s="191" t="s">
        <v>1545</v>
      </c>
      <c r="O4" s="191"/>
      <c r="P4" s="191"/>
      <c r="Q4" s="191"/>
      <c r="R4" s="191"/>
      <c r="S4" s="191"/>
      <c r="T4" s="191"/>
      <c r="U4" s="191"/>
    </row>
    <row r="6" spans="5:21" x14ac:dyDescent="0.25">
      <c r="E6" s="33" t="s">
        <v>584</v>
      </c>
      <c r="F6" s="33" t="s">
        <v>967</v>
      </c>
      <c r="G6" s="33" t="s">
        <v>586</v>
      </c>
      <c r="H6" s="33" t="s">
        <v>587</v>
      </c>
      <c r="I6" s="33" t="s">
        <v>585</v>
      </c>
      <c r="J6" s="33" t="s">
        <v>687</v>
      </c>
      <c r="K6" s="114" t="s">
        <v>588</v>
      </c>
      <c r="L6" s="114" t="s">
        <v>111</v>
      </c>
      <c r="N6" s="33" t="s">
        <v>584</v>
      </c>
      <c r="O6" s="33" t="s">
        <v>967</v>
      </c>
      <c r="P6" s="33" t="s">
        <v>586</v>
      </c>
      <c r="Q6" s="33" t="s">
        <v>587</v>
      </c>
      <c r="R6" s="33" t="s">
        <v>585</v>
      </c>
      <c r="S6" s="33" t="s">
        <v>687</v>
      </c>
      <c r="T6" s="114" t="s">
        <v>588</v>
      </c>
      <c r="U6" s="114" t="s">
        <v>111</v>
      </c>
    </row>
    <row r="7" spans="5:21" x14ac:dyDescent="0.25">
      <c r="E7" s="123">
        <v>1657</v>
      </c>
      <c r="F7" s="123" t="s">
        <v>968</v>
      </c>
      <c r="G7" s="124">
        <f>I7/1.19</f>
        <v>69800</v>
      </c>
      <c r="H7" s="124">
        <f>G7*0.19</f>
        <v>13262</v>
      </c>
      <c r="I7" s="95">
        <v>83062</v>
      </c>
      <c r="J7" s="124">
        <f t="shared" ref="J7:J23" si="0">G7-K7</f>
        <v>52350</v>
      </c>
      <c r="K7" s="124">
        <f t="shared" ref="K7:K23" si="1">G7*0.25</f>
        <v>17450</v>
      </c>
      <c r="L7" s="125">
        <f>K7</f>
        <v>17450</v>
      </c>
      <c r="N7" s="123">
        <v>1856</v>
      </c>
      <c r="O7" s="123" t="s">
        <v>968</v>
      </c>
      <c r="P7" s="124">
        <f>R7/1.19</f>
        <v>706500</v>
      </c>
      <c r="Q7" s="124">
        <f>P7*0.19</f>
        <v>134235</v>
      </c>
      <c r="R7" s="95">
        <v>840735</v>
      </c>
      <c r="S7" s="124">
        <f t="shared" ref="S7:S23" si="2">P7-T7</f>
        <v>529875</v>
      </c>
      <c r="T7" s="124">
        <f t="shared" ref="T7:T23" si="3">P7*0.25</f>
        <v>176625</v>
      </c>
      <c r="U7" s="125">
        <f>T7</f>
        <v>176625</v>
      </c>
    </row>
    <row r="8" spans="5:21" x14ac:dyDescent="0.25">
      <c r="E8" s="123">
        <v>1658</v>
      </c>
      <c r="F8" s="123" t="s">
        <v>968</v>
      </c>
      <c r="G8" s="124">
        <f>I8/1.19</f>
        <v>70000</v>
      </c>
      <c r="H8" s="124">
        <f>G8*0.19</f>
        <v>13300</v>
      </c>
      <c r="I8" s="95">
        <v>83300</v>
      </c>
      <c r="J8" s="124">
        <f t="shared" si="0"/>
        <v>52500</v>
      </c>
      <c r="K8" s="124">
        <f t="shared" si="1"/>
        <v>17500</v>
      </c>
      <c r="L8" s="125">
        <f t="shared" ref="L8:L19" si="4">K8+L7</f>
        <v>34950</v>
      </c>
      <c r="N8" s="123">
        <v>1866</v>
      </c>
      <c r="O8" s="123" t="s">
        <v>968</v>
      </c>
      <c r="P8" s="124">
        <f>R8/1.19</f>
        <v>109500</v>
      </c>
      <c r="Q8" s="124">
        <f>P8*0.19</f>
        <v>20805</v>
      </c>
      <c r="R8" s="95">
        <v>130305</v>
      </c>
      <c r="S8" s="124">
        <f t="shared" si="2"/>
        <v>82125</v>
      </c>
      <c r="T8" s="124">
        <f t="shared" si="3"/>
        <v>27375</v>
      </c>
      <c r="U8" s="125">
        <f t="shared" ref="U8:U19" si="5">T8+U7</f>
        <v>204000</v>
      </c>
    </row>
    <row r="9" spans="5:21" x14ac:dyDescent="0.25">
      <c r="E9" s="123">
        <v>1663</v>
      </c>
      <c r="F9" s="123" t="s">
        <v>968</v>
      </c>
      <c r="G9" s="124">
        <f>I9/1.19</f>
        <v>63000</v>
      </c>
      <c r="H9" s="124">
        <f>G9*0.19</f>
        <v>11970</v>
      </c>
      <c r="I9" s="95">
        <v>74970</v>
      </c>
      <c r="J9" s="124">
        <f t="shared" si="0"/>
        <v>47250</v>
      </c>
      <c r="K9" s="124">
        <f t="shared" si="1"/>
        <v>15750</v>
      </c>
      <c r="L9" s="125">
        <f t="shared" si="4"/>
        <v>50700</v>
      </c>
      <c r="N9" s="123">
        <v>1879</v>
      </c>
      <c r="O9" s="123" t="s">
        <v>968</v>
      </c>
      <c r="P9" s="124">
        <f>R9/1.19</f>
        <v>102000</v>
      </c>
      <c r="Q9" s="124">
        <f>P9*0.19</f>
        <v>19380</v>
      </c>
      <c r="R9" s="95">
        <v>121380</v>
      </c>
      <c r="S9" s="124">
        <f t="shared" si="2"/>
        <v>76500</v>
      </c>
      <c r="T9" s="124">
        <f t="shared" si="3"/>
        <v>25500</v>
      </c>
      <c r="U9" s="125">
        <f t="shared" si="5"/>
        <v>229500</v>
      </c>
    </row>
    <row r="10" spans="5:21" x14ac:dyDescent="0.25">
      <c r="E10" s="123">
        <v>1664</v>
      </c>
      <c r="F10" s="123" t="s">
        <v>968</v>
      </c>
      <c r="G10" s="124">
        <f>I10/1.19</f>
        <v>421600</v>
      </c>
      <c r="H10" s="124">
        <f>G10*0.19</f>
        <v>80104</v>
      </c>
      <c r="I10" s="95">
        <v>501704</v>
      </c>
      <c r="J10" s="124">
        <f t="shared" si="0"/>
        <v>316200</v>
      </c>
      <c r="K10" s="124">
        <f t="shared" si="1"/>
        <v>105400</v>
      </c>
      <c r="L10" s="125">
        <f t="shared" si="4"/>
        <v>156100</v>
      </c>
      <c r="N10" s="123">
        <v>1905</v>
      </c>
      <c r="O10" s="123" t="s">
        <v>969</v>
      </c>
      <c r="P10" s="124">
        <f>R10/1.19</f>
        <v>266875.63025210088</v>
      </c>
      <c r="Q10" s="124">
        <f>P10*0.19</f>
        <v>50706.369747899167</v>
      </c>
      <c r="R10" s="95">
        <v>317582</v>
      </c>
      <c r="S10" s="124">
        <f t="shared" si="2"/>
        <v>200156.72268907566</v>
      </c>
      <c r="T10" s="124">
        <f t="shared" si="3"/>
        <v>66718.907563025219</v>
      </c>
      <c r="U10" s="125">
        <f t="shared" si="5"/>
        <v>296218.90756302525</v>
      </c>
    </row>
    <row r="11" spans="5:21" x14ac:dyDescent="0.25">
      <c r="E11" s="123">
        <v>1692</v>
      </c>
      <c r="F11" s="123" t="s">
        <v>968</v>
      </c>
      <c r="G11" s="124">
        <f t="shared" ref="G11:G23" si="6">I11/1.19</f>
        <v>749000</v>
      </c>
      <c r="H11" s="124">
        <f t="shared" ref="H11:H23" si="7">G11*0.19</f>
        <v>142310</v>
      </c>
      <c r="I11" s="95">
        <v>891310</v>
      </c>
      <c r="J11" s="124">
        <f t="shared" si="0"/>
        <v>561750</v>
      </c>
      <c r="K11" s="124">
        <f t="shared" si="1"/>
        <v>187250</v>
      </c>
      <c r="L11" s="125">
        <f t="shared" si="4"/>
        <v>343350</v>
      </c>
      <c r="N11" s="123">
        <v>1894</v>
      </c>
      <c r="O11" s="123" t="s">
        <v>968</v>
      </c>
      <c r="P11" s="124">
        <f t="shared" ref="P11:P23" si="8">R11/1.19</f>
        <v>18500</v>
      </c>
      <c r="Q11" s="124">
        <f t="shared" ref="Q11:Q23" si="9">P11*0.19</f>
        <v>3515</v>
      </c>
      <c r="R11" s="95">
        <v>22015</v>
      </c>
      <c r="S11" s="124">
        <f t="shared" si="2"/>
        <v>13875</v>
      </c>
      <c r="T11" s="124">
        <f t="shared" si="3"/>
        <v>4625</v>
      </c>
      <c r="U11" s="125">
        <f t="shared" si="5"/>
        <v>300843.90756302525</v>
      </c>
    </row>
    <row r="12" spans="5:21" x14ac:dyDescent="0.25">
      <c r="E12" s="123">
        <v>1740</v>
      </c>
      <c r="F12" s="123" t="s">
        <v>968</v>
      </c>
      <c r="G12" s="124">
        <f t="shared" si="6"/>
        <v>105000</v>
      </c>
      <c r="H12" s="124">
        <f t="shared" si="7"/>
        <v>19950</v>
      </c>
      <c r="I12" s="95">
        <v>124950</v>
      </c>
      <c r="J12" s="124">
        <f t="shared" si="0"/>
        <v>78750</v>
      </c>
      <c r="K12" s="124">
        <f t="shared" si="1"/>
        <v>26250</v>
      </c>
      <c r="L12" s="125">
        <f t="shared" si="4"/>
        <v>369600</v>
      </c>
      <c r="N12" s="123"/>
      <c r="O12" s="123"/>
      <c r="P12" s="124">
        <f t="shared" si="8"/>
        <v>0</v>
      </c>
      <c r="Q12" s="124">
        <f t="shared" si="9"/>
        <v>0</v>
      </c>
      <c r="R12" s="95"/>
      <c r="S12" s="124">
        <f t="shared" si="2"/>
        <v>0</v>
      </c>
      <c r="T12" s="124">
        <f t="shared" si="3"/>
        <v>0</v>
      </c>
      <c r="U12" s="125">
        <f t="shared" si="5"/>
        <v>300843.90756302525</v>
      </c>
    </row>
    <row r="13" spans="5:21" x14ac:dyDescent="0.25">
      <c r="E13" s="123">
        <v>1749</v>
      </c>
      <c r="F13" s="123" t="s">
        <v>968</v>
      </c>
      <c r="G13" s="124">
        <f t="shared" si="6"/>
        <v>18000</v>
      </c>
      <c r="H13" s="124">
        <f t="shared" si="7"/>
        <v>3420</v>
      </c>
      <c r="I13" s="95">
        <v>21420</v>
      </c>
      <c r="J13" s="124">
        <f t="shared" si="0"/>
        <v>13500</v>
      </c>
      <c r="K13" s="124">
        <f t="shared" si="1"/>
        <v>4500</v>
      </c>
      <c r="L13" s="125">
        <f t="shared" si="4"/>
        <v>374100</v>
      </c>
      <c r="N13" s="123"/>
      <c r="O13" s="123"/>
      <c r="P13" s="124">
        <f t="shared" si="8"/>
        <v>0</v>
      </c>
      <c r="Q13" s="124">
        <f t="shared" si="9"/>
        <v>0</v>
      </c>
      <c r="R13" s="95"/>
      <c r="S13" s="124">
        <f t="shared" si="2"/>
        <v>0</v>
      </c>
      <c r="T13" s="124">
        <f t="shared" si="3"/>
        <v>0</v>
      </c>
      <c r="U13" s="125">
        <f t="shared" si="5"/>
        <v>300843.90756302525</v>
      </c>
    </row>
    <row r="14" spans="5:21" x14ac:dyDescent="0.25">
      <c r="E14" s="123">
        <v>1757</v>
      </c>
      <c r="F14" s="123" t="s">
        <v>968</v>
      </c>
      <c r="G14" s="124">
        <f t="shared" si="6"/>
        <v>18000</v>
      </c>
      <c r="H14" s="124">
        <f t="shared" si="7"/>
        <v>3420</v>
      </c>
      <c r="I14" s="95">
        <v>21420</v>
      </c>
      <c r="J14" s="124">
        <f t="shared" si="0"/>
        <v>13500</v>
      </c>
      <c r="K14" s="124">
        <f t="shared" si="1"/>
        <v>4500</v>
      </c>
      <c r="L14" s="125">
        <f t="shared" si="4"/>
        <v>378600</v>
      </c>
      <c r="N14" s="123"/>
      <c r="O14" s="123"/>
      <c r="P14" s="124">
        <f t="shared" si="8"/>
        <v>0</v>
      </c>
      <c r="Q14" s="124">
        <f t="shared" si="9"/>
        <v>0</v>
      </c>
      <c r="R14" s="95"/>
      <c r="S14" s="124">
        <f t="shared" si="2"/>
        <v>0</v>
      </c>
      <c r="T14" s="124">
        <f t="shared" si="3"/>
        <v>0</v>
      </c>
      <c r="U14" s="125">
        <f t="shared" si="5"/>
        <v>300843.90756302525</v>
      </c>
    </row>
    <row r="15" spans="5:21" x14ac:dyDescent="0.25">
      <c r="E15" s="123">
        <v>1760</v>
      </c>
      <c r="F15" s="123" t="s">
        <v>968</v>
      </c>
      <c r="G15" s="124">
        <f t="shared" si="6"/>
        <v>22000</v>
      </c>
      <c r="H15" s="124">
        <f t="shared" si="7"/>
        <v>4180</v>
      </c>
      <c r="I15" s="95">
        <v>26180</v>
      </c>
      <c r="J15" s="124">
        <f t="shared" si="0"/>
        <v>16500</v>
      </c>
      <c r="K15" s="124">
        <f t="shared" si="1"/>
        <v>5500</v>
      </c>
      <c r="L15" s="125">
        <f t="shared" si="4"/>
        <v>384100</v>
      </c>
      <c r="N15" s="123"/>
      <c r="O15" s="123"/>
      <c r="P15" s="124">
        <f t="shared" si="8"/>
        <v>0</v>
      </c>
      <c r="Q15" s="124">
        <f t="shared" si="9"/>
        <v>0</v>
      </c>
      <c r="R15" s="95"/>
      <c r="S15" s="124">
        <f t="shared" si="2"/>
        <v>0</v>
      </c>
      <c r="T15" s="124">
        <f t="shared" si="3"/>
        <v>0</v>
      </c>
      <c r="U15" s="125">
        <f t="shared" si="5"/>
        <v>300843.90756302525</v>
      </c>
    </row>
    <row r="16" spans="5:21" x14ac:dyDescent="0.25">
      <c r="E16" s="123">
        <v>1769</v>
      </c>
      <c r="F16" s="123" t="s">
        <v>968</v>
      </c>
      <c r="G16" s="124">
        <f t="shared" si="6"/>
        <v>336000</v>
      </c>
      <c r="H16" s="124">
        <f t="shared" si="7"/>
        <v>63840</v>
      </c>
      <c r="I16" s="95">
        <v>399840</v>
      </c>
      <c r="J16" s="124">
        <f t="shared" si="0"/>
        <v>252000</v>
      </c>
      <c r="K16" s="124">
        <f t="shared" si="1"/>
        <v>84000</v>
      </c>
      <c r="L16" s="125">
        <f t="shared" si="4"/>
        <v>468100</v>
      </c>
      <c r="N16" s="123"/>
      <c r="O16" s="123"/>
      <c r="P16" s="124">
        <f t="shared" si="8"/>
        <v>0</v>
      </c>
      <c r="Q16" s="124">
        <f t="shared" si="9"/>
        <v>0</v>
      </c>
      <c r="R16" s="95"/>
      <c r="S16" s="124">
        <f t="shared" si="2"/>
        <v>0</v>
      </c>
      <c r="T16" s="124">
        <f t="shared" si="3"/>
        <v>0</v>
      </c>
      <c r="U16" s="125">
        <f t="shared" si="5"/>
        <v>300843.90756302525</v>
      </c>
    </row>
    <row r="17" spans="5:21" x14ac:dyDescent="0.25">
      <c r="E17" s="123">
        <v>1770</v>
      </c>
      <c r="F17" s="123" t="s">
        <v>968</v>
      </c>
      <c r="G17" s="124">
        <f t="shared" si="6"/>
        <v>293800</v>
      </c>
      <c r="H17" s="124">
        <f t="shared" si="7"/>
        <v>55822</v>
      </c>
      <c r="I17" s="95">
        <v>349622</v>
      </c>
      <c r="J17" s="124">
        <f t="shared" si="0"/>
        <v>220350</v>
      </c>
      <c r="K17" s="124">
        <f t="shared" si="1"/>
        <v>73450</v>
      </c>
      <c r="L17" s="125">
        <f t="shared" si="4"/>
        <v>541550</v>
      </c>
      <c r="N17" s="123"/>
      <c r="O17" s="123"/>
      <c r="P17" s="124">
        <f t="shared" si="8"/>
        <v>0</v>
      </c>
      <c r="Q17" s="124">
        <f t="shared" si="9"/>
        <v>0</v>
      </c>
      <c r="R17" s="95"/>
      <c r="S17" s="124">
        <f t="shared" si="2"/>
        <v>0</v>
      </c>
      <c r="T17" s="124">
        <f t="shared" si="3"/>
        <v>0</v>
      </c>
      <c r="U17" s="125">
        <f t="shared" si="5"/>
        <v>300843.90756302525</v>
      </c>
    </row>
    <row r="18" spans="5:21" x14ac:dyDescent="0.25">
      <c r="E18" s="123">
        <v>1772</v>
      </c>
      <c r="F18" s="123" t="s">
        <v>968</v>
      </c>
      <c r="G18" s="124">
        <f t="shared" si="6"/>
        <v>237000</v>
      </c>
      <c r="H18" s="124">
        <f t="shared" si="7"/>
        <v>45030</v>
      </c>
      <c r="I18" s="95">
        <v>282030</v>
      </c>
      <c r="J18" s="124">
        <f t="shared" si="0"/>
        <v>177750</v>
      </c>
      <c r="K18" s="124">
        <f t="shared" si="1"/>
        <v>59250</v>
      </c>
      <c r="L18" s="125">
        <f t="shared" si="4"/>
        <v>600800</v>
      </c>
      <c r="N18" s="123"/>
      <c r="O18" s="123"/>
      <c r="P18" s="124">
        <f t="shared" si="8"/>
        <v>0</v>
      </c>
      <c r="Q18" s="124">
        <f t="shared" si="9"/>
        <v>0</v>
      </c>
      <c r="R18" s="95"/>
      <c r="S18" s="124">
        <f t="shared" si="2"/>
        <v>0</v>
      </c>
      <c r="T18" s="124">
        <f t="shared" si="3"/>
        <v>0</v>
      </c>
      <c r="U18" s="125">
        <f t="shared" si="5"/>
        <v>300843.90756302525</v>
      </c>
    </row>
    <row r="19" spans="5:21" x14ac:dyDescent="0.25">
      <c r="E19" s="123">
        <v>1792</v>
      </c>
      <c r="F19" s="123" t="s">
        <v>968</v>
      </c>
      <c r="G19" s="124">
        <f t="shared" si="6"/>
        <v>519600</v>
      </c>
      <c r="H19" s="124">
        <f t="shared" si="7"/>
        <v>98724</v>
      </c>
      <c r="I19" s="95">
        <v>618324</v>
      </c>
      <c r="J19" s="124">
        <f t="shared" si="0"/>
        <v>389700</v>
      </c>
      <c r="K19" s="124">
        <f t="shared" si="1"/>
        <v>129900</v>
      </c>
      <c r="L19" s="125">
        <f t="shared" si="4"/>
        <v>730700</v>
      </c>
      <c r="N19" s="123"/>
      <c r="O19" s="123"/>
      <c r="P19" s="124">
        <f t="shared" si="8"/>
        <v>0</v>
      </c>
      <c r="Q19" s="124">
        <f t="shared" si="9"/>
        <v>0</v>
      </c>
      <c r="R19" s="95"/>
      <c r="S19" s="124">
        <f t="shared" si="2"/>
        <v>0</v>
      </c>
      <c r="T19" s="124">
        <f t="shared" si="3"/>
        <v>0</v>
      </c>
      <c r="U19" s="125">
        <f t="shared" si="5"/>
        <v>300843.90756302525</v>
      </c>
    </row>
    <row r="20" spans="5:21" x14ac:dyDescent="0.25">
      <c r="E20" s="123">
        <v>1799</v>
      </c>
      <c r="F20" s="123" t="s">
        <v>968</v>
      </c>
      <c r="G20" s="124">
        <f t="shared" si="6"/>
        <v>100000</v>
      </c>
      <c r="H20" s="124">
        <f t="shared" si="7"/>
        <v>19000</v>
      </c>
      <c r="I20" s="95">
        <v>119000</v>
      </c>
      <c r="J20" s="124">
        <f t="shared" si="0"/>
        <v>75000</v>
      </c>
      <c r="K20" s="124">
        <f t="shared" si="1"/>
        <v>25000</v>
      </c>
      <c r="L20" s="125">
        <f>L19+K20</f>
        <v>755700</v>
      </c>
      <c r="N20" s="123"/>
      <c r="O20" s="123"/>
      <c r="P20" s="124">
        <f t="shared" si="8"/>
        <v>0</v>
      </c>
      <c r="Q20" s="124">
        <f t="shared" si="9"/>
        <v>0</v>
      </c>
      <c r="R20" s="95"/>
      <c r="S20" s="124">
        <f t="shared" si="2"/>
        <v>0</v>
      </c>
      <c r="T20" s="124">
        <f t="shared" si="3"/>
        <v>0</v>
      </c>
      <c r="U20" s="125">
        <f>U19+T20</f>
        <v>300843.90756302525</v>
      </c>
    </row>
    <row r="21" spans="5:21" x14ac:dyDescent="0.25">
      <c r="E21" s="123">
        <v>1822</v>
      </c>
      <c r="F21" s="123" t="s">
        <v>968</v>
      </c>
      <c r="G21" s="124">
        <f t="shared" si="6"/>
        <v>120000</v>
      </c>
      <c r="H21" s="124">
        <f t="shared" si="7"/>
        <v>22800</v>
      </c>
      <c r="I21" s="95">
        <v>142800</v>
      </c>
      <c r="J21" s="124">
        <f t="shared" si="0"/>
        <v>90000</v>
      </c>
      <c r="K21" s="124">
        <f t="shared" si="1"/>
        <v>30000</v>
      </c>
      <c r="L21" s="125">
        <f>L20+K21</f>
        <v>785700</v>
      </c>
      <c r="N21" s="123"/>
      <c r="O21" s="123"/>
      <c r="P21" s="124">
        <f t="shared" si="8"/>
        <v>0</v>
      </c>
      <c r="Q21" s="124">
        <f t="shared" si="9"/>
        <v>0</v>
      </c>
      <c r="R21" s="95"/>
      <c r="S21" s="124">
        <f t="shared" si="2"/>
        <v>0</v>
      </c>
      <c r="T21" s="124">
        <f t="shared" si="3"/>
        <v>0</v>
      </c>
      <c r="U21" s="125">
        <f>U20+T21</f>
        <v>300843.90756302525</v>
      </c>
    </row>
    <row r="22" spans="5:21" x14ac:dyDescent="0.25">
      <c r="E22" s="123">
        <v>1827</v>
      </c>
      <c r="F22" s="123" t="s">
        <v>968</v>
      </c>
      <c r="G22" s="124">
        <f t="shared" si="6"/>
        <v>54000</v>
      </c>
      <c r="H22" s="124">
        <f t="shared" si="7"/>
        <v>10260</v>
      </c>
      <c r="I22" s="95">
        <v>64260</v>
      </c>
      <c r="J22" s="124">
        <f t="shared" si="0"/>
        <v>40500</v>
      </c>
      <c r="K22" s="124">
        <f t="shared" si="1"/>
        <v>13500</v>
      </c>
      <c r="L22" s="125">
        <f>L21+K22</f>
        <v>799200</v>
      </c>
      <c r="N22" s="123"/>
      <c r="O22" s="123"/>
      <c r="P22" s="124">
        <f t="shared" si="8"/>
        <v>0</v>
      </c>
      <c r="Q22" s="124">
        <f t="shared" si="9"/>
        <v>0</v>
      </c>
      <c r="R22" s="95"/>
      <c r="S22" s="124">
        <f t="shared" si="2"/>
        <v>0</v>
      </c>
      <c r="T22" s="124">
        <f t="shared" si="3"/>
        <v>0</v>
      </c>
      <c r="U22" s="125">
        <f>U21+T22</f>
        <v>300843.90756302525</v>
      </c>
    </row>
    <row r="23" spans="5:21" x14ac:dyDescent="0.25">
      <c r="E23" s="123">
        <v>1850</v>
      </c>
      <c r="F23" s="123" t="s">
        <v>969</v>
      </c>
      <c r="G23" s="124">
        <f t="shared" si="6"/>
        <v>544700</v>
      </c>
      <c r="H23" s="42">
        <f t="shared" si="7"/>
        <v>103493</v>
      </c>
      <c r="I23" s="95">
        <v>648193</v>
      </c>
      <c r="J23" s="124">
        <f t="shared" si="0"/>
        <v>408525</v>
      </c>
      <c r="K23" s="124">
        <f t="shared" si="1"/>
        <v>136175</v>
      </c>
      <c r="L23" s="125">
        <f>L22+K23</f>
        <v>935375</v>
      </c>
      <c r="N23" s="123"/>
      <c r="O23" s="123"/>
      <c r="P23" s="124">
        <f t="shared" si="8"/>
        <v>0</v>
      </c>
      <c r="Q23" s="42">
        <f t="shared" si="9"/>
        <v>0</v>
      </c>
      <c r="R23" s="95"/>
      <c r="S23" s="124">
        <f t="shared" si="2"/>
        <v>0</v>
      </c>
      <c r="T23" s="124">
        <f t="shared" si="3"/>
        <v>0</v>
      </c>
      <c r="U23" s="125">
        <f>U22+T23</f>
        <v>300843.90756302525</v>
      </c>
    </row>
    <row r="27" spans="5:21" ht="15.75" x14ac:dyDescent="0.25">
      <c r="E27" s="191" t="s">
        <v>1584</v>
      </c>
      <c r="F27" s="191"/>
      <c r="G27" s="191"/>
      <c r="H27" s="191"/>
      <c r="I27" s="191"/>
      <c r="J27" s="191"/>
      <c r="K27" s="191"/>
      <c r="L27" s="191"/>
      <c r="N27" s="191" t="s">
        <v>1544</v>
      </c>
      <c r="O27" s="191"/>
      <c r="P27" s="191"/>
      <c r="Q27" s="191"/>
      <c r="R27" s="191"/>
      <c r="S27" s="191"/>
      <c r="T27" s="191"/>
      <c r="U27" s="191"/>
    </row>
    <row r="29" spans="5:21" x14ac:dyDescent="0.25">
      <c r="E29" s="33" t="s">
        <v>584</v>
      </c>
      <c r="F29" s="33" t="s">
        <v>967</v>
      </c>
      <c r="G29" s="33" t="s">
        <v>586</v>
      </c>
      <c r="H29" s="33" t="s">
        <v>587</v>
      </c>
      <c r="I29" s="33" t="s">
        <v>585</v>
      </c>
      <c r="J29" s="33" t="s">
        <v>687</v>
      </c>
      <c r="K29" s="114" t="s">
        <v>588</v>
      </c>
      <c r="L29" s="114" t="s">
        <v>111</v>
      </c>
      <c r="N29" s="33" t="s">
        <v>584</v>
      </c>
      <c r="O29" s="33" t="s">
        <v>967</v>
      </c>
      <c r="P29" s="33" t="s">
        <v>586</v>
      </c>
      <c r="Q29" s="33" t="s">
        <v>587</v>
      </c>
      <c r="R29" s="33" t="s">
        <v>585</v>
      </c>
      <c r="S29" s="33" t="s">
        <v>687</v>
      </c>
      <c r="T29" s="114" t="s">
        <v>588</v>
      </c>
      <c r="U29" s="114" t="s">
        <v>111</v>
      </c>
    </row>
    <row r="30" spans="5:21" x14ac:dyDescent="0.25">
      <c r="E30" s="123">
        <v>1910</v>
      </c>
      <c r="F30" s="123" t="s">
        <v>968</v>
      </c>
      <c r="G30" s="124">
        <f>I30/1.19</f>
        <v>37500</v>
      </c>
      <c r="H30" s="124">
        <f>G30*0.19</f>
        <v>7125</v>
      </c>
      <c r="I30" s="95">
        <v>44625</v>
      </c>
      <c r="J30" s="124">
        <f t="shared" ref="J30:J46" si="10">G30-K30</f>
        <v>28125</v>
      </c>
      <c r="K30" s="124">
        <f t="shared" ref="K30:K46" si="11">G30*0.25</f>
        <v>9375</v>
      </c>
      <c r="L30" s="125">
        <f>K30</f>
        <v>9375</v>
      </c>
      <c r="N30" s="123">
        <v>2013</v>
      </c>
      <c r="O30" s="123" t="s">
        <v>968</v>
      </c>
      <c r="P30" s="124">
        <f>R30/1.19</f>
        <v>35000</v>
      </c>
      <c r="Q30" s="124">
        <f>P30*0.19</f>
        <v>6650</v>
      </c>
      <c r="R30" s="95">
        <v>41650</v>
      </c>
      <c r="S30" s="124">
        <f t="shared" ref="S30:S46" si="12">P30-T30</f>
        <v>26250</v>
      </c>
      <c r="T30" s="124">
        <f t="shared" ref="T30:T46" si="13">P30*0.25</f>
        <v>8750</v>
      </c>
      <c r="U30" s="125">
        <f>T30</f>
        <v>8750</v>
      </c>
    </row>
    <row r="31" spans="5:21" x14ac:dyDescent="0.25">
      <c r="E31" s="123">
        <v>1911</v>
      </c>
      <c r="F31" s="123" t="s">
        <v>968</v>
      </c>
      <c r="G31" s="124">
        <f>I31/1.19</f>
        <v>5000</v>
      </c>
      <c r="H31" s="124">
        <f>G31*0.19</f>
        <v>950</v>
      </c>
      <c r="I31" s="95">
        <v>5950</v>
      </c>
      <c r="J31" s="124">
        <f t="shared" si="10"/>
        <v>3750</v>
      </c>
      <c r="K31" s="124">
        <f t="shared" si="11"/>
        <v>1250</v>
      </c>
      <c r="L31" s="125">
        <f t="shared" ref="L31:L42" si="14">K31+L30</f>
        <v>10625</v>
      </c>
      <c r="N31" s="123">
        <v>2044</v>
      </c>
      <c r="O31" s="123" t="s">
        <v>968</v>
      </c>
      <c r="P31" s="124">
        <f>R31/1.19</f>
        <v>384900</v>
      </c>
      <c r="Q31" s="124">
        <f>P31*0.19</f>
        <v>73131</v>
      </c>
      <c r="R31" s="95">
        <v>458031</v>
      </c>
      <c r="S31" s="124">
        <f t="shared" si="12"/>
        <v>288675</v>
      </c>
      <c r="T31" s="124">
        <f t="shared" si="13"/>
        <v>96225</v>
      </c>
      <c r="U31" s="125">
        <f t="shared" ref="U31:U42" si="15">T31+U30</f>
        <v>104975</v>
      </c>
    </row>
    <row r="32" spans="5:21" x14ac:dyDescent="0.25">
      <c r="E32" s="123">
        <v>1924</v>
      </c>
      <c r="F32" s="123" t="s">
        <v>968</v>
      </c>
      <c r="G32" s="124">
        <f>I32/1.19</f>
        <v>118500</v>
      </c>
      <c r="H32" s="124">
        <f>G32*0.19</f>
        <v>22515</v>
      </c>
      <c r="I32" s="95">
        <v>141015</v>
      </c>
      <c r="J32" s="124">
        <f t="shared" si="10"/>
        <v>88875</v>
      </c>
      <c r="K32" s="124">
        <f t="shared" si="11"/>
        <v>29625</v>
      </c>
      <c r="L32" s="125">
        <f t="shared" si="14"/>
        <v>40250</v>
      </c>
      <c r="N32" s="123">
        <v>2021</v>
      </c>
      <c r="O32" s="123" t="s">
        <v>968</v>
      </c>
      <c r="P32" s="124">
        <f>R32/1.19</f>
        <v>382000</v>
      </c>
      <c r="Q32" s="124">
        <f>P32*0.19</f>
        <v>72580</v>
      </c>
      <c r="R32" s="95">
        <v>454580</v>
      </c>
      <c r="S32" s="124">
        <f t="shared" si="12"/>
        <v>286500</v>
      </c>
      <c r="T32" s="124">
        <f t="shared" si="13"/>
        <v>95500</v>
      </c>
      <c r="U32" s="125">
        <f t="shared" si="15"/>
        <v>200475</v>
      </c>
    </row>
    <row r="33" spans="5:21" x14ac:dyDescent="0.25">
      <c r="E33" s="123">
        <v>1956</v>
      </c>
      <c r="F33" s="123" t="s">
        <v>968</v>
      </c>
      <c r="G33" s="124">
        <f t="shared" ref="G33:G37" si="16">I33/1.19</f>
        <v>492900</v>
      </c>
      <c r="H33" s="124">
        <f t="shared" ref="H33:H37" si="17">G33*0.19</f>
        <v>93651</v>
      </c>
      <c r="I33" s="95">
        <v>586551</v>
      </c>
      <c r="J33" s="124">
        <f t="shared" si="10"/>
        <v>369675</v>
      </c>
      <c r="K33" s="124">
        <f t="shared" si="11"/>
        <v>123225</v>
      </c>
      <c r="L33" s="125">
        <f t="shared" si="14"/>
        <v>163475</v>
      </c>
      <c r="N33" s="123">
        <v>2041</v>
      </c>
      <c r="O33" s="123" t="s">
        <v>968</v>
      </c>
      <c r="P33" s="124">
        <f t="shared" ref="P33:P46" si="18">R33/1.19</f>
        <v>538700</v>
      </c>
      <c r="Q33" s="124">
        <f t="shared" ref="Q33:Q46" si="19">P33*0.19</f>
        <v>102353</v>
      </c>
      <c r="R33" s="95">
        <v>641053</v>
      </c>
      <c r="S33" s="124">
        <f t="shared" si="12"/>
        <v>404025</v>
      </c>
      <c r="T33" s="124">
        <f t="shared" si="13"/>
        <v>134675</v>
      </c>
      <c r="U33" s="125">
        <f t="shared" si="15"/>
        <v>335150</v>
      </c>
    </row>
    <row r="34" spans="5:21" x14ac:dyDescent="0.25">
      <c r="E34" s="123">
        <v>1957</v>
      </c>
      <c r="F34" s="123" t="s">
        <v>968</v>
      </c>
      <c r="G34" s="124">
        <f t="shared" si="16"/>
        <v>239400</v>
      </c>
      <c r="H34" s="124">
        <f t="shared" si="17"/>
        <v>45486</v>
      </c>
      <c r="I34" s="95">
        <v>284886</v>
      </c>
      <c r="J34" s="124">
        <f t="shared" si="10"/>
        <v>179550</v>
      </c>
      <c r="K34" s="124">
        <f t="shared" si="11"/>
        <v>59850</v>
      </c>
      <c r="L34" s="125">
        <f t="shared" si="14"/>
        <v>223325</v>
      </c>
      <c r="N34" s="123">
        <v>2040</v>
      </c>
      <c r="O34" s="123" t="s">
        <v>968</v>
      </c>
      <c r="P34" s="124">
        <f t="shared" si="18"/>
        <v>206000</v>
      </c>
      <c r="Q34" s="124">
        <f t="shared" si="19"/>
        <v>39140</v>
      </c>
      <c r="R34" s="95">
        <v>245140</v>
      </c>
      <c r="S34" s="124">
        <f t="shared" si="12"/>
        <v>154500</v>
      </c>
      <c r="T34" s="124">
        <f t="shared" si="13"/>
        <v>51500</v>
      </c>
      <c r="U34" s="125">
        <f t="shared" si="15"/>
        <v>386650</v>
      </c>
    </row>
    <row r="35" spans="5:21" x14ac:dyDescent="0.25">
      <c r="E35" s="123">
        <v>1989</v>
      </c>
      <c r="F35" s="123" t="s">
        <v>1333</v>
      </c>
      <c r="G35" s="124">
        <f t="shared" si="16"/>
        <v>603200</v>
      </c>
      <c r="H35" s="124">
        <f t="shared" si="17"/>
        <v>114608</v>
      </c>
      <c r="I35" s="95">
        <v>717808</v>
      </c>
      <c r="J35" s="124">
        <f t="shared" si="10"/>
        <v>452400</v>
      </c>
      <c r="K35" s="124">
        <f t="shared" si="11"/>
        <v>150800</v>
      </c>
      <c r="L35" s="125">
        <f t="shared" si="14"/>
        <v>374125</v>
      </c>
      <c r="N35" s="123"/>
      <c r="O35" s="123" t="s">
        <v>968</v>
      </c>
      <c r="P35" s="124">
        <f t="shared" si="18"/>
        <v>922500</v>
      </c>
      <c r="Q35" s="124">
        <f t="shared" si="19"/>
        <v>175275</v>
      </c>
      <c r="R35" s="95">
        <v>1097775</v>
      </c>
      <c r="S35" s="124">
        <f t="shared" si="12"/>
        <v>691875</v>
      </c>
      <c r="T35" s="124">
        <f t="shared" si="13"/>
        <v>230625</v>
      </c>
      <c r="U35" s="125">
        <f t="shared" si="15"/>
        <v>617275</v>
      </c>
    </row>
    <row r="36" spans="5:21" x14ac:dyDescent="0.25">
      <c r="E36" s="123">
        <v>1982</v>
      </c>
      <c r="F36" s="123" t="s">
        <v>968</v>
      </c>
      <c r="G36" s="124">
        <f t="shared" si="16"/>
        <v>576000</v>
      </c>
      <c r="H36" s="124">
        <f t="shared" si="17"/>
        <v>109440</v>
      </c>
      <c r="I36" s="95">
        <v>685440</v>
      </c>
      <c r="J36" s="124">
        <f t="shared" si="10"/>
        <v>432000</v>
      </c>
      <c r="K36" s="124">
        <f t="shared" si="11"/>
        <v>144000</v>
      </c>
      <c r="L36" s="125">
        <f t="shared" si="14"/>
        <v>518125</v>
      </c>
      <c r="N36" s="123"/>
      <c r="O36" s="123"/>
      <c r="P36" s="124">
        <f t="shared" si="18"/>
        <v>0</v>
      </c>
      <c r="Q36" s="124">
        <f t="shared" si="19"/>
        <v>0</v>
      </c>
      <c r="R36" s="95"/>
      <c r="S36" s="124">
        <f t="shared" si="12"/>
        <v>0</v>
      </c>
      <c r="T36" s="124">
        <f t="shared" si="13"/>
        <v>0</v>
      </c>
      <c r="U36" s="125">
        <f t="shared" si="15"/>
        <v>617275</v>
      </c>
    </row>
    <row r="37" spans="5:21" x14ac:dyDescent="0.25">
      <c r="E37" s="123">
        <v>1984</v>
      </c>
      <c r="F37" s="123" t="s">
        <v>968</v>
      </c>
      <c r="G37" s="124">
        <f t="shared" si="16"/>
        <v>50000</v>
      </c>
      <c r="H37" s="124">
        <f t="shared" si="17"/>
        <v>9500</v>
      </c>
      <c r="I37" s="95">
        <v>59500</v>
      </c>
      <c r="J37" s="124">
        <f t="shared" si="10"/>
        <v>37500</v>
      </c>
      <c r="K37" s="124">
        <f t="shared" si="11"/>
        <v>12500</v>
      </c>
      <c r="L37" s="125">
        <f t="shared" si="14"/>
        <v>530625</v>
      </c>
      <c r="N37" s="123"/>
      <c r="O37" s="123"/>
      <c r="P37" s="124">
        <f t="shared" si="18"/>
        <v>0</v>
      </c>
      <c r="Q37" s="124">
        <f t="shared" si="19"/>
        <v>0</v>
      </c>
      <c r="R37" s="95"/>
      <c r="S37" s="124">
        <f t="shared" si="12"/>
        <v>0</v>
      </c>
      <c r="T37" s="124">
        <f t="shared" si="13"/>
        <v>0</v>
      </c>
      <c r="U37" s="125">
        <f t="shared" si="15"/>
        <v>617275</v>
      </c>
    </row>
    <row r="38" spans="5:21" x14ac:dyDescent="0.25">
      <c r="E38" s="123">
        <v>1986</v>
      </c>
      <c r="F38" s="123" t="s">
        <v>968</v>
      </c>
      <c r="G38" s="124">
        <f t="shared" ref="G38:G46" si="20">I38/1.19</f>
        <v>25000</v>
      </c>
      <c r="H38" s="124">
        <f t="shared" ref="H38:H46" si="21">G38*0.19</f>
        <v>4750</v>
      </c>
      <c r="I38" s="95">
        <v>29750</v>
      </c>
      <c r="J38" s="124">
        <f t="shared" si="10"/>
        <v>18750</v>
      </c>
      <c r="K38" s="124">
        <f t="shared" si="11"/>
        <v>6250</v>
      </c>
      <c r="L38" s="125">
        <f t="shared" si="14"/>
        <v>536875</v>
      </c>
      <c r="N38" s="123"/>
      <c r="O38" s="123"/>
      <c r="P38" s="124">
        <f t="shared" si="18"/>
        <v>0</v>
      </c>
      <c r="Q38" s="124">
        <f t="shared" si="19"/>
        <v>0</v>
      </c>
      <c r="R38" s="95"/>
      <c r="S38" s="124">
        <f t="shared" si="12"/>
        <v>0</v>
      </c>
      <c r="T38" s="124">
        <f t="shared" si="13"/>
        <v>0</v>
      </c>
      <c r="U38" s="125">
        <f t="shared" si="15"/>
        <v>617275</v>
      </c>
    </row>
    <row r="39" spans="5:21" x14ac:dyDescent="0.25">
      <c r="E39" s="123" t="s">
        <v>1543</v>
      </c>
      <c r="F39" s="123" t="s">
        <v>1333</v>
      </c>
      <c r="G39" s="124">
        <f t="shared" si="20"/>
        <v>548000</v>
      </c>
      <c r="H39" s="124">
        <f t="shared" si="21"/>
        <v>104120</v>
      </c>
      <c r="I39" s="95">
        <v>652120</v>
      </c>
      <c r="J39" s="124">
        <f t="shared" si="10"/>
        <v>411000</v>
      </c>
      <c r="K39" s="124">
        <f t="shared" si="11"/>
        <v>137000</v>
      </c>
      <c r="L39" s="125">
        <f t="shared" si="14"/>
        <v>673875</v>
      </c>
      <c r="N39" s="123"/>
      <c r="O39" s="123"/>
      <c r="P39" s="124">
        <f t="shared" si="18"/>
        <v>0</v>
      </c>
      <c r="Q39" s="124">
        <f t="shared" si="19"/>
        <v>0</v>
      </c>
      <c r="R39" s="95"/>
      <c r="S39" s="124">
        <f t="shared" si="12"/>
        <v>0</v>
      </c>
      <c r="T39" s="124">
        <f t="shared" si="13"/>
        <v>0</v>
      </c>
      <c r="U39" s="125">
        <f t="shared" si="15"/>
        <v>617275</v>
      </c>
    </row>
    <row r="40" spans="5:21" x14ac:dyDescent="0.25">
      <c r="E40" s="123">
        <v>2002</v>
      </c>
      <c r="F40" s="123" t="s">
        <v>968</v>
      </c>
      <c r="G40" s="124">
        <f t="shared" si="20"/>
        <v>26000</v>
      </c>
      <c r="H40" s="124">
        <f t="shared" si="21"/>
        <v>4940</v>
      </c>
      <c r="I40" s="95">
        <v>30940</v>
      </c>
      <c r="J40" s="124">
        <f t="shared" si="10"/>
        <v>19500</v>
      </c>
      <c r="K40" s="124">
        <f t="shared" si="11"/>
        <v>6500</v>
      </c>
      <c r="L40" s="125">
        <f t="shared" si="14"/>
        <v>680375</v>
      </c>
      <c r="N40" s="123"/>
      <c r="O40" s="123"/>
      <c r="P40" s="124">
        <f t="shared" si="18"/>
        <v>0</v>
      </c>
      <c r="Q40" s="124">
        <f t="shared" si="19"/>
        <v>0</v>
      </c>
      <c r="R40" s="95"/>
      <c r="S40" s="124">
        <f t="shared" si="12"/>
        <v>0</v>
      </c>
      <c r="T40" s="124">
        <f t="shared" si="13"/>
        <v>0</v>
      </c>
      <c r="U40" s="125">
        <f t="shared" si="15"/>
        <v>617275</v>
      </c>
    </row>
    <row r="41" spans="5:21" x14ac:dyDescent="0.25">
      <c r="E41" s="123"/>
      <c r="F41" s="123"/>
      <c r="G41" s="124">
        <f t="shared" si="20"/>
        <v>0</v>
      </c>
      <c r="H41" s="124">
        <f t="shared" si="21"/>
        <v>0</v>
      </c>
      <c r="I41" s="95"/>
      <c r="J41" s="124">
        <f t="shared" si="10"/>
        <v>0</v>
      </c>
      <c r="K41" s="124">
        <f t="shared" si="11"/>
        <v>0</v>
      </c>
      <c r="L41" s="125">
        <f t="shared" si="14"/>
        <v>680375</v>
      </c>
      <c r="N41" s="123"/>
      <c r="O41" s="123"/>
      <c r="P41" s="124">
        <f t="shared" si="18"/>
        <v>0</v>
      </c>
      <c r="Q41" s="124">
        <f t="shared" si="19"/>
        <v>0</v>
      </c>
      <c r="R41" s="95"/>
      <c r="S41" s="124">
        <f t="shared" si="12"/>
        <v>0</v>
      </c>
      <c r="T41" s="124">
        <f t="shared" si="13"/>
        <v>0</v>
      </c>
      <c r="U41" s="125">
        <f t="shared" si="15"/>
        <v>617275</v>
      </c>
    </row>
    <row r="42" spans="5:21" x14ac:dyDescent="0.25">
      <c r="E42" s="123"/>
      <c r="F42" s="123"/>
      <c r="G42" s="124">
        <f t="shared" si="20"/>
        <v>0</v>
      </c>
      <c r="H42" s="124">
        <f t="shared" si="21"/>
        <v>0</v>
      </c>
      <c r="I42" s="95"/>
      <c r="J42" s="124">
        <f t="shared" si="10"/>
        <v>0</v>
      </c>
      <c r="K42" s="124">
        <f t="shared" si="11"/>
        <v>0</v>
      </c>
      <c r="L42" s="125">
        <f t="shared" si="14"/>
        <v>680375</v>
      </c>
      <c r="N42" s="123"/>
      <c r="O42" s="123"/>
      <c r="P42" s="124">
        <f t="shared" si="18"/>
        <v>0</v>
      </c>
      <c r="Q42" s="124">
        <f t="shared" si="19"/>
        <v>0</v>
      </c>
      <c r="R42" s="95"/>
      <c r="S42" s="124">
        <f t="shared" si="12"/>
        <v>0</v>
      </c>
      <c r="T42" s="124">
        <f t="shared" si="13"/>
        <v>0</v>
      </c>
      <c r="U42" s="125">
        <f t="shared" si="15"/>
        <v>617275</v>
      </c>
    </row>
    <row r="43" spans="5:21" x14ac:dyDescent="0.25">
      <c r="E43" s="123"/>
      <c r="F43" s="123"/>
      <c r="G43" s="124">
        <f t="shared" si="20"/>
        <v>0</v>
      </c>
      <c r="H43" s="124">
        <f t="shared" si="21"/>
        <v>0</v>
      </c>
      <c r="I43" s="95"/>
      <c r="J43" s="124">
        <f t="shared" si="10"/>
        <v>0</v>
      </c>
      <c r="K43" s="124">
        <f t="shared" si="11"/>
        <v>0</v>
      </c>
      <c r="L43" s="125">
        <f>L42+K43</f>
        <v>680375</v>
      </c>
      <c r="N43" s="123"/>
      <c r="O43" s="123"/>
      <c r="P43" s="124">
        <f t="shared" si="18"/>
        <v>0</v>
      </c>
      <c r="Q43" s="124">
        <f t="shared" si="19"/>
        <v>0</v>
      </c>
      <c r="R43" s="95"/>
      <c r="S43" s="124">
        <f t="shared" si="12"/>
        <v>0</v>
      </c>
      <c r="T43" s="124">
        <f t="shared" si="13"/>
        <v>0</v>
      </c>
      <c r="U43" s="125">
        <f>U42+T43</f>
        <v>617275</v>
      </c>
    </row>
    <row r="44" spans="5:21" x14ac:dyDescent="0.25">
      <c r="E44" s="123"/>
      <c r="F44" s="123"/>
      <c r="G44" s="124">
        <f t="shared" si="20"/>
        <v>0</v>
      </c>
      <c r="H44" s="124">
        <f t="shared" si="21"/>
        <v>0</v>
      </c>
      <c r="I44" s="95"/>
      <c r="J44" s="124">
        <f t="shared" si="10"/>
        <v>0</v>
      </c>
      <c r="K44" s="124">
        <f t="shared" si="11"/>
        <v>0</v>
      </c>
      <c r="L44" s="125">
        <f>L43+K44</f>
        <v>680375</v>
      </c>
      <c r="N44" s="123"/>
      <c r="O44" s="123"/>
      <c r="P44" s="124">
        <f t="shared" si="18"/>
        <v>0</v>
      </c>
      <c r="Q44" s="124">
        <f t="shared" si="19"/>
        <v>0</v>
      </c>
      <c r="R44" s="95"/>
      <c r="S44" s="124">
        <f t="shared" si="12"/>
        <v>0</v>
      </c>
      <c r="T44" s="124">
        <f t="shared" si="13"/>
        <v>0</v>
      </c>
      <c r="U44" s="125">
        <f>U43+T44</f>
        <v>617275</v>
      </c>
    </row>
    <row r="45" spans="5:21" x14ac:dyDescent="0.25">
      <c r="E45" s="123"/>
      <c r="F45" s="123"/>
      <c r="G45" s="124">
        <f t="shared" si="20"/>
        <v>0</v>
      </c>
      <c r="H45" s="124">
        <f t="shared" si="21"/>
        <v>0</v>
      </c>
      <c r="I45" s="95"/>
      <c r="J45" s="124">
        <f t="shared" si="10"/>
        <v>0</v>
      </c>
      <c r="K45" s="124">
        <f t="shared" si="11"/>
        <v>0</v>
      </c>
      <c r="L45" s="125">
        <f>L44+K45</f>
        <v>680375</v>
      </c>
      <c r="N45" s="123"/>
      <c r="O45" s="123"/>
      <c r="P45" s="124">
        <f t="shared" si="18"/>
        <v>0</v>
      </c>
      <c r="Q45" s="124">
        <f t="shared" si="19"/>
        <v>0</v>
      </c>
      <c r="R45" s="95"/>
      <c r="S45" s="124">
        <f t="shared" si="12"/>
        <v>0</v>
      </c>
      <c r="T45" s="124">
        <f t="shared" si="13"/>
        <v>0</v>
      </c>
      <c r="U45" s="125">
        <f>U44+T45</f>
        <v>617275</v>
      </c>
    </row>
    <row r="46" spans="5:21" x14ac:dyDescent="0.25">
      <c r="E46" s="123"/>
      <c r="F46" s="123"/>
      <c r="G46" s="124">
        <f t="shared" si="20"/>
        <v>0</v>
      </c>
      <c r="H46" s="42">
        <f t="shared" si="21"/>
        <v>0</v>
      </c>
      <c r="I46" s="95"/>
      <c r="J46" s="124">
        <f t="shared" si="10"/>
        <v>0</v>
      </c>
      <c r="K46" s="124">
        <f t="shared" si="11"/>
        <v>0</v>
      </c>
      <c r="L46" s="125">
        <f>L45+K46</f>
        <v>680375</v>
      </c>
      <c r="N46" s="123"/>
      <c r="O46" s="123"/>
      <c r="P46" s="124">
        <f t="shared" si="18"/>
        <v>0</v>
      </c>
      <c r="Q46" s="42">
        <f t="shared" si="19"/>
        <v>0</v>
      </c>
      <c r="R46" s="95"/>
      <c r="S46" s="124">
        <f t="shared" si="12"/>
        <v>0</v>
      </c>
      <c r="T46" s="124">
        <f t="shared" si="13"/>
        <v>0</v>
      </c>
      <c r="U46" s="125">
        <f>U45+T46</f>
        <v>617275</v>
      </c>
    </row>
  </sheetData>
  <mergeCells count="4">
    <mergeCell ref="E4:L4"/>
    <mergeCell ref="N4:U4"/>
    <mergeCell ref="E27:L27"/>
    <mergeCell ref="N27:U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FEEA-131F-40C3-83B0-1E40E48CCE95}">
  <sheetPr codeName="Hoja9"/>
  <dimension ref="E4:L81"/>
  <sheetViews>
    <sheetView topLeftCell="E54" workbookViewId="0">
      <selection activeCell="G66" sqref="G66"/>
    </sheetView>
  </sheetViews>
  <sheetFormatPr baseColWidth="10" defaultRowHeight="15" x14ac:dyDescent="0.25"/>
  <cols>
    <col min="5" max="5" width="13.140625" customWidth="1"/>
    <col min="6" max="6" width="20.42578125" customWidth="1"/>
    <col min="7" max="7" width="40.85546875" bestFit="1" customWidth="1"/>
    <col min="8" max="8" width="16.140625" customWidth="1"/>
    <col min="9" max="9" width="19.85546875" customWidth="1"/>
    <col min="11" max="11" width="18.5703125" customWidth="1"/>
    <col min="12" max="12" width="12" bestFit="1" customWidth="1"/>
  </cols>
  <sheetData>
    <row r="4" spans="5:9" x14ac:dyDescent="0.25">
      <c r="E4" s="192" t="s">
        <v>80</v>
      </c>
      <c r="F4" s="192"/>
      <c r="G4" s="192"/>
      <c r="H4" s="192"/>
      <c r="I4" s="192"/>
    </row>
    <row r="5" spans="5:9" x14ac:dyDescent="0.25">
      <c r="E5" s="134" t="s">
        <v>4</v>
      </c>
      <c r="F5" s="134" t="s">
        <v>8</v>
      </c>
      <c r="G5" s="134" t="s">
        <v>112</v>
      </c>
      <c r="H5" s="134" t="s">
        <v>1205</v>
      </c>
      <c r="I5" s="134" t="s">
        <v>111</v>
      </c>
    </row>
    <row r="6" spans="5:9" x14ac:dyDescent="0.25">
      <c r="E6" s="135">
        <v>46104</v>
      </c>
      <c r="F6" s="95">
        <v>25000000</v>
      </c>
      <c r="G6" s="42" t="s">
        <v>1206</v>
      </c>
      <c r="H6" s="95">
        <v>0</v>
      </c>
      <c r="I6" s="124">
        <f>(F6-H6)</f>
        <v>25000000</v>
      </c>
    </row>
    <row r="7" spans="5:9" x14ac:dyDescent="0.25">
      <c r="E7" s="135">
        <v>46104</v>
      </c>
      <c r="F7" s="95">
        <v>500000</v>
      </c>
      <c r="G7" s="42" t="s">
        <v>1207</v>
      </c>
      <c r="H7" s="95">
        <v>0</v>
      </c>
      <c r="I7" s="124">
        <f>F7+I6-H7</f>
        <v>25500000</v>
      </c>
    </row>
    <row r="8" spans="5:9" x14ac:dyDescent="0.25">
      <c r="E8" s="135">
        <v>46104</v>
      </c>
      <c r="F8" s="95">
        <v>35000</v>
      </c>
      <c r="G8" s="42" t="s">
        <v>1208</v>
      </c>
      <c r="H8" s="95">
        <v>0</v>
      </c>
      <c r="I8" s="124">
        <f t="shared" ref="I8:I28" si="0">F8+I7-H8</f>
        <v>25535000</v>
      </c>
    </row>
    <row r="9" spans="5:9" x14ac:dyDescent="0.25">
      <c r="E9" s="135">
        <v>46104</v>
      </c>
      <c r="F9" s="95">
        <v>200000</v>
      </c>
      <c r="G9" s="42" t="s">
        <v>1209</v>
      </c>
      <c r="H9" s="95">
        <v>0</v>
      </c>
      <c r="I9" s="124">
        <f t="shared" si="0"/>
        <v>25735000</v>
      </c>
    </row>
    <row r="10" spans="5:9" x14ac:dyDescent="0.25">
      <c r="E10" s="135">
        <v>46104</v>
      </c>
      <c r="F10" s="95">
        <v>1710000</v>
      </c>
      <c r="G10" s="42" t="s">
        <v>1210</v>
      </c>
      <c r="H10" s="95">
        <v>0</v>
      </c>
      <c r="I10" s="124">
        <f t="shared" si="0"/>
        <v>27445000</v>
      </c>
    </row>
    <row r="11" spans="5:9" x14ac:dyDescent="0.25">
      <c r="E11" s="135">
        <v>46104</v>
      </c>
      <c r="F11" s="95">
        <v>545000</v>
      </c>
      <c r="G11" s="42" t="s">
        <v>1211</v>
      </c>
      <c r="H11" s="95">
        <v>0</v>
      </c>
      <c r="I11" s="124">
        <f t="shared" si="0"/>
        <v>27990000</v>
      </c>
    </row>
    <row r="12" spans="5:9" x14ac:dyDescent="0.25">
      <c r="E12" s="135">
        <v>46104</v>
      </c>
      <c r="F12" s="95">
        <v>414000</v>
      </c>
      <c r="G12" s="42" t="s">
        <v>1212</v>
      </c>
      <c r="H12" s="95">
        <v>0</v>
      </c>
      <c r="I12" s="124">
        <f t="shared" si="0"/>
        <v>28404000</v>
      </c>
    </row>
    <row r="13" spans="5:9" x14ac:dyDescent="0.25">
      <c r="E13" s="135">
        <v>46104</v>
      </c>
      <c r="F13" s="95">
        <v>50000</v>
      </c>
      <c r="G13" s="42" t="s">
        <v>27</v>
      </c>
      <c r="H13" s="95">
        <v>0</v>
      </c>
      <c r="I13" s="124">
        <f t="shared" si="0"/>
        <v>28454000</v>
      </c>
    </row>
    <row r="14" spans="5:9" x14ac:dyDescent="0.25">
      <c r="E14" s="135">
        <v>46104</v>
      </c>
      <c r="F14" s="95">
        <v>390000</v>
      </c>
      <c r="G14" s="42" t="s">
        <v>1213</v>
      </c>
      <c r="H14" s="95">
        <v>0</v>
      </c>
      <c r="I14" s="124">
        <f t="shared" si="0"/>
        <v>28844000</v>
      </c>
    </row>
    <row r="15" spans="5:9" x14ac:dyDescent="0.25">
      <c r="E15" s="135">
        <v>46104</v>
      </c>
      <c r="F15" s="95">
        <v>600000</v>
      </c>
      <c r="G15" s="42" t="s">
        <v>1214</v>
      </c>
      <c r="H15" s="95">
        <v>0</v>
      </c>
      <c r="I15" s="124">
        <f t="shared" si="0"/>
        <v>29444000</v>
      </c>
    </row>
    <row r="16" spans="5:9" x14ac:dyDescent="0.25">
      <c r="E16" s="135">
        <v>46104</v>
      </c>
      <c r="F16" s="95">
        <v>989000</v>
      </c>
      <c r="G16" s="42" t="s">
        <v>803</v>
      </c>
      <c r="H16" s="95">
        <v>0</v>
      </c>
      <c r="I16" s="124">
        <f t="shared" si="0"/>
        <v>30433000</v>
      </c>
    </row>
    <row r="17" spans="5:12" x14ac:dyDescent="0.25">
      <c r="E17" s="144">
        <v>46105</v>
      </c>
      <c r="F17" s="95"/>
      <c r="G17" s="42" t="s">
        <v>1216</v>
      </c>
      <c r="H17" s="95">
        <v>5000000</v>
      </c>
      <c r="I17" s="124">
        <f t="shared" si="0"/>
        <v>25433000</v>
      </c>
    </row>
    <row r="18" spans="5:12" x14ac:dyDescent="0.25">
      <c r="E18" s="144">
        <v>46106</v>
      </c>
      <c r="F18" s="95"/>
      <c r="G18" s="42" t="s">
        <v>1217</v>
      </c>
      <c r="H18" s="95">
        <v>4635000</v>
      </c>
      <c r="I18" s="124">
        <f t="shared" si="0"/>
        <v>20798000</v>
      </c>
    </row>
    <row r="19" spans="5:12" x14ac:dyDescent="0.25">
      <c r="E19" s="144">
        <v>46107</v>
      </c>
      <c r="F19" s="95"/>
      <c r="G19" s="42" t="s">
        <v>1215</v>
      </c>
      <c r="H19" s="95">
        <v>3856000</v>
      </c>
      <c r="I19" s="124">
        <f t="shared" si="0"/>
        <v>16942000</v>
      </c>
    </row>
    <row r="20" spans="5:12" x14ac:dyDescent="0.25">
      <c r="E20" s="144">
        <v>46108</v>
      </c>
      <c r="F20" s="95">
        <v>1000000</v>
      </c>
      <c r="G20" s="42" t="s">
        <v>603</v>
      </c>
      <c r="H20" s="95">
        <v>0</v>
      </c>
      <c r="I20" s="124">
        <f t="shared" si="0"/>
        <v>17942000</v>
      </c>
      <c r="L20" s="74"/>
    </row>
    <row r="21" spans="5:12" x14ac:dyDescent="0.25">
      <c r="E21" s="144">
        <v>46112</v>
      </c>
      <c r="F21" s="95"/>
      <c r="G21" s="42" t="s">
        <v>1217</v>
      </c>
      <c r="H21" s="95">
        <v>4635000</v>
      </c>
      <c r="I21" s="124">
        <f t="shared" si="0"/>
        <v>13307000</v>
      </c>
      <c r="K21" s="42" t="s">
        <v>1218</v>
      </c>
      <c r="L21" s="95">
        <v>14945000</v>
      </c>
    </row>
    <row r="22" spans="5:12" x14ac:dyDescent="0.25">
      <c r="E22" s="144">
        <v>46112</v>
      </c>
      <c r="F22" s="95"/>
      <c r="G22" s="42" t="s">
        <v>1218</v>
      </c>
      <c r="H22" s="95">
        <v>4000000</v>
      </c>
      <c r="I22" s="124">
        <f t="shared" si="0"/>
        <v>9307000</v>
      </c>
      <c r="K22" s="42" t="s">
        <v>1658</v>
      </c>
      <c r="L22" s="95">
        <f>L21-9000000</f>
        <v>5945000</v>
      </c>
    </row>
    <row r="23" spans="5:12" x14ac:dyDescent="0.25">
      <c r="E23" s="135">
        <v>46112</v>
      </c>
      <c r="F23" s="95">
        <v>2400000</v>
      </c>
      <c r="G23" s="42" t="s">
        <v>1219</v>
      </c>
      <c r="H23" s="95">
        <v>0</v>
      </c>
      <c r="I23" s="124">
        <f t="shared" si="0"/>
        <v>11707000</v>
      </c>
    </row>
    <row r="24" spans="5:12" x14ac:dyDescent="0.25">
      <c r="E24" s="135">
        <v>46112</v>
      </c>
      <c r="F24" s="95">
        <v>6000000</v>
      </c>
      <c r="G24" s="42" t="s">
        <v>1220</v>
      </c>
      <c r="H24" s="95">
        <v>0</v>
      </c>
      <c r="I24" s="124">
        <f t="shared" si="0"/>
        <v>17707000</v>
      </c>
      <c r="L24" s="74"/>
    </row>
    <row r="25" spans="5:12" x14ac:dyDescent="0.25">
      <c r="E25" s="135">
        <v>46112</v>
      </c>
      <c r="F25" s="95"/>
      <c r="G25" s="42" t="s">
        <v>1350</v>
      </c>
      <c r="H25" s="95">
        <v>14170000</v>
      </c>
      <c r="I25" s="124">
        <f t="shared" si="0"/>
        <v>3537000</v>
      </c>
      <c r="L25" s="74"/>
    </row>
    <row r="26" spans="5:12" x14ac:dyDescent="0.25">
      <c r="E26" s="135">
        <v>46112</v>
      </c>
      <c r="F26" s="95">
        <v>9950000</v>
      </c>
      <c r="G26" s="42" t="s">
        <v>1346</v>
      </c>
      <c r="H26" s="95">
        <v>0</v>
      </c>
      <c r="I26" s="124">
        <f t="shared" si="0"/>
        <v>13487000</v>
      </c>
      <c r="L26" s="142"/>
    </row>
    <row r="27" spans="5:12" x14ac:dyDescent="0.25">
      <c r="E27" s="135">
        <v>46112</v>
      </c>
      <c r="F27" s="95">
        <v>3790500</v>
      </c>
      <c r="G27" s="42" t="s">
        <v>1347</v>
      </c>
      <c r="H27" s="95">
        <v>0</v>
      </c>
      <c r="I27" s="124">
        <f t="shared" si="0"/>
        <v>17277500</v>
      </c>
    </row>
    <row r="28" spans="5:12" x14ac:dyDescent="0.25">
      <c r="E28" s="135">
        <v>46112</v>
      </c>
      <c r="F28" s="95">
        <v>600000</v>
      </c>
      <c r="G28" s="42" t="s">
        <v>1348</v>
      </c>
      <c r="H28" s="95">
        <v>0</v>
      </c>
      <c r="I28" s="124">
        <f t="shared" si="0"/>
        <v>17877500</v>
      </c>
    </row>
    <row r="29" spans="5:12" x14ac:dyDescent="0.25">
      <c r="E29" s="135">
        <v>46112</v>
      </c>
      <c r="F29" s="95">
        <v>935196</v>
      </c>
      <c r="G29" s="42" t="s">
        <v>1349</v>
      </c>
      <c r="H29" s="95">
        <v>0</v>
      </c>
      <c r="I29" s="124">
        <f>F29+I28-H29</f>
        <v>18812696</v>
      </c>
    </row>
    <row r="30" spans="5:12" x14ac:dyDescent="0.25">
      <c r="E30" s="135">
        <v>46126</v>
      </c>
      <c r="F30" s="95">
        <v>20000</v>
      </c>
      <c r="G30" s="42" t="s">
        <v>1404</v>
      </c>
      <c r="H30" s="95">
        <v>0</v>
      </c>
      <c r="I30" s="124">
        <f t="shared" ref="I30:I39" si="1">F30+I29-H30</f>
        <v>18832696</v>
      </c>
    </row>
    <row r="31" spans="5:12" x14ac:dyDescent="0.25">
      <c r="E31" s="135">
        <v>46127</v>
      </c>
      <c r="F31" s="95">
        <v>200000</v>
      </c>
      <c r="G31" s="42" t="s">
        <v>34</v>
      </c>
      <c r="H31" s="95">
        <v>0</v>
      </c>
      <c r="I31" s="124">
        <f t="shared" si="1"/>
        <v>19032696</v>
      </c>
    </row>
    <row r="32" spans="5:12" x14ac:dyDescent="0.25">
      <c r="E32" s="135">
        <v>46127</v>
      </c>
      <c r="F32" s="95"/>
      <c r="G32" s="42" t="s">
        <v>1410</v>
      </c>
      <c r="H32" s="95">
        <v>5000000</v>
      </c>
      <c r="I32" s="124">
        <f t="shared" si="1"/>
        <v>14032696</v>
      </c>
    </row>
    <row r="33" spans="5:9" x14ac:dyDescent="0.25">
      <c r="E33" s="135">
        <v>46132</v>
      </c>
      <c r="F33" s="95">
        <v>100000</v>
      </c>
      <c r="G33" s="42" t="s">
        <v>1432</v>
      </c>
      <c r="H33" s="95">
        <v>0</v>
      </c>
      <c r="I33" s="124">
        <f t="shared" si="1"/>
        <v>14132696</v>
      </c>
    </row>
    <row r="34" spans="5:9" x14ac:dyDescent="0.25">
      <c r="E34" s="135">
        <v>46133</v>
      </c>
      <c r="F34" s="95">
        <v>3000000</v>
      </c>
      <c r="G34" s="42" t="s">
        <v>67</v>
      </c>
      <c r="H34" s="95">
        <v>0</v>
      </c>
      <c r="I34" s="124">
        <f t="shared" si="1"/>
        <v>17132696</v>
      </c>
    </row>
    <row r="35" spans="5:9" x14ac:dyDescent="0.25">
      <c r="E35" s="135">
        <v>46112</v>
      </c>
      <c r="F35" s="95">
        <v>55000</v>
      </c>
      <c r="G35" s="42" t="s">
        <v>1437</v>
      </c>
      <c r="H35" s="95">
        <v>0</v>
      </c>
      <c r="I35" s="124">
        <f t="shared" si="1"/>
        <v>17187696</v>
      </c>
    </row>
    <row r="36" spans="5:9" x14ac:dyDescent="0.25">
      <c r="E36" s="135">
        <v>46173</v>
      </c>
      <c r="F36" s="95">
        <v>830405</v>
      </c>
      <c r="G36" s="42" t="s">
        <v>1582</v>
      </c>
      <c r="H36" s="95">
        <v>0</v>
      </c>
      <c r="I36" s="124">
        <f t="shared" si="1"/>
        <v>18018101</v>
      </c>
    </row>
    <row r="37" spans="5:9" x14ac:dyDescent="0.25">
      <c r="E37" s="135">
        <v>46173</v>
      </c>
      <c r="F37" s="95">
        <v>122631</v>
      </c>
      <c r="G37" s="42" t="s">
        <v>1581</v>
      </c>
      <c r="H37" s="95">
        <v>0</v>
      </c>
      <c r="I37" s="124">
        <f t="shared" si="1"/>
        <v>18140732</v>
      </c>
    </row>
    <row r="38" spans="5:9" x14ac:dyDescent="0.25">
      <c r="E38" s="135">
        <v>46173</v>
      </c>
      <c r="F38" s="95">
        <v>7000000</v>
      </c>
      <c r="G38" s="42" t="s">
        <v>156</v>
      </c>
      <c r="H38" s="95">
        <v>0</v>
      </c>
      <c r="I38" s="124">
        <f t="shared" si="1"/>
        <v>25140732</v>
      </c>
    </row>
    <row r="39" spans="5:9" x14ac:dyDescent="0.25">
      <c r="E39" s="135">
        <v>46173</v>
      </c>
      <c r="F39" s="95">
        <v>600000</v>
      </c>
      <c r="G39" s="42" t="s">
        <v>1214</v>
      </c>
      <c r="H39" s="95">
        <v>0</v>
      </c>
      <c r="I39" s="124">
        <f t="shared" si="1"/>
        <v>25740732</v>
      </c>
    </row>
    <row r="40" spans="5:9" x14ac:dyDescent="0.25">
      <c r="E40" s="135">
        <v>46173</v>
      </c>
      <c r="F40" s="95">
        <v>79800</v>
      </c>
      <c r="G40" s="42" t="s">
        <v>1604</v>
      </c>
      <c r="H40" s="95">
        <v>0</v>
      </c>
      <c r="I40" s="124">
        <f t="shared" ref="I40:I48" si="2">F40+I39-H40</f>
        <v>25820532</v>
      </c>
    </row>
    <row r="41" spans="5:9" x14ac:dyDescent="0.25">
      <c r="E41" s="135">
        <v>46173</v>
      </c>
      <c r="F41" s="95">
        <v>69993</v>
      </c>
      <c r="G41" s="42" t="s">
        <v>1605</v>
      </c>
      <c r="H41" s="95">
        <v>0</v>
      </c>
      <c r="I41" s="124">
        <f t="shared" si="2"/>
        <v>25890525</v>
      </c>
    </row>
    <row r="42" spans="5:9" x14ac:dyDescent="0.25">
      <c r="E42" s="135">
        <v>46173</v>
      </c>
      <c r="F42" s="95">
        <v>90993</v>
      </c>
      <c r="G42" s="42" t="s">
        <v>1606</v>
      </c>
      <c r="H42" s="95">
        <v>0</v>
      </c>
      <c r="I42" s="124">
        <f t="shared" si="2"/>
        <v>25981518</v>
      </c>
    </row>
    <row r="43" spans="5:9" x14ac:dyDescent="0.25">
      <c r="E43" s="135">
        <v>46173</v>
      </c>
      <c r="F43" s="95">
        <v>419980</v>
      </c>
      <c r="G43" s="42" t="s">
        <v>1607</v>
      </c>
      <c r="H43" s="95">
        <v>0</v>
      </c>
      <c r="I43" s="124">
        <f t="shared" si="2"/>
        <v>26401498</v>
      </c>
    </row>
    <row r="44" spans="5:9" x14ac:dyDescent="0.25">
      <c r="E44" s="135">
        <v>46173</v>
      </c>
      <c r="F44" s="95">
        <v>304450</v>
      </c>
      <c r="G44" s="42" t="s">
        <v>1608</v>
      </c>
      <c r="H44" s="95">
        <v>0</v>
      </c>
      <c r="I44" s="124">
        <f t="shared" si="2"/>
        <v>26705948</v>
      </c>
    </row>
    <row r="45" spans="5:9" x14ac:dyDescent="0.25">
      <c r="E45" s="135">
        <v>46173</v>
      </c>
      <c r="F45" s="95">
        <f>159400+239100</f>
        <v>398500</v>
      </c>
      <c r="G45" s="42" t="s">
        <v>1609</v>
      </c>
      <c r="H45" s="95">
        <v>0</v>
      </c>
      <c r="I45" s="124">
        <f t="shared" si="2"/>
        <v>27104448</v>
      </c>
    </row>
    <row r="46" spans="5:9" x14ac:dyDescent="0.25">
      <c r="E46" s="135">
        <v>46173</v>
      </c>
      <c r="F46" s="95">
        <v>1053932</v>
      </c>
      <c r="G46" s="42" t="s">
        <v>1610</v>
      </c>
      <c r="H46" s="95">
        <v>0</v>
      </c>
      <c r="I46" s="124">
        <f t="shared" si="2"/>
        <v>28158380</v>
      </c>
    </row>
    <row r="47" spans="5:9" x14ac:dyDescent="0.25">
      <c r="E47" s="135">
        <v>46173</v>
      </c>
      <c r="F47" s="95">
        <v>1760327</v>
      </c>
      <c r="G47" s="42" t="s">
        <v>1611</v>
      </c>
      <c r="H47" s="95">
        <v>0</v>
      </c>
      <c r="I47" s="124">
        <f t="shared" si="2"/>
        <v>29918707</v>
      </c>
    </row>
    <row r="48" spans="5:9" x14ac:dyDescent="0.25">
      <c r="E48" s="135">
        <v>46173</v>
      </c>
      <c r="F48" s="95">
        <v>847197</v>
      </c>
      <c r="G48" s="42" t="s">
        <v>1612</v>
      </c>
      <c r="H48" s="95">
        <v>0</v>
      </c>
      <c r="I48" s="124">
        <f t="shared" si="2"/>
        <v>30765904</v>
      </c>
    </row>
    <row r="49" spans="5:9" x14ac:dyDescent="0.25">
      <c r="E49" s="135">
        <v>46173</v>
      </c>
      <c r="F49" s="95">
        <v>89992</v>
      </c>
      <c r="G49" s="42" t="s">
        <v>1613</v>
      </c>
      <c r="H49" s="95">
        <v>0</v>
      </c>
      <c r="I49" s="124">
        <f t="shared" ref="I49:I55" si="3">F49+I48-H49</f>
        <v>30855896</v>
      </c>
    </row>
    <row r="50" spans="5:9" x14ac:dyDescent="0.25">
      <c r="E50" s="135">
        <v>46173</v>
      </c>
      <c r="F50" s="95">
        <v>500000</v>
      </c>
      <c r="G50" s="42" t="s">
        <v>1648</v>
      </c>
      <c r="H50" s="95">
        <v>0</v>
      </c>
      <c r="I50" s="124">
        <f t="shared" si="3"/>
        <v>31355896</v>
      </c>
    </row>
    <row r="51" spans="5:9" x14ac:dyDescent="0.25">
      <c r="E51" s="135">
        <v>46173</v>
      </c>
      <c r="F51" s="95">
        <v>60000</v>
      </c>
      <c r="G51" s="42" t="s">
        <v>1649</v>
      </c>
      <c r="H51" s="95">
        <v>0</v>
      </c>
      <c r="I51" s="124">
        <f t="shared" si="3"/>
        <v>31415896</v>
      </c>
    </row>
    <row r="52" spans="5:9" x14ac:dyDescent="0.25">
      <c r="E52" s="135">
        <v>46173</v>
      </c>
      <c r="F52" s="95">
        <v>830405</v>
      </c>
      <c r="G52" s="42" t="s">
        <v>803</v>
      </c>
      <c r="H52" s="95">
        <v>0</v>
      </c>
      <c r="I52" s="124">
        <f t="shared" si="3"/>
        <v>32246301</v>
      </c>
    </row>
    <row r="53" spans="5:9" x14ac:dyDescent="0.25">
      <c r="E53" s="135">
        <v>46173</v>
      </c>
      <c r="F53" s="95"/>
      <c r="G53" s="42" t="s">
        <v>1652</v>
      </c>
      <c r="H53" s="95">
        <v>5600000</v>
      </c>
      <c r="I53" s="124">
        <f t="shared" si="3"/>
        <v>26646301</v>
      </c>
    </row>
    <row r="54" spans="5:9" x14ac:dyDescent="0.25">
      <c r="E54" s="135">
        <v>46173</v>
      </c>
      <c r="F54" s="95"/>
      <c r="G54" s="42" t="s">
        <v>1653</v>
      </c>
      <c r="H54" s="95">
        <v>858000</v>
      </c>
      <c r="I54" s="124">
        <f t="shared" si="3"/>
        <v>25788301</v>
      </c>
    </row>
    <row r="55" spans="5:9" x14ac:dyDescent="0.25">
      <c r="E55" s="135">
        <v>46173</v>
      </c>
      <c r="F55" s="95"/>
      <c r="G55" s="42" t="s">
        <v>1654</v>
      </c>
      <c r="H55" s="95">
        <v>965000</v>
      </c>
      <c r="I55" s="124">
        <f t="shared" si="3"/>
        <v>24823301</v>
      </c>
    </row>
    <row r="56" spans="5:9" x14ac:dyDescent="0.25">
      <c r="E56" s="135">
        <v>46173</v>
      </c>
      <c r="F56" s="95"/>
      <c r="G56" s="42" t="s">
        <v>1655</v>
      </c>
      <c r="H56" s="95">
        <v>1800000</v>
      </c>
      <c r="I56" s="124">
        <f t="shared" ref="I56:I81" si="4">F56+I55-H56</f>
        <v>23023301</v>
      </c>
    </row>
    <row r="57" spans="5:9" x14ac:dyDescent="0.25">
      <c r="E57" s="135">
        <v>46173</v>
      </c>
      <c r="F57" s="95"/>
      <c r="G57" s="42" t="s">
        <v>1656</v>
      </c>
      <c r="H57" s="95">
        <v>1000000</v>
      </c>
      <c r="I57" s="124">
        <f t="shared" si="4"/>
        <v>22023301</v>
      </c>
    </row>
    <row r="58" spans="5:9" x14ac:dyDescent="0.25">
      <c r="E58" s="135">
        <v>46173</v>
      </c>
      <c r="F58" s="95">
        <v>200000</v>
      </c>
      <c r="G58" s="42" t="s">
        <v>1657</v>
      </c>
      <c r="H58" s="95">
        <v>0</v>
      </c>
      <c r="I58" s="124">
        <f t="shared" si="4"/>
        <v>22223301</v>
      </c>
    </row>
    <row r="59" spans="5:9" x14ac:dyDescent="0.25">
      <c r="E59" s="135">
        <v>46173</v>
      </c>
      <c r="F59" s="95"/>
      <c r="G59" s="42" t="s">
        <v>1218</v>
      </c>
      <c r="H59" s="154">
        <v>5945000</v>
      </c>
      <c r="I59" s="124">
        <f t="shared" si="4"/>
        <v>16278301</v>
      </c>
    </row>
    <row r="60" spans="5:9" x14ac:dyDescent="0.25">
      <c r="E60" s="135">
        <v>46173</v>
      </c>
      <c r="F60" s="95"/>
      <c r="G60" s="42" t="s">
        <v>1659</v>
      </c>
      <c r="H60" s="154">
        <v>19350000</v>
      </c>
      <c r="I60" s="124">
        <f t="shared" si="4"/>
        <v>-3071699</v>
      </c>
    </row>
    <row r="61" spans="5:9" x14ac:dyDescent="0.25">
      <c r="E61" s="135">
        <v>46175</v>
      </c>
      <c r="F61" s="95">
        <v>30000</v>
      </c>
      <c r="G61" s="42" t="s">
        <v>1669</v>
      </c>
      <c r="H61" s="95">
        <v>0</v>
      </c>
      <c r="I61" s="124">
        <f t="shared" si="4"/>
        <v>-3041699</v>
      </c>
    </row>
    <row r="62" spans="5:9" x14ac:dyDescent="0.25">
      <c r="E62" s="135">
        <v>46176</v>
      </c>
      <c r="F62" s="95">
        <v>3500000</v>
      </c>
      <c r="G62" s="42" t="s">
        <v>1675</v>
      </c>
      <c r="H62" s="95">
        <v>0</v>
      </c>
      <c r="I62" s="124">
        <f t="shared" si="4"/>
        <v>458301</v>
      </c>
    </row>
    <row r="63" spans="5:9" x14ac:dyDescent="0.25">
      <c r="E63" s="135"/>
      <c r="F63" s="95"/>
      <c r="G63" s="42"/>
      <c r="H63" s="95">
        <v>0</v>
      </c>
      <c r="I63" s="124">
        <f t="shared" si="4"/>
        <v>458301</v>
      </c>
    </row>
    <row r="64" spans="5:9" x14ac:dyDescent="0.25">
      <c r="E64" s="135"/>
      <c r="F64" s="95"/>
      <c r="G64" s="42"/>
      <c r="H64" s="95">
        <v>0</v>
      </c>
      <c r="I64" s="124">
        <f t="shared" si="4"/>
        <v>458301</v>
      </c>
    </row>
    <row r="65" spans="5:9" x14ac:dyDescent="0.25">
      <c r="E65" s="135"/>
      <c r="F65" s="95"/>
      <c r="G65" s="42"/>
      <c r="H65" s="95">
        <v>0</v>
      </c>
      <c r="I65" s="124">
        <f t="shared" si="4"/>
        <v>458301</v>
      </c>
    </row>
    <row r="66" spans="5:9" x14ac:dyDescent="0.25">
      <c r="E66" s="135"/>
      <c r="F66" s="95"/>
      <c r="G66" s="42"/>
      <c r="H66" s="95">
        <v>0</v>
      </c>
      <c r="I66" s="124">
        <f t="shared" si="4"/>
        <v>458301</v>
      </c>
    </row>
    <row r="67" spans="5:9" x14ac:dyDescent="0.25">
      <c r="E67" s="135"/>
      <c r="F67" s="95"/>
      <c r="G67" s="42"/>
      <c r="H67" s="95">
        <v>0</v>
      </c>
      <c r="I67" s="124">
        <f t="shared" si="4"/>
        <v>458301</v>
      </c>
    </row>
    <row r="68" spans="5:9" x14ac:dyDescent="0.25">
      <c r="E68" s="135"/>
      <c r="F68" s="95"/>
      <c r="G68" s="42"/>
      <c r="H68" s="95">
        <v>0</v>
      </c>
      <c r="I68" s="124">
        <f t="shared" si="4"/>
        <v>458301</v>
      </c>
    </row>
    <row r="69" spans="5:9" x14ac:dyDescent="0.25">
      <c r="E69" s="135"/>
      <c r="F69" s="95"/>
      <c r="G69" s="42"/>
      <c r="H69" s="95">
        <v>0</v>
      </c>
      <c r="I69" s="124">
        <f t="shared" si="4"/>
        <v>458301</v>
      </c>
    </row>
    <row r="70" spans="5:9" x14ac:dyDescent="0.25">
      <c r="E70" s="135"/>
      <c r="F70" s="95"/>
      <c r="G70" s="42"/>
      <c r="H70" s="95">
        <v>0</v>
      </c>
      <c r="I70" s="124">
        <f t="shared" si="4"/>
        <v>458301</v>
      </c>
    </row>
    <row r="71" spans="5:9" x14ac:dyDescent="0.25">
      <c r="E71" s="135"/>
      <c r="F71" s="95"/>
      <c r="G71" s="42"/>
      <c r="H71" s="95">
        <v>0</v>
      </c>
      <c r="I71" s="124">
        <f t="shared" si="4"/>
        <v>458301</v>
      </c>
    </row>
    <row r="72" spans="5:9" x14ac:dyDescent="0.25">
      <c r="E72" s="135"/>
      <c r="F72" s="95"/>
      <c r="G72" s="42"/>
      <c r="H72" s="95">
        <v>0</v>
      </c>
      <c r="I72" s="124">
        <f t="shared" si="4"/>
        <v>458301</v>
      </c>
    </row>
    <row r="73" spans="5:9" x14ac:dyDescent="0.25">
      <c r="E73" s="135"/>
      <c r="F73" s="95"/>
      <c r="G73" s="42"/>
      <c r="H73" s="95">
        <v>0</v>
      </c>
      <c r="I73" s="124">
        <f t="shared" si="4"/>
        <v>458301</v>
      </c>
    </row>
    <row r="74" spans="5:9" x14ac:dyDescent="0.25">
      <c r="E74" s="135"/>
      <c r="F74" s="95"/>
      <c r="G74" s="42"/>
      <c r="H74" s="95">
        <v>0</v>
      </c>
      <c r="I74" s="124">
        <f t="shared" si="4"/>
        <v>458301</v>
      </c>
    </row>
    <row r="75" spans="5:9" x14ac:dyDescent="0.25">
      <c r="E75" s="135"/>
      <c r="F75" s="95"/>
      <c r="G75" s="42"/>
      <c r="H75" s="95">
        <v>0</v>
      </c>
      <c r="I75" s="124">
        <f t="shared" si="4"/>
        <v>458301</v>
      </c>
    </row>
    <row r="76" spans="5:9" x14ac:dyDescent="0.25">
      <c r="E76" s="135"/>
      <c r="F76" s="95"/>
      <c r="G76" s="42"/>
      <c r="H76" s="95">
        <v>0</v>
      </c>
      <c r="I76" s="124">
        <f t="shared" si="4"/>
        <v>458301</v>
      </c>
    </row>
    <row r="77" spans="5:9" x14ac:dyDescent="0.25">
      <c r="E77" s="135"/>
      <c r="F77" s="95"/>
      <c r="G77" s="42"/>
      <c r="H77" s="95">
        <v>0</v>
      </c>
      <c r="I77" s="124">
        <f t="shared" si="4"/>
        <v>458301</v>
      </c>
    </row>
    <row r="78" spans="5:9" x14ac:dyDescent="0.25">
      <c r="E78" s="135"/>
      <c r="F78" s="95"/>
      <c r="G78" s="42"/>
      <c r="H78" s="95">
        <v>0</v>
      </c>
      <c r="I78" s="124">
        <f t="shared" si="4"/>
        <v>458301</v>
      </c>
    </row>
    <row r="79" spans="5:9" x14ac:dyDescent="0.25">
      <c r="E79" s="135"/>
      <c r="F79" s="95"/>
      <c r="G79" s="42"/>
      <c r="H79" s="95">
        <v>0</v>
      </c>
      <c r="I79" s="124">
        <f t="shared" si="4"/>
        <v>458301</v>
      </c>
    </row>
    <row r="80" spans="5:9" x14ac:dyDescent="0.25">
      <c r="E80" s="135"/>
      <c r="F80" s="95"/>
      <c r="G80" s="42"/>
      <c r="H80" s="95">
        <v>0</v>
      </c>
      <c r="I80" s="124">
        <f t="shared" si="4"/>
        <v>458301</v>
      </c>
    </row>
    <row r="81" spans="5:9" x14ac:dyDescent="0.25">
      <c r="E81" s="135"/>
      <c r="F81" s="95"/>
      <c r="G81" s="42"/>
      <c r="H81" s="95">
        <v>0</v>
      </c>
      <c r="I81" s="124">
        <f t="shared" si="4"/>
        <v>458301</v>
      </c>
    </row>
  </sheetData>
  <mergeCells count="1">
    <mergeCell ref="E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Parámetros</vt:lpstr>
      <vt:lpstr>RESUMEN DIARIO</vt:lpstr>
      <vt:lpstr>Formularios</vt:lpstr>
      <vt:lpstr>Movimientos</vt:lpstr>
      <vt:lpstr>BEBIDAS</vt:lpstr>
      <vt:lpstr>Descuentos colaboradores</vt:lpstr>
      <vt:lpstr>PLANILLA</vt:lpstr>
      <vt:lpstr>COMISIONES</vt:lpstr>
      <vt:lpstr>DEUDA DWORK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SOSA</dc:creator>
  <cp:lastModifiedBy>JOEL SOSA</cp:lastModifiedBy>
  <cp:lastPrinted>2026-02-06T22:29:21Z</cp:lastPrinted>
  <dcterms:created xsi:type="dcterms:W3CDTF">2025-09-09T13:42:29Z</dcterms:created>
  <dcterms:modified xsi:type="dcterms:W3CDTF">2026-06-05T20:07:36Z</dcterms:modified>
</cp:coreProperties>
</file>